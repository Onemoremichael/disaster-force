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76f4cd0e84f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022888a157ac45b2"/>
    <x:sheet xmlns:r="http://schemas.openxmlformats.org/officeDocument/2006/relationships" name="01 Controls" sheetId="2" r:id="Rce445502e8874350"/>
    <x:sheet xmlns:r="http://schemas.openxmlformats.org/officeDocument/2006/relationships" name="02 Architectures" sheetId="3" r:id="Rdb349d810a9f4ea5"/>
    <x:sheet xmlns:r="http://schemas.openxmlformats.org/officeDocument/2006/relationships" name="03 Stress Worlds" sheetId="4" r:id="R1b07d63bd1514bee"/>
    <x:sheet xmlns:r="http://schemas.openxmlformats.org/officeDocument/2006/relationships" name="04 Material Balance" sheetId="5" r:id="Rc787b5f698044fca"/>
    <x:sheet xmlns:r="http://schemas.openxmlformats.org/officeDocument/2006/relationships" name="05 Configuration" sheetId="6" r:id="Rb8e3716b0436476d"/>
    <x:sheet xmlns:r="http://schemas.openxmlformats.org/officeDocument/2006/relationships" name="06 Program" sheetId="7" r:id="Rfcef532ee9f04a66"/>
    <x:sheet xmlns:r="http://schemas.openxmlformats.org/officeDocument/2006/relationships" name="07 Test Contract" sheetId="8" r:id="Raff0628133f24aa1"/>
    <x:sheet xmlns:r="http://schemas.openxmlformats.org/officeDocument/2006/relationships" name="08 Evidence" sheetId="9" r:id="R6effd4449b0d4907"/>
    <x:sheet xmlns:r="http://schemas.openxmlformats.org/officeDocument/2006/relationships" name="09 Integrity" sheetId="10" r:id="R6e8f28c3cb1344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"/>
    <x:numFmt numFmtId="201" formatCode="0%"/>
    <x:numFmt numFmtId="202" formatCode="0"/>
    <x:numFmt numFmtId="203" formatCode="#,##0.0"/>
    <x:numFmt numFmtId="204" formatCode="$#,##0.00"/>
    <x:numFmt numFmtId="205" formatCode="0.00"/>
    <x:numFmt numFmtId="206" formatCode="#,##0"/>
    <x:numFmt numFmtId="207" formatCode="#,##0.000"/>
  </x:numFmts>
  <x:fonts count="6">
    <x:font>
      <x:sz val="11"/>
      <x:name val="Carlito"/>
    </x:font>
    <x:font>
      <x:b/>
      <x:sz val="15"/>
      <x:color rgb="FF17212B"/>
      <x:name val="Arial"/>
    </x:font>
    <x:font>
      <x:i/>
      <x:sz val="10"/>
      <x:color rgb="FF5C6873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sz val="10"/>
      <x:color rgb="FF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C"/>
      </x:patternFill>
    </x:fill>
    <x:fill>
      <x:patternFill patternType="solid">
        <x:fgColor rgb="FFDCEAF5"/>
      </x:patternFill>
    </x:fill>
  </x:fills>
  <x:borders count="3">
    <x:border/>
    <x:border>
      <x:bottom style="medium">
        <x:color rgb="FF17324D"/>
      </x:bottom>
    </x:border>
    <x:border>
      <x:bottom style="medium">
        <x:color rgb="FFFFFFFF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200" fontId="5" fillId="3" borderId="0" xfId="0" applyNumberFormat="1" applyFont="1" applyFill="1" applyBorder="1" applyAlignment="1">
      <x:alignment vertical="top"/>
    </x:xf>
    <x:xf numFmtId="201" fontId="5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200" fontId="4" fillId="4" borderId="0" xfId="0" applyNumberFormat="1" applyFont="1" applyFill="1" applyBorder="1" applyAlignment="1">
      <x:alignment vertical="top"/>
    </x:xf>
    <x:xf numFmtId="202" fontId="5" fillId="3" borderId="0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/>
    </x:xf>
    <x:xf numFmtId="204" fontId="4" fillId="0" borderId="0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205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1" fontId="4" fillId="3" borderId="0" xfId="0" applyNumberFormat="1" applyFont="1" applyFill="1" applyBorder="1" applyAlignment="1">
      <x:alignment vertical="top"/>
    </x:xf>
    <x:xf numFmtId="200" fontId="4" fillId="3" borderId="0" xfId="0" applyNumberFormat="1" applyFont="1" applyFill="1" applyBorder="1" applyAlignment="1">
      <x:alignment vertical="top"/>
    </x:xf>
    <x:xf numFmtId="206" fontId="5" fillId="3" borderId="0" xfId="0" applyNumberFormat="1" applyFont="1" applyFill="1" applyBorder="1" applyAlignment="1">
      <x:alignment vertical="top"/>
    </x:xf>
    <x:xf numFmtId="204" fontId="5" fillId="3" borderId="0" xfId="0" applyNumberFormat="1" applyFont="1" applyFill="1" applyBorder="1" applyAlignment="1">
      <x:alignment vertical="top"/>
    </x:xf>
    <x:xf numFmtId="206" fontId="4" fillId="0" borderId="0" xfId="0" applyNumberFormat="1" applyFont="1" applyFill="1" applyBorder="1" applyAlignment="1">
      <x:alignment vertical="top"/>
    </x:xf>
    <x:xf numFmtId="207" fontId="4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6" fontId="5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7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77"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9f7a6734c4dff" /><Relationship Type="http://schemas.openxmlformats.org/officeDocument/2006/relationships/theme" Target="/xl/theme/theme1.xml" Id="Rad548b24877c4942" /><Relationship Type="http://schemas.openxmlformats.org/officeDocument/2006/relationships/sharedStrings" Target="/xl/sharedStrings.xml" Id="R008e17f188814d81" /><Relationship Type="http://schemas.openxmlformats.org/officeDocument/2006/relationships/worksheet" Target="/xl/worksheets/sheet1.xml" Id="R022888a157ac45b2" /><Relationship Type="http://schemas.openxmlformats.org/officeDocument/2006/relationships/worksheet" Target="/xl/worksheets/sheet2.xml" Id="Rce445502e8874350" /><Relationship Type="http://schemas.openxmlformats.org/officeDocument/2006/relationships/worksheet" Target="/xl/worksheets/sheet3.xml" Id="Rdb349d810a9f4ea5" /><Relationship Type="http://schemas.openxmlformats.org/officeDocument/2006/relationships/worksheet" Target="/xl/worksheets/sheet4.xml" Id="R1b07d63bd1514bee" /><Relationship Type="http://schemas.openxmlformats.org/officeDocument/2006/relationships/worksheet" Target="/xl/worksheets/sheet5.xml" Id="Rc787b5f698044fca" /><Relationship Type="http://schemas.openxmlformats.org/officeDocument/2006/relationships/worksheet" Target="/xl/worksheets/sheet6.xml" Id="Rb8e3716b0436476d" /><Relationship Type="http://schemas.openxmlformats.org/officeDocument/2006/relationships/worksheet" Target="/xl/worksheets/sheet7.xml" Id="Rfcef532ee9f04a66" /><Relationship Type="http://schemas.openxmlformats.org/officeDocument/2006/relationships/worksheet" Target="/xl/worksheets/sheet8.xml" Id="Raff0628133f24aa1" /><Relationship Type="http://schemas.openxmlformats.org/officeDocument/2006/relationships/worksheet" Target="/xl/worksheets/sheet9.xml" Id="R6effd4449b0d4907" /><Relationship Type="http://schemas.openxmlformats.org/officeDocument/2006/relationships/worksheet" Target="/xl/worksheets/sheet10.xml" Id="R6e8f28c3cb1344a5" /></Relationships>
</file>

<file path=xl/tables/table1.xml><?xml version="1.0" encoding="utf-8"?>
<x:table xmlns:x="http://schemas.openxmlformats.org/spreadsheetml/2006/main" id="1" name="ClosedLoopControlTable" displayName="ClosedLoopControlTable" ref="C5:G32" headerRowCount="1" totalsRowCount="0" totalsRowShown="0">
  <x:tableColumns count="5">
    <x:tableColumn id="1" name="Control"/>
    <x:tableColumn id="2" name="Value"/>
    <x:tableColumn id="3" name="Unit"/>
    <x:tableColumn id="4" name="Role"/>
    <x:tableColumn id="5" name="St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duranceArchitectureTable" displayName="EnduranceArchitectureTable" ref="C5:AH9" headerRowCount="1" totalsRowCount="0" totalsRowShown="0">
  <x:tableColumns count="32">
    <x:tableColumn id="1" name="ID"/>
    <x:tableColumn id="2" name="Architecture"/>
    <x:tableColumn id="3" name="Physical logic"/>
    <x:tableColumn id="4" name="High-grade m³/day"/>
    <x:tableColumn id="5" name="Use-specific m³/day"/>
    <x:tableColumn id="6" name="Liquid residual m³/m³"/>
    <x:tableColumn id="7" name="Liquid custody m³"/>
    <x:tableColumn id="8" name="Solid residual t/day"/>
    <x:tableColumn id="9" name="Solid custody t"/>
    <x:tableColumn id="10" name="Consumables kg/m³"/>
    <x:tableColumn id="11" name="Consumable stock t"/>
    <x:tableColumn id="12" name="Extra process kWh/m³"/>
    <x:tableColumn id="13" name="Extra hotel MW"/>
    <x:tableColumn id="14" name="Self-power MW"/>
    <x:tableColumn id="15" name="Regeneration trains"/>
    <x:tableColumn id="16" name="Capacity after one train loss"/>
    <x:tableColumn id="17" name="Cold qualified"/>
    <x:tableColumn id="18" name="Dual-quality network"/>
    <x:tableColumn id="19" name="Immediate repeat ready"/>
    <x:tableColumn id="20" name="Safe-stop lockout"/>
    <x:tableColumn id="21" name="Evidence gates closed"/>
    <x:tableColumn id="22" name="Rendering"/>
    <x:tableColumn id="23" name="Added dry t"/>
    <x:tableColumn id="24" name="Total dry t"/>
    <x:tableColumn id="25" name="Land-chargeable t"/>
    <x:tableColumn id="26" name="Total crew"/>
    <x:tableColumn id="27" name="Equipment $B/chain"/>
    <x:tableColumn id="28" name="Behavior worlds passed"/>
    <x:tableColumn id="29" name="Service worlds passed"/>
    <x:tableColumn id="30" name="W7 closure"/>
    <x:tableColumn id="31" name="W11 closure"/>
    <x:tableColumn id="32" name="Strict admi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duranceWorldTable" displayName="EnduranceWorldTable" ref="C5:M15" headerRowCount="1" totalsRowCount="0" totalsRowShown="0">
  <x:tableColumns count="11">
    <x:tableColumn id="1" name="World"/>
    <x:tableColumn id="2" name="Condition"/>
    <x:tableColumn id="3" name="Horizon days"/>
    <x:tableColumn id="4" name="No residual outlet"/>
    <x:tableColumn id="5" name="No consumable resupply"/>
    <x:tableColumn id="6" name="Available-power fraction"/>
    <x:tableColumn id="7" name="Freezing"/>
    <x:tableColumn id="8" name="Cross-connection challenge"/>
    <x:tableColumn id="9" name="One regeneration train lost"/>
    <x:tableColumn id="10" name="Immediate second mission"/>
    <x:tableColumn id="11" name="Source inside envelo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duranceResultTable" displayName="EnduranceResultTable" ref="C19:AD59" headerRowCount="1" totalsRowCount="0" totalsRowShown="0">
  <x:tableColumns count="28">
    <x:tableColumn id="1" name="Architecture"/>
    <x:tableColumn id="2" name="World"/>
    <x:tableColumn id="3" name="Horizon"/>
    <x:tableColumn id="4" name="No outlet"/>
    <x:tableColumn id="5" name="No resupply"/>
    <x:tableColumn id="6" name="Power fraction"/>
    <x:tableColumn id="7" name="Cold"/>
    <x:tableColumn id="8" name="Cross-connection"/>
    <x:tableColumn id="9" name="Train loss"/>
    <x:tableColumn id="10" name="Second mission"/>
    <x:tableColumn id="11" name="Source valid"/>
    <x:tableColumn id="12" name="Liquid need m³"/>
    <x:tableColumn id="13" name="Liquid custody m³"/>
    <x:tableColumn id="14" name="Residual"/>
    <x:tableColumn id="15" name="Consumables need t"/>
    <x:tableColumn id="16" name="Consumable stock t"/>
    <x:tableColumn id="17" name="Consumables"/>
    <x:tableColumn id="18" name="Available MW"/>
    <x:tableColumn id="19" name="Critical MW"/>
    <x:tableColumn id="20" name="Power"/>
    <x:tableColumn id="21" name="Cold qualification"/>
    <x:tableColumn id="22" name="Network separation"/>
    <x:tableColumn id="23" name="Regeneration"/>
    <x:tableColumn id="24" name="Repeat"/>
    <x:tableColumn id="25" name="Source behavior"/>
    <x:tableColumn id="26" name="Overall"/>
    <x:tableColumn id="27" name="Service-bearing"/>
    <x:tableColumn id="28" name="Strict admis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erialBalanceTable" displayName="MaterialBalanceTable" ref="C5:V9" headerRowCount="1" totalsRowCount="0" totalsRowShown="0">
  <x:tableColumns count="20">
    <x:tableColumn id="1" name="ID"/>
    <x:tableColumn id="2" name="Total service m³/day"/>
    <x:tableColumn id="3" name="High-grade m³/day"/>
    <x:tableColumn id="4" name="Use-specific m³/day"/>
    <x:tableColumn id="5" name="Liquid residual m³/day"/>
    <x:tableColumn id="6" name="14-day liquid m³"/>
    <x:tableColumn id="7" name="30-day liquid m³"/>
    <x:tableColumn id="8" name="Liquid custody m³"/>
    <x:tableColumn id="9" name="14-day liquid margin m³"/>
    <x:tableColumn id="10" name="30-day liquid margin m³"/>
    <x:tableColumn id="11" name="Solid residual t/day"/>
    <x:tableColumn id="12" name="14-day solids t"/>
    <x:tableColumn id="13" name="30-day solids t"/>
    <x:tableColumn id="14" name="Solid custody t"/>
    <x:tableColumn id="15" name="Consumables t/day"/>
    <x:tableColumn id="16" name="30-day consumables t"/>
    <x:tableColumn id="17" name="Consumable stock t"/>
    <x:tableColumn id="18" name="30-day stock margin t"/>
    <x:tableColumn id="19" name="Total critical MW"/>
    <x:tableColumn id="20" name="Installed-power margin MW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nduranceConfigurationTable" displayName="EnduranceConfigurationTable" ref="C5:H21" headerRowCount="1" totalsRowCount="0" totalsRowShown="0">
  <x:tableColumns count="6">
    <x:tableColumn id="1" name="Architecture"/>
    <x:tableColumn id="2" name="Element"/>
    <x:tableColumn id="3" name="Function"/>
    <x:tableColumn id="4" name="Added dry t"/>
    <x:tableColumn id="5" name="Added crew"/>
    <x:tableColumn id="6" name="Equipment $B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nduranceProgramTable" displayName="EnduranceProgramTable" ref="C5:P9" headerRowCount="1" totalsRowCount="0" totalsRowShown="0">
  <x:tableColumns count="14">
    <x:tableColumn id="1" name="ID"/>
    <x:tableColumn id="2" name="Program line"/>
    <x:tableColumn id="3" name="Chains"/>
    <x:tableColumn id="4" name="Equipment $B/chain"/>
    <x:tableColumn id="5" name="Equipment $B"/>
    <x:tableColumn id="6" name="RDT&amp;E $B"/>
    <x:tableColumn id="7" name="Proving $B"/>
    <x:tableColumn id="8" name="Industrialization $B"/>
    <x:tableColumn id="9" name="Nodes"/>
    <x:tableColumn id="10" name="Node adaptation $B"/>
    <x:tableColumn id="11" name="Common systems $B"/>
    <x:tableColumn id="12" name="Annual O&amp;S $B/chain"/>
    <x:tableColumn id="13" name="Years"/>
    <x:tableColumn id="14" name="25-year total $B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nduranceTestTable" displayName="EnduranceTestTable" ref="C5:I22" headerRowCount="1" totalsRowCount="0" totalsRowShown="0">
  <x:tableColumns count="7">
    <x:tableColumn id="1" name="Gate"/>
    <x:tableColumn id="2" name="Test article"/>
    <x:tableColumn id="3" name="Measured output"/>
    <x:tableColumn id="4" name="Pass condition"/>
    <x:tableColumn id="5" name="Failure consequence"/>
    <x:tableColumn id="6" name="State"/>
    <x:tableColumn id="7" name="Applies t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nduranceEvidenceTable" displayName="EnduranceEvidenceTable" ref="C5:J14" headerRowCount="1" totalsRowCount="0" totalsRowShown="0">
  <x:tableColumns count="8">
    <x:tableColumn id="1" name="Claim family"/>
    <x:tableColumn id="2" name="Input or boundary"/>
    <x:tableColumn id="3" name="Type"/>
    <x:tableColumn id="4" name="Repository source"/>
    <x:tableColumn id="5" name="Status"/>
    <x:tableColumn id="6" name="Next evidence"/>
    <x:tableColumn id="7" name="Owner"/>
    <x:tableColumn id="8" name="Admission u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nduranceIntegrityTable" displayName="EnduranceIntegrityTable" ref="C5:G55" headerRowCount="1" totalsRowCount="0" totalsRowShown="0">
  <x:tableColumns count="5">
    <x:tableColumn id="1" name="Check"/>
    <x:tableColumn id="2" name="Actual"/>
    <x:tableColumn id="3" name="Expected"/>
    <x:tableColumn id="4" name="Toleranc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86bbcfb77541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4d7e1432684c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adbab5da0d4187" /><Relationship Type="http://schemas.openxmlformats.org/officeDocument/2006/relationships/table" Target="/xl/tables/table4.xml" Id="R38d1e91ac5654b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885c4c0e47547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333a8e5d0ff4a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73e0da6ff504f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6bc00e257c04e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bfbe0f48fa54c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3a0c17e54674b56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17" topLeftCell="A18" activePane="bottomLeft" state="frozen"/>
    </x:sheetView>
  </x:sheetViews>
  <x:sheetFormatPr defaultRowHeight="15"/>
  <x:cols>
    <x:col min="3" max="3" width="48" hidden="0" customWidth="1"/>
    <x:col min="4" max="4" width="31" hidden="0" customWidth="1"/>
    <x:col min="5" max="5" width="16" hidden="0" customWidth="1"/>
    <x:col min="6" max="6" width="16" hidden="0" customWidth="1"/>
    <x:col min="7" max="7" width="23" hidden="0" customWidth="1"/>
    <x:col min="8" max="8" width="17" hidden="0" customWidth="1"/>
    <x:col min="9" max="9" width="19" hidden="0" customWidth="1"/>
    <x:col min="10" max="10" width="18" hidden="0" customWidth="1"/>
    <x:col min="11" max="11" width="17" hidden="0" customWidth="1"/>
    <x:col min="12" max="12" width="17" hidden="0" customWidth="1"/>
    <x:col min="13" max="13" width="20" hidden="0" customWidth="1"/>
    <x:col min="14" max="14" width="20" hidden="0" customWidth="1"/>
    <x:col min="15" max="15" width="18" hidden="0" customWidth="1"/>
    <x:col min="16" max="16" width="18" hidden="0" customWidth="1"/>
    <x:col min="17" max="17" width="15" hidden="0" customWidth="1"/>
    <x:col min="18" max="18" width="60" hidden="0" customWidth="1"/>
  </x:cols>
  <x:sheetData>
    <x:row r="2">
      <x:c r="C2" s="33" t="str">
        <x:v>Water endurance architecture decision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</x:row>
    <x:row r="3">
      <x:c r="C3" s="35" t="str">
        <x:v>All four concepts close the two Pass 68 forcing cases. None earns procurement admission or survives every new stress world.</x:v>
      </x:c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</x:row>
    <x:row r="4"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</x:row>
    <x:row r="5">
      <x:c r="C5" s="9" t="str">
        <x:v>Decision measure</x:v>
      </x:c>
      <x:c r="D5" s="9" t="str">
        <x:v>Result</x:v>
      </x:c>
      <x:c r="E5" s="9" t="str">
        <x:v>Unit</x:v>
      </x:c>
      <x:c r="F5" s="9" t="str">
        <x:v>Threshold</x:v>
      </x:c>
      <x:c r="G5" s="9" t="str">
        <x:v>Status</x:v>
      </x:c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</x:row>
    <x:row r="6" ht="33" customHeight="1">
      <x:c r="C6" s="37" t="str">
        <x:v>Architectures closing W7</x:v>
      </x:c>
      <x:c r="D6" s="38" t="n">
        <x:f>COUNTIFS('03 Stress Worlds'!$D$20:$D$59,"S1",'03 Stress Worlds'!$AB$20:$AB$59,"PASS")</x:f>
        <x:v>4</x:v>
      </x:c>
      <x:c r="E6" s="37" t="str">
        <x:v>of 4</x:v>
      </x:c>
      <x:c r="F6" s="37" t="n">
        <x:v>4</x:v>
      </x:c>
      <x:c r="G6" s="37" t="str">
        <x:f>IF(D6&gt;=F6,"PASS","FAIL")</x:f>
        <x:v>PASS</x:v>
      </x:c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</x:row>
    <x:row r="7" ht="33" customHeight="1">
      <x:c r="C7" s="37" t="str">
        <x:v>Architectures closing W11</x:v>
      </x:c>
      <x:c r="D7" s="38" t="n">
        <x:f>COUNTIFS('03 Stress Worlds'!$D$20:$D$59,"S2",'03 Stress Worlds'!$AB$20:$AB$59,"PASS")</x:f>
        <x:v>4</x:v>
      </x:c>
      <x:c r="E7" s="37" t="str">
        <x:v>of 4</x:v>
      </x:c>
      <x:c r="F7" s="37" t="n">
        <x:v>4</x:v>
      </x:c>
      <x:c r="G7" s="37" t="str">
        <x:f>IF(D7&gt;=F7,"PASS","FAIL")</x:f>
        <x:v>PASS</x:v>
      </x:c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</x:row>
    <x:row r="8" ht="33" customHeight="1">
      <x:c r="C8" s="37" t="str">
        <x:v>Architectures closing simultaneous 30-day denial</x:v>
      </x:c>
      <x:c r="D8" s="38" t="n">
        <x:f>COUNTIFS('03 Stress Worlds'!$D$20:$D$59,"S3",'03 Stress Worlds'!$AB$20:$AB$59,"PASS")</x:f>
        <x:v>2</x:v>
      </x:c>
      <x:c r="E8" s="37" t="str">
        <x:v>of 4</x:v>
      </x:c>
      <x:c r="F8" s="37" t="n">
        <x:v>4</x:v>
      </x:c>
      <x:c r="G8" s="37" t="str">
        <x:f>IF(D8&gt;=F8,"PASS","FAIL")</x:f>
        <x:v>FAIL</x:v>
      </x:c>
      <x:c r="H8" s="36"/>
      <x:c r="I8" s="36"/>
      <x:c r="J8" s="36"/>
      <x:c r="K8" s="36"/>
      <x:c r="L8" s="36"/>
      <x:c r="M8" s="36"/>
      <x:c r="N8" s="36"/>
      <x:c r="O8" s="36"/>
      <x:c r="P8" s="36"/>
      <x:c r="Q8" s="36"/>
      <x:c r="R8" s="36"/>
    </x:row>
    <x:row r="9" ht="33" customHeight="1">
      <x:c r="C9" s="37" t="str">
        <x:v>Architectures surviving 75% power</x:v>
      </x:c>
      <x:c r="D9" s="38" t="n">
        <x:f>COUNTIFS('03 Stress Worlds'!$D$20:$D$59,"S6",'03 Stress Worlds'!$AB$20:$AB$59,"PASS")</x:f>
        <x:v>2</x:v>
      </x:c>
      <x:c r="E9" s="37" t="str">
        <x:v>of 4</x:v>
      </x:c>
      <x:c r="F9" s="37" t="n">
        <x:v>4</x:v>
      </x:c>
      <x:c r="G9" s="37" t="str">
        <x:f>IF(D9&gt;=F9,"PASS","FAIL")</x:f>
        <x:v>FAIL</x:v>
      </x:c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</x:row>
    <x:row r="10" ht="33" customHeight="1">
      <x:c r="C10" s="37" t="str">
        <x:v>Architectures ready for immediate repeat</x:v>
      </x:c>
      <x:c r="D10" s="38" t="n">
        <x:f>COUNTIFS('03 Stress Worlds'!$D$20:$D$59,"S10",'03 Stress Worlds'!$AB$20:$AB$59,"PASS")</x:f>
        <x:v>1</x:v>
      </x:c>
      <x:c r="E10" s="37" t="str">
        <x:v>of 4</x:v>
      </x:c>
      <x:c r="F10" s="37" t="n">
        <x:v>4</x:v>
      </x:c>
      <x:c r="G10" s="37" t="str">
        <x:f>IF(D10&gt;=F10,"PASS","FAIL")</x:f>
        <x:v>FAIL</x:v>
      </x:c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</x:row>
    <x:row r="11" ht="33" customHeight="1">
      <x:c r="C11" s="37" t="str">
        <x:v>Architectures passing every behavior world</x:v>
      </x:c>
      <x:c r="D11" s="38" t="n">
        <x:f>COUNTIFS('02 Architectures'!$AD$6:$AD$9,10)</x:f>
        <x:v>0</x:v>
      </x:c>
      <x:c r="E11" s="37" t="str">
        <x:v>of 4</x:v>
      </x:c>
      <x:c r="F11" s="37" t="n">
        <x:v>4</x:v>
      </x:c>
      <x:c r="G11" s="37" t="str">
        <x:f>IF(D11&gt;=F11,"PASS","FAIL")</x:f>
        <x:v>FAIL</x:v>
      </x:c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</x:row>
    <x:row r="12" ht="33" customHeight="1">
      <x:c r="C12" s="37" t="str">
        <x:v>Strict admissions</x:v>
      </x:c>
      <x:c r="D12" s="38" t="n">
        <x:f>COUNTIFS('02 Architectures'!$AH$6:$AH$9,"ADMITTED")</x:f>
        <x:v>0</x:v>
      </x:c>
      <x:c r="E12" s="37" t="str">
        <x:v>of 4</x:v>
      </x:c>
      <x:c r="F12" s="37" t="n">
        <x:v>4</x:v>
      </x:c>
      <x:c r="G12" s="37" t="str">
        <x:f>IF(D12&gt;=F12,"PASS","FAIL")</x:f>
        <x:v>FAIL</x:v>
      </x:c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</x:row>
    <x:row r="13" ht="33" customHeight="1">
      <x:c r="C13" s="37" t="str">
        <x:v>Rendering-eligible architectures</x:v>
      </x:c>
      <x:c r="D13" s="38" t="n">
        <x:f>COUNTIFS('02 Architectures'!$X$6:$X$9,"ELIGIBLE")</x:f>
        <x:v>0</x:v>
      </x:c>
      <x:c r="E13" s="37" t="str">
        <x:v>of 4</x:v>
      </x:c>
      <x:c r="F13" s="37" t="n">
        <x:v>4</x:v>
      </x:c>
      <x:c r="G13" s="37" t="str">
        <x:f>IF(D13&gt;=F13,"PASS","FAIL")</x:f>
        <x:v>FAIL</x:v>
      </x:c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</x:row>
    <x:row r="14" ht="33" customHeight="1">
      <x:c r="C14" s="37" t="str">
        <x:v>Procurement selection</x:v>
      </x:c>
      <x:c r="D14" s="37" t="str">
        <x:v>NONE</x:v>
      </x:c>
      <x:c r="E14" s="37" t="str">
        <x:v>decision</x:v>
      </x:c>
      <x:c r="F14" s="37" t="str">
        <x:v>Evidence first</x:v>
      </x:c>
      <x:c r="G14" s="37" t="str">
        <x:v>BLOCKED</x:v>
      </x:c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</x:row>
    <x:row r="15"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</x:row>
    <x:row r="16"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</x:row>
    <x:row r="17">
      <x:c r="C17" s="9" t="str">
        <x:v>ID</x:v>
      </x:c>
      <x:c r="D17" s="9" t="str">
        <x:v>Architecture</x:v>
      </x:c>
      <x:c r="E17" s="9" t="str">
        <x:v>W7</x:v>
      </x:c>
      <x:c r="F17" s="9" t="str">
        <x:v>W11</x:v>
      </x:c>
      <x:c r="G17" s="9" t="str">
        <x:v>Simultaneous denial</x:v>
      </x:c>
      <x:c r="H17" s="9" t="str">
        <x:v>75% power</x:v>
      </x:c>
      <x:c r="I17" s="9" t="str">
        <x:v>Immediate repeat</x:v>
      </x:c>
      <x:c r="J17" s="9" t="str">
        <x:v>Behavior worlds</x:v>
      </x:c>
      <x:c r="K17" s="9" t="str">
        <x:v>Service worlds</x:v>
      </x:c>
      <x:c r="L17" s="9" t="str">
        <x:v>Added dry t</x:v>
      </x:c>
      <x:c r="M17" s="9" t="str">
        <x:v>Total critical MW</x:v>
      </x:c>
      <x:c r="N17" s="9" t="str">
        <x:v>Liquid custody m³</x:v>
      </x:c>
      <x:c r="O17" s="9" t="str">
        <x:v>Solid custody t</x:v>
      </x:c>
      <x:c r="P17" s="9" t="str">
        <x:v>25-year $B</x:v>
      </x:c>
      <x:c r="Q17" s="9" t="str">
        <x:v>Strict</x:v>
      </x:c>
      <x:c r="R17" s="9" t="str">
        <x:v>Disposition</x:v>
      </x:c>
    </x:row>
    <x:row r="18" ht="58" customHeight="1">
      <x:c r="C18" s="37" t="str">
        <x:v>E1</x:v>
      </x:c>
      <x:c r="D18" s="39" t="str">
        <x:v>Carry and contain</x:v>
      </x:c>
      <x:c r="E18" s="37" t="str">
        <x:f>IF(COUNTIFS('03 Stress Worlds'!$C$20:$C$59,C18,'03 Stress Worlds'!$D$20:$D$59,"S1",'03 Stress Worlds'!$AB$20:$AB$59,"PASS")=1,"PASS","FAIL")</x:f>
        <x:v>PASS</x:v>
      </x:c>
      <x:c r="F18" s="37" t="str">
        <x:f>IF(COUNTIFS('03 Stress Worlds'!$C$20:$C$59,C18,'03 Stress Worlds'!$D$20:$D$59,"S2",'03 Stress Worlds'!$AB$20:$AB$59,"PASS")=1,"PASS","FAIL")</x:f>
        <x:v>PASS</x:v>
      </x:c>
      <x:c r="G18" s="37" t="str">
        <x:f>IF(COUNTIFS('03 Stress Worlds'!$C$20:$C$59,C18,'03 Stress Worlds'!$D$20:$D$59,"S3",'03 Stress Worlds'!$AB$20:$AB$59,"PASS")=1,"PASS","FAIL")</x:f>
        <x:v>FAIL</x:v>
      </x:c>
      <x:c r="H18" s="37" t="str">
        <x:f>IF(COUNTIFS('03 Stress Worlds'!$C$20:$C$59,C18,'03 Stress Worlds'!$D$20:$D$59,"S6",'03 Stress Worlds'!$AB$20:$AB$59,"PASS")=1,"PASS","FAIL")</x:f>
        <x:v>PASS</x:v>
      </x:c>
      <x:c r="I18" s="37" t="str">
        <x:f>IF(COUNTIFS('03 Stress Worlds'!$C$20:$C$59,C18,'03 Stress Worlds'!$D$20:$D$59,"S10",'03 Stress Worlds'!$AB$20:$AB$59,"PASS")=1,"PASS","FAIL")</x:f>
        <x:v>FAIL</x:v>
      </x:c>
      <x:c r="J18" s="40" t="n">
        <x:f>'02 Architectures'!AD6</x:f>
        <x:v>8</x:v>
      </x:c>
      <x:c r="K18" s="40" t="n">
        <x:f>'02 Architectures'!AE6</x:f>
        <x:v>7</x:v>
      </x:c>
      <x:c r="L18" s="40" t="n">
        <x:f>'02 Architectures'!Y6</x:f>
        <x:v>400</x:v>
      </x:c>
      <x:c r="M18" s="41" t="n">
        <x:f>'04 Material Balance'!U6</x:f>
        <x:v>1.125</x:v>
      </x:c>
      <x:c r="N18" s="40" t="n">
        <x:f>'02 Architectures'!I6</x:f>
        <x:v>17500</x:v>
      </x:c>
      <x:c r="O18" s="40" t="n">
        <x:f>'02 Architectures'!K6</x:f>
        <x:v>5</x:v>
      </x:c>
      <x:c r="P18" s="42" t="n">
        <x:f>'06 Program'!P6</x:f>
        <x:v>46.88</x:v>
      </x:c>
      <x:c r="Q18" s="37" t="str">
        <x:f>'02 Architectures'!AH6</x:f>
        <x:v>DENIED</x:v>
      </x:c>
      <x:c r="R18" s="39" t="str">
        <x:v>Benchmark: closes W7 and W11 through carried mass; fails thirty-day no-outlet and immediate repeat</x:v>
      </x:c>
    </x:row>
    <x:row r="19" ht="58" customHeight="1">
      <x:c r="C19" s="37" t="str">
        <x:v>E2</x:v>
      </x:c>
      <x:c r="D19" s="39" t="str">
        <x:v>Regenerate and dewater</x:v>
      </x:c>
      <x:c r="E19" s="37" t="str">
        <x:f>IF(COUNTIFS('03 Stress Worlds'!$C$20:$C$59,C19,'03 Stress Worlds'!$D$20:$D$59,"S1",'03 Stress Worlds'!$AB$20:$AB$59,"PASS")=1,"PASS","FAIL")</x:f>
        <x:v>PASS</x:v>
      </x:c>
      <x:c r="F19" s="37" t="str">
        <x:f>IF(COUNTIFS('03 Stress Worlds'!$C$20:$C$59,C19,'03 Stress Worlds'!$D$20:$D$59,"S2",'03 Stress Worlds'!$AB$20:$AB$59,"PASS")=1,"PASS","FAIL")</x:f>
        <x:v>PASS</x:v>
      </x:c>
      <x:c r="G19" s="37" t="str">
        <x:f>IF(COUNTIFS('03 Stress Worlds'!$C$20:$C$59,C19,'03 Stress Worlds'!$D$20:$D$59,"S3",'03 Stress Worlds'!$AB$20:$AB$59,"PASS")=1,"PASS","FAIL")</x:f>
        <x:v>PASS</x:v>
      </x:c>
      <x:c r="H19" s="37" t="str">
        <x:f>IF(COUNTIFS('03 Stress Worlds'!$C$20:$C$59,C19,'03 Stress Worlds'!$D$20:$D$59,"S6",'03 Stress Worlds'!$AB$20:$AB$59,"PASS")=1,"PASS","FAIL")</x:f>
        <x:v>FAIL</x:v>
      </x:c>
      <x:c r="I19" s="37" t="str">
        <x:f>IF(COUNTIFS('03 Stress Worlds'!$C$20:$C$59,C19,'03 Stress Worlds'!$D$20:$D$59,"S10",'03 Stress Worlds'!$AB$20:$AB$59,"PASS")=1,"PASS","FAIL")</x:f>
        <x:v>FAIL</x:v>
      </x:c>
      <x:c r="J19" s="40" t="n">
        <x:f>'02 Architectures'!AD7</x:f>
        <x:v>6</x:v>
      </x:c>
      <x:c r="K19" s="40" t="n">
        <x:f>'02 Architectures'!AE7</x:f>
        <x:v>5</x:v>
      </x:c>
      <x:c r="L19" s="40" t="n">
        <x:f>'02 Architectures'!Y7</x:f>
        <x:v>960</x:v>
      </x:c>
      <x:c r="M19" s="41" t="n">
        <x:f>'04 Material Balance'!U7</x:f>
        <x:v>1.5750000000000002</x:v>
      </x:c>
      <x:c r="N19" s="40" t="n">
        <x:f>'02 Architectures'!I7</x:f>
        <x:v>8750</x:v>
      </x:c>
      <x:c r="O19" s="40" t="n">
        <x:f>'02 Architectures'!K7</x:f>
        <x:v>150</x:v>
      </x:c>
      <x:c r="P19" s="42" t="n">
        <x:f>'06 Program'!P7</x:f>
        <x:v>79.4</x:v>
      </x:c>
      <x:c r="Q19" s="37" t="str">
        <x:f>'02 Architectures'!AH7</x:f>
        <x:v>DENIED</x:v>
      </x:c>
      <x:c r="R19" s="39" t="str">
        <x:v>Research line: closes simultaneous denial; fails train-loss, derated-power, cold and immediate-repeat tests</x:v>
      </x:c>
    </x:row>
    <x:row r="20" ht="58" customHeight="1">
      <x:c r="C20" s="37" t="str">
        <x:v>E3</x:v>
      </x:c>
      <x:c r="D20" s="39" t="str">
        <x:v>Quality-segmented service</x:v>
      </x:c>
      <x:c r="E20" s="37" t="str">
        <x:f>IF(COUNTIFS('03 Stress Worlds'!$C$20:$C$59,C20,'03 Stress Worlds'!$D$20:$D$59,"S1",'03 Stress Worlds'!$AB$20:$AB$59,"PASS")=1,"PASS","FAIL")</x:f>
        <x:v>PASS</x:v>
      </x:c>
      <x:c r="F20" s="37" t="str">
        <x:f>IF(COUNTIFS('03 Stress Worlds'!$C$20:$C$59,C20,'03 Stress Worlds'!$D$20:$D$59,"S2",'03 Stress Worlds'!$AB$20:$AB$59,"PASS")=1,"PASS","FAIL")</x:f>
        <x:v>PASS</x:v>
      </x:c>
      <x:c r="G20" s="37" t="str">
        <x:f>IF(COUNTIFS('03 Stress Worlds'!$C$20:$C$59,C20,'03 Stress Worlds'!$D$20:$D$59,"S3",'03 Stress Worlds'!$AB$20:$AB$59,"PASS")=1,"PASS","FAIL")</x:f>
        <x:v>FAIL</x:v>
      </x:c>
      <x:c r="H20" s="37" t="str">
        <x:f>IF(COUNTIFS('03 Stress Worlds'!$C$20:$C$59,C20,'03 Stress Worlds'!$D$20:$D$59,"S6",'03 Stress Worlds'!$AB$20:$AB$59,"PASS")=1,"PASS","FAIL")</x:f>
        <x:v>PASS</x:v>
      </x:c>
      <x:c r="I20" s="37" t="str">
        <x:f>IF(COUNTIFS('03 Stress Worlds'!$C$20:$C$59,C20,'03 Stress Worlds'!$D$20:$D$59,"S10",'03 Stress Worlds'!$AB$20:$AB$59,"PASS")=1,"PASS","FAIL")</x:f>
        <x:v>FAIL</x:v>
      </x:c>
      <x:c r="J20" s="40" t="n">
        <x:f>'02 Architectures'!AD8</x:f>
        <x:v>7</x:v>
      </x:c>
      <x:c r="K20" s="40" t="n">
        <x:f>'02 Architectures'!AE8</x:f>
        <x:v>6</x:v>
      </x:c>
      <x:c r="L20" s="40" t="n">
        <x:f>'02 Architectures'!Y8</x:f>
        <x:v>450</x:v>
      </x:c>
      <x:c r="M20" s="41" t="n">
        <x:f>'04 Material Balance'!U8</x:f>
        <x:v>1.2716666666666665</x:v>
      </x:c>
      <x:c r="N20" s="40" t="n">
        <x:f>'02 Architectures'!I8</x:f>
        <x:v>11340</x:v>
      </x:c>
      <x:c r="O20" s="40" t="n">
        <x:f>'02 Architectures'!K8</x:f>
        <x:v>6</x:v>
      </x:c>
      <x:c r="P20" s="42" t="n">
        <x:f>'06 Program'!P8</x:f>
        <x:v>60</x:v>
      </x:c>
      <x:c r="Q20" s="37" t="str">
        <x:f>'02 Architectures'!AH8</x:f>
        <x:v>DENIED</x:v>
      </x:c>
      <x:c r="R20" s="39" t="str">
        <x:v>Doctrine line: reduces high-grade process demand; fails simultaneous denial, cross-connection and repeat tests</x:v>
      </x:c>
    </x:row>
    <x:row r="21" ht="58" customHeight="1">
      <x:c r="C21" s="37" t="str">
        <x:v>E4</x:v>
      </x:c>
      <x:c r="D21" s="39" t="str">
        <x:v>Circular source cell</x:v>
      </x:c>
      <x:c r="E21" s="37" t="str">
        <x:f>IF(COUNTIFS('03 Stress Worlds'!$C$20:$C$59,C21,'03 Stress Worlds'!$D$20:$D$59,"S1",'03 Stress Worlds'!$AB$20:$AB$59,"PASS")=1,"PASS","FAIL")</x:f>
        <x:v>PASS</x:v>
      </x:c>
      <x:c r="F21" s="37" t="str">
        <x:f>IF(COUNTIFS('03 Stress Worlds'!$C$20:$C$59,C21,'03 Stress Worlds'!$D$20:$D$59,"S2",'03 Stress Worlds'!$AB$20:$AB$59,"PASS")=1,"PASS","FAIL")</x:f>
        <x:v>PASS</x:v>
      </x:c>
      <x:c r="G21" s="37" t="str">
        <x:f>IF(COUNTIFS('03 Stress Worlds'!$C$20:$C$59,C21,'03 Stress Worlds'!$D$20:$D$59,"S3",'03 Stress Worlds'!$AB$20:$AB$59,"PASS")=1,"PASS","FAIL")</x:f>
        <x:v>PASS</x:v>
      </x:c>
      <x:c r="H21" s="37" t="str">
        <x:f>IF(COUNTIFS('03 Stress Worlds'!$C$20:$C$59,C21,'03 Stress Worlds'!$D$20:$D$59,"S6",'03 Stress Worlds'!$AB$20:$AB$59,"PASS")=1,"PASS","FAIL")</x:f>
        <x:v>FAIL</x:v>
      </x:c>
      <x:c r="I21" s="37" t="str">
        <x:f>IF(COUNTIFS('03 Stress Worlds'!$C$20:$C$59,C21,'03 Stress Worlds'!$D$20:$D$59,"S10",'03 Stress Worlds'!$AB$20:$AB$59,"PASS")=1,"PASS","FAIL")</x:f>
        <x:v>PASS</x:v>
      </x:c>
      <x:c r="J21" s="40" t="n">
        <x:f>'02 Architectures'!AD9</x:f>
        <x:v>8</x:v>
      </x:c>
      <x:c r="K21" s="40" t="n">
        <x:f>'02 Architectures'!AE9</x:f>
        <x:v>7</x:v>
      </x:c>
      <x:c r="L21" s="40" t="n">
        <x:f>'02 Architectures'!Y9</x:f>
        <x:v>1400</x:v>
      </x:c>
      <x:c r="M21" s="41" t="n">
        <x:f>'04 Material Balance'!U9</x:f>
        <x:v>1.75</x:v>
      </x:c>
      <x:c r="N21" s="40" t="n">
        <x:f>'02 Architectures'!I9</x:f>
        <x:v>8750</x:v>
      </x:c>
      <x:c r="O21" s="40" t="n">
        <x:f>'02 Architectures'!K9</x:f>
        <x:v>450</x:v>
      </x:c>
      <x:c r="P21" s="42" t="n">
        <x:f>'06 Program'!P9</x:f>
        <x:v>145</x:v>
      </x:c>
      <x:c r="Q21" s="37" t="str">
        <x:f>'02 Architectures'!AH9</x:f>
        <x:v>DENIED</x:v>
      </x:c>
      <x:c r="R21" s="39" t="str">
        <x:v>Research line: closes simultaneous denial and repeat; fails derated-power and cold tests</x:v>
      </x:c>
    </x:row>
    <x:row r="22"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</x:row>
    <x:row r="23"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</x:row>
    <x:row r="24">
      <x:c r="C24" s="9" t="str">
        <x:v>Finding</x:v>
      </x:c>
      <x:c r="D24" s="9" t="str">
        <x:v>Measured consequence</x:v>
      </x:c>
      <x:c r="E24" s="9" t="str">
        <x:v>Design implication</x:v>
      </x:c>
      <x:c r="F24" s="9" t="str">
        <x:v>Status</x:v>
      </x:c>
      <x:c r="G24" s="9" t="str">
        <x:v>Next proof</x:v>
      </x:c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</x:row>
    <x:row r="25" ht="60" customHeight="1">
      <x:c r="C25" s="39" t="str">
        <x:v>Storage closes the first gap but accumulates the next mission</x:v>
      </x:c>
      <x:c r="D25" s="39" t="str">
        <x:v>E1 needs 17,500 m³ of custody and still fails a thirty-day no-outlet world</x:v>
      </x:c>
      <x:c r="E25" s="39" t="str">
        <x:v>Treat demobilization and final disposition as part of endurance</x:v>
      </x:c>
      <x:c r="F25" s="39" t="str">
        <x:v>OPEN</x:v>
      </x:c>
      <x:c r="G25" s="39" t="str">
        <x:v>T2 and T10</x:v>
      </x:c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</x:row>
    <x:row r="26" ht="60" customHeight="1">
      <x:c r="C26" s="39" t="str">
        <x:v>Regeneration converts rather than eliminates waste</x:v>
      </x:c>
      <x:c r="D26" s="39" t="str">
        <x:v>E2 reduces liquid residual 85% but creates 5 t/day of contained solids</x:v>
      </x:c>
      <x:c r="E26" s="39" t="str">
        <x:v>Qualify both liquid recovery and solid custody</x:v>
      </x:c>
      <x:c r="F26" s="39" t="str">
        <x:v>OPEN</x:v>
      </x:c>
      <x:c r="G26" s="39" t="str">
        <x:v>T3 and T4</x:v>
      </x:c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</x:row>
    <x:row r="27" ht="60" customHeight="1">
      <x:c r="C27" s="39" t="str">
        <x:v>Service segmentation is a public-health architecture</x:v>
      </x:c>
      <x:c r="D27" s="39" t="str">
        <x:v>E3 cuts high-grade output to 3,000 m³/day and adds a second product network</x:v>
      </x:c>
      <x:c r="E27" s="39" t="str">
        <x:v>Cross-connection prevention is a mission gate</x:v>
      </x:c>
      <x:c r="F27" s="39" t="str">
        <x:v>OPEN</x:v>
      </x:c>
      <x:c r="G27" s="39" t="str">
        <x:v>T5</x:v>
      </x:c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</x:row>
    <x:row r="28" ht="60" customHeight="1">
      <x:c r="C28" s="39" t="str">
        <x:v>Circularity shifts the binding resource toward power</x:v>
      </x:c>
      <x:c r="D28" s="39" t="str">
        <x:v>E4 closes thirty-day residual and consumable balances but fails at 75% installed power</x:v>
      </x:c>
      <x:c r="E28" s="39" t="str">
        <x:v>Compete power, heat rejection and recovery together</x:v>
      </x:c>
      <x:c r="F28" s="39" t="str">
        <x:v>OPEN</x:v>
      </x:c>
      <x:c r="G28" s="39" t="str">
        <x:v>T7</x:v>
      </x:c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</x:row>
    <x:row r="29" ht="60" customHeight="1">
      <x:c r="C29" s="39" t="str">
        <x:v>The two original failures are not the admission test</x:v>
      </x:c>
      <x:c r="D29" s="39" t="str">
        <x:v>All four pass W7 and W11; zero pass every behavior world</x:v>
      </x:c>
      <x:c r="E29" s="39" t="str">
        <x:v>Carry all four into bounded prototypes; select none</x:v>
      </x:c>
      <x:c r="F29" s="39" t="str">
        <x:v>BLOCKED</x:v>
      </x:c>
      <x:c r="G29" s="39" t="str">
        <x:v>T1-T17</x:v>
      </x:c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</x:row>
  </x:sheetData>
  <x:conditionalFormatting sqref="G6:G14">
    <x:cfRule type="containsText" dxfId="42" priority="1" operator="containsText" text="FAIL"/>
    <x:cfRule type="containsText" dxfId="43" priority="2" operator="containsText" text="DENIED"/>
    <x:cfRule type="containsText" dxfId="44" priority="3" operator="containsText" text="BLOCKED"/>
    <x:cfRule type="containsText" dxfId="45" priority="4" operator="containsText" text="OPEN"/>
    <x:cfRule type="containsText" dxfId="46" priority="5" operator="containsText" text="UNTESTED"/>
    <x:cfRule type="containsText" dxfId="47" priority="6" operator="containsText" text="DECLARED"/>
    <x:cfRule type="containsText" dxfId="48" priority="7" operator="containsText" text="PASS"/>
  </x:conditionalFormatting>
  <x:conditionalFormatting sqref="E18:I21">
    <x:cfRule type="containsText" dxfId="49" priority="8" operator="containsText" text="FAIL"/>
    <x:cfRule type="containsText" dxfId="50" priority="9" operator="containsText" text="DENIED"/>
    <x:cfRule type="containsText" dxfId="51" priority="10" operator="containsText" text="BLOCKED"/>
    <x:cfRule type="containsText" dxfId="52" priority="11" operator="containsText" text="OPEN"/>
    <x:cfRule type="containsText" dxfId="53" priority="12" operator="containsText" text="UNTESTED"/>
    <x:cfRule type="containsText" dxfId="54" priority="13" operator="containsText" text="DECLARED"/>
    <x:cfRule type="containsText" dxfId="55" priority="14" operator="containsText" text="PASS"/>
  </x:conditionalFormatting>
  <x:conditionalFormatting sqref="Q18:Q21">
    <x:cfRule type="containsText" dxfId="56" priority="15" operator="containsText" text="FAIL"/>
    <x:cfRule type="containsText" dxfId="57" priority="16" operator="containsText" text="DENIED"/>
    <x:cfRule type="containsText" dxfId="58" priority="17" operator="containsText" text="BLOCKED"/>
    <x:cfRule type="containsText" dxfId="59" priority="18" operator="containsText" text="OPEN"/>
    <x:cfRule type="containsText" dxfId="60" priority="19" operator="containsText" text="UNTESTED"/>
    <x:cfRule type="containsText" dxfId="61" priority="20" operator="containsText" text="DECLARED"/>
    <x:cfRule type="containsText" dxfId="62" priority="21" operator="containsText" text="PASS"/>
  </x:conditionalFormatting>
  <x:conditionalFormatting sqref="F25:F29">
    <x:cfRule type="containsText" dxfId="63" priority="22" operator="containsText" text="FAIL"/>
    <x:cfRule type="containsText" dxfId="64" priority="23" operator="containsText" text="DENIED"/>
    <x:cfRule type="containsText" dxfId="65" priority="24" operator="containsText" text="BLOCKED"/>
    <x:cfRule type="containsText" dxfId="66" priority="25" operator="containsText" text="OPEN"/>
    <x:cfRule type="containsText" dxfId="67" priority="26" operator="containsText" text="UNTESTED"/>
    <x:cfRule type="containsText" dxfId="68" priority="27" operator="containsText" text="DECLARED"/>
    <x:cfRule type="containsText" dxfId="69" priority="28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43" hidden="0" customWidth="1"/>
    <x:col min="4" max="4" width="18" hidden="0" customWidth="1"/>
    <x:col min="5" max="5" width="23" hidden="0" customWidth="1"/>
    <x:col min="6" max="6" width="62" hidden="0" customWidth="1"/>
    <x:col min="7" max="7" width="18" hidden="0" customWidth="1"/>
  </x:cols>
  <x:sheetData>
    <x:row r="2">
      <x:c r="C2" s="33" t="str">
        <x:v>Closed-loop water endurance controls</x:v>
      </x:c>
      <x:c r="D2" s="34"/>
      <x:c r="E2" s="34"/>
      <x:c r="F2" s="34"/>
      <x:c r="G2" s="34"/>
      <x:c r="H2" s="34"/>
    </x:row>
    <x:row r="3">
      <x:c r="C3" s="35" t="str">
        <x:v>Blue values are declared or inherited hypotheses. Mass and energy remain visible when liquid residual becomes solid or chemistry is regenerated.</x:v>
      </x:c>
      <x:c r="D3" s="35"/>
      <x:c r="E3" s="35"/>
      <x:c r="F3" s="35"/>
      <x:c r="G3" s="35"/>
      <x:c r="H3" s="35"/>
    </x:row>
    <x:row r="4">
      <x:c r="C4" s="36"/>
      <x:c r="D4" s="36"/>
      <x:c r="E4" s="36"/>
      <x:c r="F4" s="36"/>
      <x:c r="G4" s="36"/>
      <x:c r="H4" s="36"/>
    </x:row>
    <x:row r="5">
      <x:c r="C5" s="9" t="str">
        <x:v>Control</x:v>
      </x:c>
      <x:c r="D5" s="9" t="str">
        <x:v>Value</x:v>
      </x:c>
      <x:c r="E5" s="9" t="str">
        <x:v>Unit</x:v>
      </x:c>
      <x:c r="F5" s="9" t="str">
        <x:v>Role</x:v>
      </x:c>
      <x:c r="G5" s="9" t="str">
        <x:v>State</x:v>
      </x:c>
      <x:c r="H5" s="36"/>
    </x:row>
    <x:row r="6" ht="31" customHeight="1">
      <x:c r="C6" s="37" t="str">
        <x:v>Assurance service requirement</x:v>
      </x:c>
      <x:c r="D6" s="43" t="n">
        <x:v>5000</x:v>
      </x:c>
      <x:c r="E6" s="39" t="str">
        <x:v>m³/day</x:v>
      </x:c>
      <x:c r="F6" s="39" t="str">
        <x:v>Pass 68 half-demand source mission</x:v>
      </x:c>
      <x:c r="G6" s="39" t="str">
        <x:v>INHERITED</x:v>
      </x:c>
      <x:c r="H6" s="36"/>
    </x:row>
    <x:row r="7" ht="31" customHeight="1">
      <x:c r="C7" s="37" t="str">
        <x:v>No-outlet reference horizon</x:v>
      </x:c>
      <x:c r="D7" s="43" t="n">
        <x:v>14</x:v>
      </x:c>
      <x:c r="E7" s="39" t="str">
        <x:v>days</x:v>
      </x:c>
      <x:c r="F7" s="39" t="str">
        <x:v>Pass 68 W7 failure</x:v>
      </x:c>
      <x:c r="G7" s="39" t="str">
        <x:v>INHERITED</x:v>
      </x:c>
      <x:c r="H7" s="36"/>
    </x:row>
    <x:row r="8" ht="31" customHeight="1">
      <x:c r="C8" s="37" t="str">
        <x:v>No-consumables reference horizon</x:v>
      </x:c>
      <x:c r="D8" s="43" t="n">
        <x:v>30</x:v>
      </x:c>
      <x:c r="E8" s="39" t="str">
        <x:v>days</x:v>
      </x:c>
      <x:c r="F8" s="39" t="str">
        <x:v>Pass 68 W11 failure</x:v>
      </x:c>
      <x:c r="G8" s="39" t="str">
        <x:v>INHERITED</x:v>
      </x:c>
      <x:c r="H8" s="36"/>
    </x:row>
    <x:row r="9" ht="31" customHeight="1">
      <x:c r="C9" s="37" t="str">
        <x:v>C3 liquid residual rate</x:v>
      </x:c>
      <x:c r="D9" s="43" t="n">
        <x:v>0.25</x:v>
      </x:c>
      <x:c r="E9" s="39" t="str">
        <x:v>m³/m³ product</x:v>
      </x:c>
      <x:c r="F9" s="39" t="str">
        <x:v>Baseline variable-feed process</x:v>
      </x:c>
      <x:c r="G9" s="39" t="str">
        <x:v>INHERITED</x:v>
      </x:c>
      <x:c r="H9" s="36"/>
    </x:row>
    <x:row r="10" ht="31" customHeight="1">
      <x:c r="C10" s="37" t="str">
        <x:v>C3 liquid residual buffer</x:v>
      </x:c>
      <x:c r="D10" s="43" t="n">
        <x:v>7</x:v>
      </x:c>
      <x:c r="E10" s="39" t="str">
        <x:v>days</x:v>
      </x:c>
      <x:c r="F10" s="39" t="str">
        <x:v>8,750 m³ at reference service</x:v>
      </x:c>
      <x:c r="G10" s="39" t="str">
        <x:v>INHERITED</x:v>
      </x:c>
      <x:c r="H10" s="36"/>
    </x:row>
    <x:row r="11" ht="31" customHeight="1">
      <x:c r="C11" s="37" t="str">
        <x:v>C3 consumable intensity</x:v>
      </x:c>
      <x:c r="D11" s="43" t="n">
        <x:v>0.4</x:v>
      </x:c>
      <x:c r="E11" s="39" t="str">
        <x:v>kg/m³ product</x:v>
      </x:c>
      <x:c r="F11" s="39" t="str">
        <x:v>Pretreatment, separation, stabilization and laboratory</x:v>
      </x:c>
      <x:c r="G11" s="39" t="str">
        <x:v>DECLARED</x:v>
      </x:c>
      <x:c r="H11" s="36"/>
    </x:row>
    <x:row r="12" ht="31" customHeight="1">
      <x:c r="C12" s="37" t="str">
        <x:v>C3 consumable stock</x:v>
      </x:c>
      <x:c r="D12" s="43" t="n">
        <x:v>14</x:v>
      </x:c>
      <x:c r="E12" s="39" t="str">
        <x:v>days</x:v>
      </x:c>
      <x:c r="F12" s="39" t="str">
        <x:v>Baseline organic inventory</x:v>
      </x:c>
      <x:c r="G12" s="39" t="str">
        <x:v>INHERITED</x:v>
      </x:c>
      <x:c r="H12" s="36"/>
    </x:row>
    <x:row r="13" ht="31" customHeight="1">
      <x:c r="C13" s="37" t="str">
        <x:v>C3 process energy</x:v>
      </x:c>
      <x:c r="D13" s="43" t="n">
        <x:v>3</x:v>
      </x:c>
      <x:c r="E13" s="39" t="str">
        <x:v>kWh/m³</x:v>
      </x:c>
      <x:c r="F13" s="39" t="str">
        <x:v>Baseline process</x:v>
      </x:c>
      <x:c r="G13" s="39" t="str">
        <x:v>INHERITED</x:v>
      </x:c>
      <x:c r="H13" s="36"/>
    </x:row>
    <x:row r="14" ht="31" customHeight="1">
      <x:c r="C14" s="37" t="str">
        <x:v>C3 hotel and support load</x:v>
      </x:c>
      <x:c r="D14" s="43" t="n">
        <x:v>0.35</x:v>
      </x:c>
      <x:c r="E14" s="39" t="str">
        <x:v>MW</x:v>
      </x:c>
      <x:c r="F14" s="39" t="str">
        <x:v>Baseline non-process critical load</x:v>
      </x:c>
      <x:c r="G14" s="39" t="str">
        <x:v>INHERITED</x:v>
      </x:c>
      <x:c r="H14" s="36"/>
    </x:row>
    <x:row r="15" ht="31" customHeight="1">
      <x:c r="C15" s="37" t="str">
        <x:v>C3 independent power</x:v>
      </x:c>
      <x:c r="D15" s="43" t="n">
        <x:v>2</x:v>
      </x:c>
      <x:c r="E15" s="39" t="str">
        <x:v>MW</x:v>
      </x:c>
      <x:c r="F15" s="39" t="str">
        <x:v>Baseline installed power allocation</x:v>
      </x:c>
      <x:c r="G15" s="39" t="str">
        <x:v>INHERITED</x:v>
      </x:c>
      <x:c r="H15" s="36"/>
    </x:row>
    <x:row r="16" ht="31" customHeight="1">
      <x:c r="C16" s="37" t="str">
        <x:v>C3 dry mass</x:v>
      </x:c>
      <x:c r="D16" s="43" t="n">
        <x:v>1750</x:v>
      </x:c>
      <x:c r="E16" s="39" t="str">
        <x:v>t</x:v>
      </x:c>
      <x:c r="F16" s="39" t="str">
        <x:v>Pass 68 complete chain</x:v>
      </x:c>
      <x:c r="G16" s="39" t="str">
        <x:v>INHERITED</x:v>
      </x:c>
      <x:c r="H16" s="36"/>
    </x:row>
    <x:row r="17" ht="31" customHeight="1">
      <x:c r="C17" s="37" t="str">
        <x:v>C3 land-chargeable mass</x:v>
      </x:c>
      <x:c r="D17" s="43" t="n">
        <x:v>2050</x:v>
      </x:c>
      <x:c r="E17" s="39" t="str">
        <x:v>t</x:v>
      </x:c>
      <x:c r="F17" s="39" t="str">
        <x:v>Pass 68 complete chain</x:v>
      </x:c>
      <x:c r="G17" s="39" t="str">
        <x:v>INHERITED</x:v>
      </x:c>
      <x:c r="H17" s="36"/>
    </x:row>
    <x:row r="18" ht="31" customHeight="1">
      <x:c r="C18" s="37" t="str">
        <x:v>C3 crew</x:v>
      </x:c>
      <x:c r="D18" s="43" t="n">
        <x:v>90</x:v>
      </x:c>
      <x:c r="E18" s="39" t="str">
        <x:v>people</x:v>
      </x:c>
      <x:c r="F18" s="39" t="str">
        <x:v>Pass 68 complete chain</x:v>
      </x:c>
      <x:c r="G18" s="39" t="str">
        <x:v>INHERITED</x:v>
      </x:c>
      <x:c r="H18" s="36"/>
    </x:row>
    <x:row r="19" ht="31" customHeight="1">
      <x:c r="C19" s="37" t="str">
        <x:v>Liquid-storage hardware coefficient</x:v>
      </x:c>
      <x:c r="D19" s="43" t="n">
        <x:v>36</x:v>
      </x:c>
      <x:c r="E19" s="39" t="str">
        <x:v>t/1,000 m³</x:v>
      </x:c>
      <x:c r="F19" s="39" t="str">
        <x:v>Tank, liner and manifold comparator</x:v>
      </x:c>
      <x:c r="G19" s="39" t="str">
        <x:v>INHERITED</x:v>
      </x:c>
      <x:c r="H19" s="36"/>
    </x:row>
    <x:row r="20" ht="31" customHeight="1">
      <x:c r="C20" s="37" t="str">
        <x:v>Operational endurance chains</x:v>
      </x:c>
      <x:c r="D20" s="43" t="n">
        <x:v>24</x:v>
      </x:c>
      <x:c r="E20" s="39" t="str">
        <x:v>chains</x:v>
      </x:c>
      <x:c r="F20" s="39" t="str">
        <x:v>Incremental program comparator</x:v>
      </x:c>
      <x:c r="G20" s="39" t="str">
        <x:v>INHERITED</x:v>
      </x:c>
      <x:c r="H20" s="36"/>
    </x:row>
    <x:row r="21" ht="31" customHeight="1">
      <x:c r="C21" s="37" t="str">
        <x:v>Program period</x:v>
      </x:c>
      <x:c r="D21" s="43" t="n">
        <x:v>25</x:v>
      </x:c>
      <x:c r="E21" s="39" t="str">
        <x:v>years</x:v>
      </x:c>
      <x:c r="F21" s="39" t="str">
        <x:v>Ownership and operations comparator</x:v>
      </x:c>
      <x:c r="G21" s="39" t="str">
        <x:v>INHERITED</x:v>
      </x:c>
      <x:c r="H21" s="36"/>
    </x:row>
    <x:row r="22" ht="31" customHeight="1">
      <x:c r="C22" s="37" t="str">
        <x:v>Prepared receiver nodes</x:v>
      </x:c>
      <x:c r="D22" s="43" t="n">
        <x:v>12</x:v>
      </x:c>
      <x:c r="E22" s="39" t="str">
        <x:v>nodes</x:v>
      </x:c>
      <x:c r="F22" s="39" t="str">
        <x:v>Site adaptation comparator</x:v>
      </x:c>
      <x:c r="G22" s="39" t="str">
        <x:v>INHERITED</x:v>
      </x:c>
      <x:c r="H22" s="36"/>
    </x:row>
    <x:row r="23" ht="31" customHeight="1">
      <x:c r="C23" s="37" t="str">
        <x:v>Open parent technical gates</x:v>
      </x:c>
      <x:c r="D23" s="43" t="n">
        <x:v>17</x:v>
      </x:c>
      <x:c r="E23" s="39" t="str">
        <x:v>gates</x:v>
      </x:c>
      <x:c r="F23" s="39" t="str">
        <x:v>Pass 68 source-force admission state</x:v>
      </x:c>
      <x:c r="G23" s="39" t="str">
        <x:v>INHERITED</x:v>
      </x:c>
      <x:c r="H23" s="36"/>
    </x:row>
    <x:row r="24" ht="31" customHeight="1">
      <x:c r="C24" s="37" t="str">
        <x:v>E2 liquid-residual reduction</x:v>
      </x:c>
      <x:c r="D24" s="44" t="n">
        <x:v>0.85</x:v>
      </x:c>
      <x:c r="E24" s="39" t="str">
        <x:v>%</x:v>
      </x:c>
      <x:c r="F24" s="39" t="str">
        <x:v>Regeneration and dewatering target</x:v>
      </x:c>
      <x:c r="G24" s="39" t="str">
        <x:v>DECLARED</x:v>
      </x:c>
      <x:c r="H24" s="36"/>
    </x:row>
    <x:row r="25" ht="31" customHeight="1">
      <x:c r="C25" s="37" t="str">
        <x:v>E2 consumable reduction</x:v>
      </x:c>
      <x:c r="D25" s="44" t="n">
        <x:v>0.8</x:v>
      </x:c>
      <x:c r="E25" s="39" t="str">
        <x:v>%</x:v>
      </x:c>
      <x:c r="F25" s="39" t="str">
        <x:v>Endogenous chemistry and media regeneration target</x:v>
      </x:c>
      <x:c r="G25" s="39" t="str">
        <x:v>DECLARED</x:v>
      </x:c>
      <x:c r="H25" s="36"/>
    </x:row>
    <x:row r="26" ht="31" customHeight="1">
      <x:c r="C26" s="37" t="str">
        <x:v>E3 high-grade service share</x:v>
      </x:c>
      <x:c r="D26" s="44" t="n">
        <x:v>0.6</x:v>
      </x:c>
      <x:c r="E26" s="39" t="str">
        <x:v>%</x:v>
      </x:c>
      <x:c r="F26" s="39" t="str">
        <x:v>3,000 m³/day high-grade; balance is use-specific</x:v>
      </x:c>
      <x:c r="G26" s="39" t="str">
        <x:v>DECLARED</x:v>
      </x:c>
      <x:c r="H26" s="36"/>
    </x:row>
    <x:row r="27" ht="31" customHeight="1">
      <x:c r="C27" s="37" t="str">
        <x:v>E3 use-specific residual rate</x:v>
      </x:c>
      <x:c r="D27" s="43" t="n">
        <x:v>0.03</x:v>
      </x:c>
      <x:c r="E27" s="39" t="str">
        <x:v>m³/m³ service</x:v>
      </x:c>
      <x:c r="F27" s="39" t="str">
        <x:v>Lower-intensity nonpotable process</x:v>
      </x:c>
      <x:c r="G27" s="39" t="str">
        <x:v>DECLARED</x:v>
      </x:c>
      <x:c r="H27" s="36"/>
    </x:row>
    <x:row r="28" ht="31" customHeight="1">
      <x:c r="C28" s="37" t="str">
        <x:v>E3 use-specific consumables</x:v>
      </x:c>
      <x:c r="D28" s="43" t="n">
        <x:v>0.08</x:v>
      </x:c>
      <x:c r="E28" s="39" t="str">
        <x:v>kg/m³ service</x:v>
      </x:c>
      <x:c r="F28" s="39" t="str">
        <x:v>Separate registered process</x:v>
      </x:c>
      <x:c r="G28" s="39" t="str">
        <x:v>DECLARED</x:v>
      </x:c>
      <x:c r="H28" s="36"/>
    </x:row>
    <x:row r="29" ht="31" customHeight="1">
      <x:c r="C29" s="37" t="str">
        <x:v>E4 liquid residual rate</x:v>
      </x:c>
      <x:c r="D29" s="43" t="n">
        <x:v>0.01</x:v>
      </x:c>
      <x:c r="E29" s="39" t="str">
        <x:v>m³/m³ product</x:v>
      </x:c>
      <x:c r="F29" s="39" t="str">
        <x:v>Near-zero-liquid-discharge target; not zero waste</x:v>
      </x:c>
      <x:c r="G29" s="39" t="str">
        <x:v>DECLARED</x:v>
      </x:c>
      <x:c r="H29" s="36"/>
    </x:row>
    <x:row r="30" ht="31" customHeight="1">
      <x:c r="C30" s="37" t="str">
        <x:v>E4 solid residual rate</x:v>
      </x:c>
      <x:c r="D30" s="43" t="n">
        <x:v>15</x:v>
      </x:c>
      <x:c r="E30" s="39" t="str">
        <x:v>t/day</x:v>
      </x:c>
      <x:c r="F30" s="39" t="str">
        <x:v>Separated solids requiring custody</x:v>
      </x:c>
      <x:c r="G30" s="39" t="str">
        <x:v>DECLARED</x:v>
      </x:c>
      <x:c r="H30" s="36"/>
    </x:row>
    <x:row r="31" ht="31" customHeight="1">
      <x:c r="C31" s="37" t="str">
        <x:v>E4 consumable reduction</x:v>
      </x:c>
      <x:c r="D31" s="44" t="n">
        <x:v>0.9</x:v>
      </x:c>
      <x:c r="E31" s="39" t="str">
        <x:v>%</x:v>
      </x:c>
      <x:c r="F31" s="39" t="str">
        <x:v>Make-up inventory after regeneration</x:v>
      </x:c>
      <x:c r="G31" s="39" t="str">
        <x:v>DECLARED</x:v>
      </x:c>
      <x:c r="H31" s="36"/>
    </x:row>
    <x:row r="32" ht="31" customHeight="1">
      <x:c r="C32" s="37" t="str">
        <x:v>Energy-limited available-power fraction</x:v>
      </x:c>
      <x:c r="D32" s="44" t="n">
        <x:v>0.75</x:v>
      </x:c>
      <x:c r="E32" s="39" t="str">
        <x:v>%</x:v>
      </x:c>
      <x:c r="F32" s="39" t="str">
        <x:v>Stress world derates installed power</x:v>
      </x:c>
      <x:c r="G32" s="39" t="str">
        <x:v>DECLARED</x:v>
      </x:c>
      <x:c r="H32" s="36"/>
    </x:row>
  </x:sheetData>
  <x:conditionalFormatting sqref="G6:G32">
    <x:cfRule type="containsText" dxfId="0" priority="1" operator="containsText" text="FAIL"/>
    <x:cfRule type="containsText" dxfId="1" priority="2" operator="containsText" text="DENIED"/>
    <x:cfRule type="containsText" dxfId="2" priority="3" operator="containsText" text="BLOCKED"/>
    <x:cfRule type="containsText" dxfId="3" priority="4" operator="containsText" text="OPEN"/>
    <x:cfRule type="containsText" dxfId="4" priority="5" operator="containsText" text="UNTESTED"/>
    <x:cfRule type="containsText" dxfId="5" priority="6" operator="containsText" text="DECLARED"/>
    <x:cfRule type="containsText" dxfId="6" priority="7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cf86bbcfb7754152"/>
  </x:tableParts>
</x:worksheet>
</file>

<file path=xl/worksheets/sheet3.xml><?xml version="1.0" encoding="utf-8"?>
<x:worksheet xmlns:x="http://schemas.openxmlformats.org/spreadsheetml/2006/main">
  <x:sheetPr>
    <x:tabColor rgb="FFCBD5DF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3" max="3" width="9" hidden="0" customWidth="1"/>
    <x:col min="4" max="4" width="36" hidden="0" customWidth="1"/>
    <x:col min="5" max="5" width="58" hidden="0" customWidth="1"/>
    <x:col min="6" max="6" width="20" hidden="0" customWidth="1"/>
    <x:col min="7" max="7" width="22" hidden="0" customWidth="1"/>
    <x:col min="8" max="8" width="22" hidden="0" customWidth="1"/>
    <x:col min="9" max="9" width="20" hidden="0" customWidth="1"/>
    <x:col min="10" max="10" width="22" hidden="0" customWidth="1"/>
    <x:col min="11" max="11" width="19" hidden="0" customWidth="1"/>
    <x:col min="12" max="12" width="22" hidden="0" customWidth="1"/>
    <x:col min="13" max="13" width="20" hidden="0" customWidth="1"/>
    <x:col min="14" max="14" width="23" hidden="0" customWidth="1"/>
    <x:col min="15" max="15" width="18" hidden="0" customWidth="1"/>
    <x:col min="16" max="16" width="18" hidden="0" customWidth="1"/>
    <x:col min="17" max="17" width="20" hidden="0" customWidth="1"/>
    <x:col min="18" max="18" width="26" hidden="0" customWidth="1"/>
    <x:col min="19" max="19" width="18" hidden="0" customWidth="1"/>
    <x:col min="20" max="20" width="21" hidden="0" customWidth="1"/>
    <x:col min="21" max="21" width="22" hidden="0" customWidth="1"/>
    <x:col min="22" max="22" width="20" hidden="0" customWidth="1"/>
    <x:col min="23" max="23" width="22" hidden="0" customWidth="1"/>
    <x:col min="24" max="24" width="18" hidden="0" customWidth="1"/>
    <x:col min="25" max="25" width="17" hidden="0" customWidth="1"/>
    <x:col min="26" max="26" width="17" hidden="0" customWidth="1"/>
    <x:col min="27" max="27" width="22" hidden="0" customWidth="1"/>
    <x:col min="28" max="28" width="15" hidden="0" customWidth="1"/>
    <x:col min="29" max="29" width="22" hidden="0" customWidth="1"/>
    <x:col min="30" max="30" width="22" hidden="0" customWidth="1"/>
    <x:col min="31" max="31" width="20" hidden="0" customWidth="1"/>
    <x:col min="32" max="32" width="18" hidden="0" customWidth="1"/>
    <x:col min="33" max="33" width="18" hidden="0" customWidth="1"/>
    <x:col min="34" max="34" width="18" hidden="0" customWidth="1"/>
  </x:cols>
  <x:sheetData>
    <x:row r="2">
      <x:c r="C2" s="33" t="str">
        <x:v>Rival endurance architectures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4"/>
      <x:c r="AB2" s="34"/>
      <x:c r="AC2" s="34"/>
      <x:c r="AD2" s="34"/>
      <x:c r="AE2" s="34"/>
      <x:c r="AF2" s="34"/>
      <x:c r="AG2" s="34"/>
      <x:c r="AH2" s="34"/>
    </x:row>
    <x:row r="3">
      <x:c r="C3" s="35" t="str">
        <x:v>Each concept must close the same 5,000 m³/day mission without treating waste disappearance, lower-quality water or future technology as free.</x:v>
      </x:c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  <x:c r="AA3" s="35"/>
      <x:c r="AB3" s="35"/>
      <x:c r="AC3" s="35"/>
      <x:c r="AD3" s="35"/>
      <x:c r="AE3" s="35"/>
      <x:c r="AF3" s="35"/>
      <x:c r="AG3" s="35"/>
      <x:c r="AH3" s="35"/>
    </x:row>
    <x:row r="4"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  <x:c r="AA4" s="36"/>
      <x:c r="AB4" s="36"/>
      <x:c r="AC4" s="36"/>
      <x:c r="AD4" s="36"/>
      <x:c r="AE4" s="36"/>
      <x:c r="AF4" s="36"/>
      <x:c r="AG4" s="36"/>
      <x:c r="AH4" s="36"/>
    </x:row>
    <x:row r="5">
      <x:c r="C5" s="9" t="str">
        <x:v>ID</x:v>
      </x:c>
      <x:c r="D5" s="9" t="str">
        <x:v>Architecture</x:v>
      </x:c>
      <x:c r="E5" s="9" t="str">
        <x:v>Physical logic</x:v>
      </x:c>
      <x:c r="F5" s="9" t="str">
        <x:v>High-grade m³/day</x:v>
      </x:c>
      <x:c r="G5" s="9" t="str">
        <x:v>Use-specific m³/day</x:v>
      </x:c>
      <x:c r="H5" s="9" t="str">
        <x:v>Liquid residual m³/m³</x:v>
      </x:c>
      <x:c r="I5" s="9" t="str">
        <x:v>Liquid custody m³</x:v>
      </x:c>
      <x:c r="J5" s="9" t="str">
        <x:v>Solid residual t/day</x:v>
      </x:c>
      <x:c r="K5" s="9" t="str">
        <x:v>Solid custody t</x:v>
      </x:c>
      <x:c r="L5" s="9" t="str">
        <x:v>Consumables kg/m³</x:v>
      </x:c>
      <x:c r="M5" s="9" t="str">
        <x:v>Consumable stock t</x:v>
      </x:c>
      <x:c r="N5" s="9" t="str">
        <x:v>Extra process kWh/m³</x:v>
      </x:c>
      <x:c r="O5" s="9" t="str">
        <x:v>Extra hotel MW</x:v>
      </x:c>
      <x:c r="P5" s="9" t="str">
        <x:v>Self-power MW</x:v>
      </x:c>
      <x:c r="Q5" s="9" t="str">
        <x:v>Regeneration trains</x:v>
      </x:c>
      <x:c r="R5" s="9" t="str">
        <x:v>Capacity after one train loss</x:v>
      </x:c>
      <x:c r="S5" s="9" t="str">
        <x:v>Cold qualified</x:v>
      </x:c>
      <x:c r="T5" s="9" t="str">
        <x:v>Dual-quality network</x:v>
      </x:c>
      <x:c r="U5" s="9" t="str">
        <x:v>Immediate repeat ready</x:v>
      </x:c>
      <x:c r="V5" s="9" t="str">
        <x:v>Safe-stop lockout</x:v>
      </x:c>
      <x:c r="W5" s="9" t="str">
        <x:v>Evidence gates closed</x:v>
      </x:c>
      <x:c r="X5" s="9" t="str">
        <x:v>Rendering</x:v>
      </x:c>
      <x:c r="Y5" s="9" t="str">
        <x:v>Added dry t</x:v>
      </x:c>
      <x:c r="Z5" s="9" t="str">
        <x:v>Total dry t</x:v>
      </x:c>
      <x:c r="AA5" s="9" t="str">
        <x:v>Land-chargeable t</x:v>
      </x:c>
      <x:c r="AB5" s="9" t="str">
        <x:v>Total crew</x:v>
      </x:c>
      <x:c r="AC5" s="9" t="str">
        <x:v>Equipment $B/chain</x:v>
      </x:c>
      <x:c r="AD5" s="9" t="str">
        <x:v>Behavior worlds passed</x:v>
      </x:c>
      <x:c r="AE5" s="9" t="str">
        <x:v>Service worlds passed</x:v>
      </x:c>
      <x:c r="AF5" s="9" t="str">
        <x:v>W7 closure</x:v>
      </x:c>
      <x:c r="AG5" s="9" t="str">
        <x:v>W11 closure</x:v>
      </x:c>
      <x:c r="AH5" s="9" t="str">
        <x:v>Strict admission</x:v>
      </x:c>
    </x:row>
    <x:row r="6" ht="64" customHeight="1">
      <x:c r="C6" s="37" t="str">
        <x:v>E1</x:v>
      </x:c>
      <x:c r="D6" s="39" t="str">
        <x:v>Carry and contain</x:v>
      </x:c>
      <x:c r="E6" s="39" t="str">
        <x:v>Carry thirty days of chemistry and fourteen days of liquid residual custody</x:v>
      </x:c>
      <x:c r="F6" s="45" t="n">
        <x:f>'01 Controls'!$D$6</x:f>
        <x:v>5000</x:v>
      </x:c>
      <x:c r="G6" s="43" t="n">
        <x:v>0</x:v>
      </x:c>
      <x:c r="H6" s="45" t="n">
        <x:f>'01 Controls'!$D$9</x:f>
        <x:v>0.25</x:v>
      </x:c>
      <x:c r="I6" s="45" t="n">
        <x:f>'01 Controls'!$D$6*'01 Controls'!$D$9*'01 Controls'!$D$7</x:f>
        <x:v>17500</x:v>
      </x:c>
      <x:c r="J6" s="43" t="n">
        <x:v>0.05</x:v>
      </x:c>
      <x:c r="K6" s="43" t="n">
        <x:v>5</x:v>
      </x:c>
      <x:c r="L6" s="45" t="n">
        <x:f>'01 Controls'!$D$11</x:f>
        <x:v>0.4</x:v>
      </x:c>
      <x:c r="M6" s="45" t="n">
        <x:f>L6*'01 Controls'!$D$6*'01 Controls'!$D$8/1000</x:f>
        <x:v>60</x:v>
      </x:c>
      <x:c r="N6" s="43" t="n">
        <x:v>0</x:v>
      </x:c>
      <x:c r="O6" s="43" t="n">
        <x:v>0.15</x:v>
      </x:c>
      <x:c r="P6" s="43" t="n">
        <x:v>2</x:v>
      </x:c>
      <x:c r="Q6" s="43" t="n">
        <x:v>0</x:v>
      </x:c>
      <x:c r="R6" s="44" t="n">
        <x:v>1</x:v>
      </x:c>
      <x:c r="S6" s="46" t="n">
        <x:v>1</x:v>
      </x:c>
      <x:c r="T6" s="46" t="n">
        <x:v>0</x:v>
      </x:c>
      <x:c r="U6" s="46" t="n">
        <x:v>0</x:v>
      </x:c>
      <x:c r="V6" s="46" t="n">
        <x:v>1</x:v>
      </x:c>
      <x:c r="W6" s="47" t="n">
        <x:v>0</x:v>
      </x:c>
      <x:c r="X6" s="47" t="str">
        <x:v>BLOCKED</x:v>
      </x:c>
      <x:c r="Y6" s="40" t="n">
        <x:f>SUMIFS('05 Configuration'!$F$6:$F$21,'05 Configuration'!$C$6:$C$21,C6)</x:f>
        <x:v>400</x:v>
      </x:c>
      <x:c r="Z6" s="40" t="n">
        <x:f>'01 Controls'!$D$16+Y6</x:f>
        <x:v>2150</x:v>
      </x:c>
      <x:c r="AA6" s="40" t="n">
        <x:f>'01 Controls'!$D$17+Y6</x:f>
        <x:v>2450</x:v>
      </x:c>
      <x:c r="AB6" s="40" t="n">
        <x:f>'01 Controls'!$D$18+SUMIFS('05 Configuration'!$G$6:$G$21,'05 Configuration'!$C$6:$C$21,C6)</x:f>
        <x:v>102</x:v>
      </x:c>
      <x:c r="AC6" s="42" t="n">
        <x:f>SUMIFS('05 Configuration'!$H$6:$H$21,'05 Configuration'!$C$6:$C$21,C6)</x:f>
        <x:v>0.32</x:v>
      </x:c>
      <x:c r="AD6" s="38" t="n">
        <x:f>COUNTIFS('03 Stress Worlds'!$C$20:$C$59,C6,'03 Stress Worlds'!$AB$20:$AB$59,"PASS")</x:f>
        <x:v>8</x:v>
      </x:c>
      <x:c r="AE6" s="38" t="n">
        <x:f>COUNTIFS('03 Stress Worlds'!$C$20:$C$59,C6,'03 Stress Worlds'!$AC$20:$AC$59,1)</x:f>
        <x:v>7</x:v>
      </x:c>
      <x:c r="AF6" s="37" t="str">
        <x:f>IF(COUNTIFS('03 Stress Worlds'!$C$20:$C$59,C6,'03 Stress Worlds'!$D$20:$D$59,"S1",'03 Stress Worlds'!$AB$20:$AB$59,"PASS")=1,"PASS","FAIL")</x:f>
        <x:v>PASS</x:v>
      </x:c>
      <x:c r="AG6" s="37" t="str">
        <x:f>IF(COUNTIFS('03 Stress Worlds'!$C$20:$C$59,C6,'03 Stress Worlds'!$D$20:$D$59,"S2",'03 Stress Worlds'!$AB$20:$AB$59,"PASS")=1,"PASS","FAIL")</x:f>
        <x:v>PASS</x:v>
      </x:c>
      <x:c r="AH6" s="37" t="str">
        <x:f>IF(AND(W6&gt;=6,X6="ELIGIBLE"),"ADMITTED","DENIED")</x:f>
        <x:v>DENIED</x:v>
      </x:c>
    </x:row>
    <x:row r="7" ht="64" customHeight="1">
      <x:c r="C7" s="37" t="str">
        <x:v>E2</x:v>
      </x:c>
      <x:c r="D7" s="39" t="str">
        <x:v>Regenerate and dewater</x:v>
      </x:c>
      <x:c r="E7" s="39" t="str">
        <x:v>Generate reagents, regenerate media and convert most liquid residual to contained solids</x:v>
      </x:c>
      <x:c r="F7" s="45" t="n">
        <x:f>'01 Controls'!$D$6</x:f>
        <x:v>5000</x:v>
      </x:c>
      <x:c r="G7" s="43" t="n">
        <x:v>0</x:v>
      </x:c>
      <x:c r="H7" s="45" t="n">
        <x:f>'01 Controls'!$D$9*(1-'01 Controls'!$D$24)</x:f>
        <x:v>0.037500000000000006</x:v>
      </x:c>
      <x:c r="I7" s="43" t="n">
        <x:v>8750</x:v>
      </x:c>
      <x:c r="J7" s="43" t="n">
        <x:v>5</x:v>
      </x:c>
      <x:c r="K7" s="43" t="n">
        <x:v>150</x:v>
      </x:c>
      <x:c r="L7" s="45" t="n">
        <x:f>'01 Controls'!$D$11*(1-'01 Controls'!$D$25)</x:f>
        <x:v>0.07999999999999999</x:v>
      </x:c>
      <x:c r="M7" s="45" t="n">
        <x:f>L7*'01 Controls'!$D$6*'01 Controls'!$D$8/1000</x:f>
        <x:v>11.999999999999998</x:v>
      </x:c>
      <x:c r="N7" s="43" t="n">
        <x:v>2.4</x:v>
      </x:c>
      <x:c r="O7" s="43" t="n">
        <x:v>0.1</x:v>
      </x:c>
      <x:c r="P7" s="43" t="n">
        <x:v>2</x:v>
      </x:c>
      <x:c r="Q7" s="43" t="n">
        <x:v>2</x:v>
      </x:c>
      <x:c r="R7" s="44" t="n">
        <x:v>0.6</x:v>
      </x:c>
      <x:c r="S7" s="46" t="n">
        <x:v>0</x:v>
      </x:c>
      <x:c r="T7" s="46" t="n">
        <x:v>0</x:v>
      </x:c>
      <x:c r="U7" s="46" t="n">
        <x:v>0</x:v>
      </x:c>
      <x:c r="V7" s="46" t="n">
        <x:v>1</x:v>
      </x:c>
      <x:c r="W7" s="47" t="n">
        <x:v>0</x:v>
      </x:c>
      <x:c r="X7" s="47" t="str">
        <x:v>BLOCKED</x:v>
      </x:c>
      <x:c r="Y7" s="40" t="n">
        <x:f>SUMIFS('05 Configuration'!$F$6:$F$21,'05 Configuration'!$C$6:$C$21,C7)</x:f>
        <x:v>960</x:v>
      </x:c>
      <x:c r="Z7" s="40" t="n">
        <x:f>'01 Controls'!$D$16+Y7</x:f>
        <x:v>2710</x:v>
      </x:c>
      <x:c r="AA7" s="40" t="n">
        <x:f>'01 Controls'!$D$17+Y7</x:f>
        <x:v>3010</x:v>
      </x:c>
      <x:c r="AB7" s="40" t="n">
        <x:f>'01 Controls'!$D$18+SUMIFS('05 Configuration'!$G$6:$G$21,'05 Configuration'!$C$6:$C$21,C7)</x:f>
        <x:v>110</x:v>
      </x:c>
      <x:c r="AC7" s="42" t="n">
        <x:f>SUMIFS('05 Configuration'!$H$6:$H$21,'05 Configuration'!$C$6:$C$21,C7)</x:f>
        <x:v>0.65</x:v>
      </x:c>
      <x:c r="AD7" s="38" t="n">
        <x:f>COUNTIFS('03 Stress Worlds'!$C$20:$C$59,C7,'03 Stress Worlds'!$AB$20:$AB$59,"PASS")</x:f>
        <x:v>6</x:v>
      </x:c>
      <x:c r="AE7" s="38" t="n">
        <x:f>COUNTIFS('03 Stress Worlds'!$C$20:$C$59,C7,'03 Stress Worlds'!$AC$20:$AC$59,1)</x:f>
        <x:v>5</x:v>
      </x:c>
      <x:c r="AF7" s="37" t="str">
        <x:f>IF(COUNTIFS('03 Stress Worlds'!$C$20:$C$59,C7,'03 Stress Worlds'!$D$20:$D$59,"S1",'03 Stress Worlds'!$AB$20:$AB$59,"PASS")=1,"PASS","FAIL")</x:f>
        <x:v>PASS</x:v>
      </x:c>
      <x:c r="AG7" s="37" t="str">
        <x:f>IF(COUNTIFS('03 Stress Worlds'!$C$20:$C$59,C7,'03 Stress Worlds'!$D$20:$D$59,"S2",'03 Stress Worlds'!$AB$20:$AB$59,"PASS")=1,"PASS","FAIL")</x:f>
        <x:v>PASS</x:v>
      </x:c>
      <x:c r="AH7" s="37" t="str">
        <x:f>IF(AND(W7&gt;=6,X7="ELIGIBLE"),"ADMITTED","DENIED")</x:f>
        <x:v>DENIED</x:v>
      </x:c>
    </x:row>
    <x:row r="8" ht="64" customHeight="1">
      <x:c r="C8" s="37" t="str">
        <x:v>E3</x:v>
      </x:c>
      <x:c r="D8" s="39" t="str">
        <x:v>Quality-segmented service</x:v>
      </x:c>
      <x:c r="E8" s="39" t="str">
        <x:v>Reserve high-grade treatment for ingestion and medical demand; isolate a use-specific network</x:v>
      </x:c>
      <x:c r="F8" s="45" t="n">
        <x:f>'01 Controls'!$D$6*'01 Controls'!$D$26</x:f>
        <x:v>3000</x:v>
      </x:c>
      <x:c r="G8" s="45" t="n">
        <x:f>'01 Controls'!$D$6-F8</x:f>
        <x:v>2000</x:v>
      </x:c>
      <x:c r="H8" s="45" t="n">
        <x:f>(F8*'01 Controls'!$D$9+G8*'01 Controls'!$D$27)/'01 Controls'!$D$6</x:f>
        <x:v>0.162</x:v>
      </x:c>
      <x:c r="I8" s="45" t="n">
        <x:f>H8*'01 Controls'!$D$6*'01 Controls'!$D$7</x:f>
        <x:v>11340</x:v>
      </x:c>
      <x:c r="J8" s="43" t="n">
        <x:v>0.2</x:v>
      </x:c>
      <x:c r="K8" s="43" t="n">
        <x:v>6</x:v>
      </x:c>
      <x:c r="L8" s="45" t="n">
        <x:f>(F8*'01 Controls'!$D$11+G8*'01 Controls'!$D$28)/'01 Controls'!$D$6</x:f>
        <x:v>0.272</x:v>
      </x:c>
      <x:c r="M8" s="45" t="n">
        <x:f>L8*'01 Controls'!$D$6*'01 Controls'!$D$8/1000</x:f>
        <x:v>40.8</x:v>
      </x:c>
      <x:c r="N8" s="43" t="n">
        <x:v>0.8</x:v>
      </x:c>
      <x:c r="O8" s="43" t="n">
        <x:v>0.13</x:v>
      </x:c>
      <x:c r="P8" s="43" t="n">
        <x:v>2</x:v>
      </x:c>
      <x:c r="Q8" s="43" t="n">
        <x:v>0</x:v>
      </x:c>
      <x:c r="R8" s="44" t="n">
        <x:v>1</x:v>
      </x:c>
      <x:c r="S8" s="46" t="n">
        <x:v>1</x:v>
      </x:c>
      <x:c r="T8" s="46" t="n">
        <x:v>1</x:v>
      </x:c>
      <x:c r="U8" s="46" t="n">
        <x:v>0</x:v>
      </x:c>
      <x:c r="V8" s="46" t="n">
        <x:v>1</x:v>
      </x:c>
      <x:c r="W8" s="47" t="n">
        <x:v>0</x:v>
      </x:c>
      <x:c r="X8" s="47" t="str">
        <x:v>BLOCKED</x:v>
      </x:c>
      <x:c r="Y8" s="40" t="n">
        <x:f>SUMIFS('05 Configuration'!$F$6:$F$21,'05 Configuration'!$C$6:$C$21,C8)</x:f>
        <x:v>450</x:v>
      </x:c>
      <x:c r="Z8" s="40" t="n">
        <x:f>'01 Controls'!$D$16+Y8</x:f>
        <x:v>2200</x:v>
      </x:c>
      <x:c r="AA8" s="40" t="n">
        <x:f>'01 Controls'!$D$17+Y8</x:f>
        <x:v>2500</x:v>
      </x:c>
      <x:c r="AB8" s="40" t="n">
        <x:f>'01 Controls'!$D$18+SUMIFS('05 Configuration'!$G$6:$G$21,'05 Configuration'!$C$6:$C$21,C8)</x:f>
        <x:v>108</x:v>
      </x:c>
      <x:c r="AC8" s="42" t="n">
        <x:f>SUMIFS('05 Configuration'!$H$6:$H$21,'05 Configuration'!$C$6:$C$21,C8)</x:f>
        <x:v>0.4</x:v>
      </x:c>
      <x:c r="AD8" s="38" t="n">
        <x:f>COUNTIFS('03 Stress Worlds'!$C$20:$C$59,C8,'03 Stress Worlds'!$AB$20:$AB$59,"PASS")</x:f>
        <x:v>7</x:v>
      </x:c>
      <x:c r="AE8" s="38" t="n">
        <x:f>COUNTIFS('03 Stress Worlds'!$C$20:$C$59,C8,'03 Stress Worlds'!$AC$20:$AC$59,1)</x:f>
        <x:v>6</x:v>
      </x:c>
      <x:c r="AF8" s="37" t="str">
        <x:f>IF(COUNTIFS('03 Stress Worlds'!$C$20:$C$59,C8,'03 Stress Worlds'!$D$20:$D$59,"S1",'03 Stress Worlds'!$AB$20:$AB$59,"PASS")=1,"PASS","FAIL")</x:f>
        <x:v>PASS</x:v>
      </x:c>
      <x:c r="AG8" s="37" t="str">
        <x:f>IF(COUNTIFS('03 Stress Worlds'!$C$20:$C$59,C8,'03 Stress Worlds'!$D$20:$D$59,"S2",'03 Stress Worlds'!$AB$20:$AB$59,"PASS")=1,"PASS","FAIL")</x:f>
        <x:v>PASS</x:v>
      </x:c>
      <x:c r="AH8" s="37" t="str">
        <x:f>IF(AND(W8&gt;=6,X8="ELIGIBLE"),"ADMITTED","DENIED")</x:f>
        <x:v>DENIED</x:v>
      </x:c>
    </x:row>
    <x:row r="9" ht="64" customHeight="1">
      <x:c r="C9" s="37" t="str">
        <x:v>E4</x:v>
      </x:c>
      <x:c r="D9" s="39" t="str">
        <x:v>Circular source cell</x:v>
      </x:c>
      <x:c r="E9" s="39" t="str">
        <x:v>Regenerable media, endogenous chemistry and near-zero-liquid discharge with solid custody</x:v>
      </x:c>
      <x:c r="F9" s="45" t="n">
        <x:f>'01 Controls'!$D$6</x:f>
        <x:v>5000</x:v>
      </x:c>
      <x:c r="G9" s="43" t="n">
        <x:v>0</x:v>
      </x:c>
      <x:c r="H9" s="45" t="n">
        <x:f>'01 Controls'!$D$29</x:f>
        <x:v>0.01</x:v>
      </x:c>
      <x:c r="I9" s="43" t="n">
        <x:v>8750</x:v>
      </x:c>
      <x:c r="J9" s="45" t="n">
        <x:f>'01 Controls'!$D$30</x:f>
        <x:v>15</x:v>
      </x:c>
      <x:c r="K9" s="45" t="n">
        <x:f>J9*'01 Controls'!$D$8</x:f>
        <x:v>450</x:v>
      </x:c>
      <x:c r="L9" s="45" t="n">
        <x:f>'01 Controls'!$D$11*(1-'01 Controls'!$D$31)</x:f>
        <x:v>0.039999999999999994</x:v>
      </x:c>
      <x:c r="M9" s="45" t="n">
        <x:f>L9*'01 Controls'!$D$6*45/1000</x:f>
        <x:v>8.999999999999998</x:v>
      </x:c>
      <x:c r="N9" s="43" t="n">
        <x:v>3</x:v>
      </x:c>
      <x:c r="O9" s="43" t="n">
        <x:v>0.15</x:v>
      </x:c>
      <x:c r="P9" s="43" t="n">
        <x:v>2</x:v>
      </x:c>
      <x:c r="Q9" s="43" t="n">
        <x:v>3</x:v>
      </x:c>
      <x:c r="R9" s="44" t="n">
        <x:v>1</x:v>
      </x:c>
      <x:c r="S9" s="46" t="n">
        <x:v>0</x:v>
      </x:c>
      <x:c r="T9" s="46" t="n">
        <x:v>0</x:v>
      </x:c>
      <x:c r="U9" s="46" t="n">
        <x:v>1</x:v>
      </x:c>
      <x:c r="V9" s="46" t="n">
        <x:v>1</x:v>
      </x:c>
      <x:c r="W9" s="47" t="n">
        <x:v>0</x:v>
      </x:c>
      <x:c r="X9" s="47" t="str">
        <x:v>BLOCKED</x:v>
      </x:c>
      <x:c r="Y9" s="40" t="n">
        <x:f>SUMIFS('05 Configuration'!$F$6:$F$21,'05 Configuration'!$C$6:$C$21,C9)</x:f>
        <x:v>1400</x:v>
      </x:c>
      <x:c r="Z9" s="40" t="n">
        <x:f>'01 Controls'!$D$16+Y9</x:f>
        <x:v>3150</x:v>
      </x:c>
      <x:c r="AA9" s="40" t="n">
        <x:f>'01 Controls'!$D$17+Y9</x:f>
        <x:v>3450</x:v>
      </x:c>
      <x:c r="AB9" s="40" t="n">
        <x:f>'01 Controls'!$D$18+SUMIFS('05 Configuration'!$G$6:$G$21,'05 Configuration'!$C$6:$C$21,C9)</x:f>
        <x:v>128</x:v>
      </x:c>
      <x:c r="AC9" s="42" t="n">
        <x:f>SUMIFS('05 Configuration'!$H$6:$H$21,'05 Configuration'!$C$6:$C$21,C9)</x:f>
        <x:v>1.1</x:v>
      </x:c>
      <x:c r="AD9" s="38" t="n">
        <x:f>COUNTIFS('03 Stress Worlds'!$C$20:$C$59,C9,'03 Stress Worlds'!$AB$20:$AB$59,"PASS")</x:f>
        <x:v>8</x:v>
      </x:c>
      <x:c r="AE9" s="38" t="n">
        <x:f>COUNTIFS('03 Stress Worlds'!$C$20:$C$59,C9,'03 Stress Worlds'!$AC$20:$AC$59,1)</x:f>
        <x:v>7</x:v>
      </x:c>
      <x:c r="AF9" s="37" t="str">
        <x:f>IF(COUNTIFS('03 Stress Worlds'!$C$20:$C$59,C9,'03 Stress Worlds'!$D$20:$D$59,"S1",'03 Stress Worlds'!$AB$20:$AB$59,"PASS")=1,"PASS","FAIL")</x:f>
        <x:v>PASS</x:v>
      </x:c>
      <x:c r="AG9" s="37" t="str">
        <x:f>IF(COUNTIFS('03 Stress Worlds'!$C$20:$C$59,C9,'03 Stress Worlds'!$D$20:$D$59,"S2",'03 Stress Worlds'!$AB$20:$AB$59,"PASS")=1,"PASS","FAIL")</x:f>
        <x:v>PASS</x:v>
      </x:c>
      <x:c r="AH9" s="37" t="str">
        <x:f>IF(AND(W9&gt;=6,X9="ELIGIBLE"),"ADMITTED","DENIED")</x:f>
        <x:v>DENIED</x:v>
      </x:c>
    </x:row>
  </x:sheetData>
  <x:conditionalFormatting sqref="X6:X9">
    <x:cfRule type="containsText" dxfId="7" priority="1" operator="containsText" text="FAIL"/>
    <x:cfRule type="containsText" dxfId="8" priority="2" operator="containsText" text="DENIED"/>
    <x:cfRule type="containsText" dxfId="9" priority="3" operator="containsText" text="BLOCKED"/>
    <x:cfRule type="containsText" dxfId="10" priority="4" operator="containsText" text="OPEN"/>
    <x:cfRule type="containsText" dxfId="11" priority="5" operator="containsText" text="UNTESTED"/>
    <x:cfRule type="containsText" dxfId="12" priority="6" operator="containsText" text="DECLARED"/>
    <x:cfRule type="containsText" dxfId="13" priority="7" operator="containsText" text="PASS"/>
  </x:conditionalFormatting>
  <x:conditionalFormatting sqref="AF6:AH9">
    <x:cfRule type="containsText" dxfId="14" priority="8" operator="containsText" text="FAIL"/>
    <x:cfRule type="containsText" dxfId="15" priority="9" operator="containsText" text="DENIED"/>
    <x:cfRule type="containsText" dxfId="16" priority="10" operator="containsText" text="BLOCKED"/>
    <x:cfRule type="containsText" dxfId="17" priority="11" operator="containsText" text="OPEN"/>
    <x:cfRule type="containsText" dxfId="18" priority="12" operator="containsText" text="UNTESTED"/>
    <x:cfRule type="containsText" dxfId="19" priority="13" operator="containsText" text="DECLARED"/>
    <x:cfRule type="containsText" dxfId="20" priority="1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934d7e1432684c0b"/>
  </x:tableParts>
</x:worksheet>
</file>

<file path=xl/worksheets/sheet4.xml><?xml version="1.0" encoding="utf-8"?>
<x:worksheet xmlns:x="http://schemas.openxmlformats.org/spreadsheetml/2006/main">
  <x:sheetPr>
    <x:tabColor rgb="FFCBD5DF"/>
  </x:sheetPr>
  <x:sheetViews>
    <x:sheetView showGridLines="0" workbookViewId="0">
      <x:pane xSplit="4" ySplit="19" topLeftCell="E20" activePane="bottomRight" state="frozen"/>
    </x:sheetView>
  </x:sheetViews>
  <x:sheetFormatPr defaultRowHeight="15"/>
  <x:cols>
    <x:col min="3" max="3" width="15" hidden="0" customWidth="1"/>
    <x:col min="4" max="4" width="50" hidden="0" customWidth="1"/>
    <x:col min="5" max="5" width="12" hidden="0" customWidth="1"/>
    <x:col min="6" max="6" width="13" hidden="0" customWidth="1"/>
    <x:col min="7" max="7" width="15" hidden="0" customWidth="1"/>
    <x:col min="8" max="8" width="16" hidden="0" customWidth="1"/>
    <x:col min="9" max="9" width="11" hidden="0" customWidth="1"/>
    <x:col min="10" max="10" width="20" hidden="0" customWidth="1"/>
    <x:col min="11" max="11" width="14" hidden="0" customWidth="1"/>
    <x:col min="12" max="12" width="15" hidden="0" customWidth="1"/>
    <x:col min="13" max="13" width="14" hidden="0" customWidth="1"/>
    <x:col min="14" max="14" width="18" hidden="0" customWidth="1"/>
    <x:col min="15" max="15" width="20" hidden="0" customWidth="1"/>
    <x:col min="16" max="16" width="14" hidden="0" customWidth="1"/>
    <x:col min="17" max="17" width="20" hidden="0" customWidth="1"/>
    <x:col min="18" max="18" width="20" hidden="0" customWidth="1"/>
    <x:col min="19" max="19" width="15" hidden="0" customWidth="1"/>
    <x:col min="20" max="20" width="16" hidden="0" customWidth="1"/>
    <x:col min="21" max="21" width="15" hidden="0" customWidth="1"/>
    <x:col min="22" max="22" width="12" hidden="0" customWidth="1"/>
    <x:col min="23" max="23" width="18" hidden="0" customWidth="1"/>
    <x:col min="24" max="24" width="19" hidden="0" customWidth="1"/>
    <x:col min="25" max="25" width="15" hidden="0" customWidth="1"/>
    <x:col min="26" max="26" width="12" hidden="0" customWidth="1"/>
    <x:col min="27" max="27" width="17" hidden="0" customWidth="1"/>
    <x:col min="28" max="28" width="13" hidden="0" customWidth="1"/>
    <x:col min="29" max="29" width="17" hidden="0" customWidth="1"/>
    <x:col min="30" max="30" width="18" hidden="0" customWidth="1"/>
  </x:cols>
  <x:sheetData>
    <x:row r="2">
      <x:c r="C2" s="33" t="str">
        <x:v>Endurance stress worlds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4"/>
      <x:c r="AB2" s="34"/>
      <x:c r="AC2" s="34"/>
      <x:c r="AD2" s="34"/>
    </x:row>
    <x:row r="3">
      <x:c r="C3" s="35" t="str">
        <x:v>Ten deterministic challenges test residual custody, consumables, degraded power, train loss, freezing, quality separation and a second mission.</x:v>
      </x:c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  <x:c r="AA3" s="35"/>
      <x:c r="AB3" s="35"/>
      <x:c r="AC3" s="35"/>
      <x:c r="AD3" s="35"/>
    </x:row>
    <x:row r="4"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  <x:c r="W4" s="36"/>
      <x:c r="X4" s="36"/>
      <x:c r="Y4" s="36"/>
      <x:c r="Z4" s="36"/>
      <x:c r="AA4" s="36"/>
      <x:c r="AB4" s="36"/>
      <x:c r="AC4" s="36"/>
      <x:c r="AD4" s="36"/>
    </x:row>
    <x:row r="5">
      <x:c r="C5" s="9" t="str">
        <x:v>World</x:v>
      </x:c>
      <x:c r="D5" s="9" t="str">
        <x:v>Condition</x:v>
      </x:c>
      <x:c r="E5" s="9" t="str">
        <x:v>Horizon days</x:v>
      </x:c>
      <x:c r="F5" s="9" t="str">
        <x:v>No residual outlet</x:v>
      </x:c>
      <x:c r="G5" s="9" t="str">
        <x:v>No consumable resupply</x:v>
      </x:c>
      <x:c r="H5" s="9" t="str">
        <x:v>Available-power fraction</x:v>
      </x:c>
      <x:c r="I5" s="9" t="str">
        <x:v>Freezing</x:v>
      </x:c>
      <x:c r="J5" s="9" t="str">
        <x:v>Cross-connection challenge</x:v>
      </x:c>
      <x:c r="K5" s="9" t="str">
        <x:v>One regeneration train lost</x:v>
      </x:c>
      <x:c r="L5" s="9" t="str">
        <x:v>Immediate second mission</x:v>
      </x:c>
      <x:c r="M5" s="9" t="str">
        <x:v>Source inside envelope</x:v>
      </x:c>
      <x:c r="N5" s="36"/>
      <x:c r="O5" s="36"/>
      <x:c r="P5" s="36"/>
      <x:c r="Q5" s="36"/>
      <x:c r="R5" s="36"/>
      <x:c r="S5" s="36"/>
      <x:c r="T5" s="36"/>
      <x:c r="U5" s="36"/>
      <x:c r="V5" s="36"/>
      <x:c r="W5" s="36"/>
      <x:c r="X5" s="36"/>
      <x:c r="Y5" s="36"/>
      <x:c r="Z5" s="36"/>
      <x:c r="AA5" s="36"/>
      <x:c r="AB5" s="36"/>
      <x:c r="AC5" s="36"/>
      <x:c r="AD5" s="36"/>
    </x:row>
    <x:row r="6" ht="70" customHeight="1">
      <x:c r="C6" s="37" t="str">
        <x:v>S1</x:v>
      </x:c>
      <x:c r="D6" s="39" t="str">
        <x:v>Fourteen days with no lawful liquid-residual outlet</x:v>
      </x:c>
      <x:c r="E6" s="41" t="n">
        <x:v>14</x:v>
      </x:c>
      <x:c r="F6" s="41" t="n">
        <x:v>1</x:v>
      </x:c>
      <x:c r="G6" s="41" t="n">
        <x:v>0</x:v>
      </x:c>
      <x:c r="H6" s="41" t="n">
        <x:v>1</x:v>
      </x:c>
      <x:c r="I6" s="41" t="n">
        <x:v>0</x:v>
      </x:c>
      <x:c r="J6" s="41" t="n">
        <x:v>0</x:v>
      </x:c>
      <x:c r="K6" s="41" t="n">
        <x:v>0</x:v>
      </x:c>
      <x:c r="L6" s="41" t="n">
        <x:v>0</x:v>
      </x:c>
      <x:c r="M6" s="41" t="n">
        <x:v>1</x:v>
      </x:c>
      <x:c r="N6" s="36"/>
      <x:c r="O6" s="36"/>
      <x:c r="P6" s="36"/>
      <x:c r="Q6" s="36"/>
      <x:c r="R6" s="36"/>
      <x:c r="S6" s="36"/>
      <x:c r="T6" s="36"/>
      <x:c r="U6" s="36"/>
      <x:c r="V6" s="36"/>
      <x:c r="W6" s="36"/>
      <x:c r="X6" s="36"/>
      <x:c r="Y6" s="36"/>
      <x:c r="Z6" s="36"/>
      <x:c r="AA6" s="36"/>
      <x:c r="AB6" s="36"/>
      <x:c r="AC6" s="36"/>
      <x:c r="AD6" s="36"/>
    </x:row>
    <x:row r="7" ht="70" customHeight="1">
      <x:c r="C7" s="37" t="str">
        <x:v>S2</x:v>
      </x:c>
      <x:c r="D7" s="39" t="str">
        <x:v>Thirty days without external consumable resupply</x:v>
      </x:c>
      <x:c r="E7" s="41" t="n">
        <x:v>30</x:v>
      </x:c>
      <x:c r="F7" s="41" t="n">
        <x:v>0</x:v>
      </x:c>
      <x:c r="G7" s="41" t="n">
        <x:v>1</x:v>
      </x:c>
      <x:c r="H7" s="41" t="n">
        <x:v>1</x:v>
      </x:c>
      <x:c r="I7" s="41" t="n">
        <x:v>0</x:v>
      </x:c>
      <x:c r="J7" s="41" t="n">
        <x:v>0</x:v>
      </x:c>
      <x:c r="K7" s="41" t="n">
        <x:v>0</x:v>
      </x:c>
      <x:c r="L7" s="41" t="n">
        <x:v>0</x:v>
      </x:c>
      <x:c r="M7" s="41" t="n">
        <x:v>1</x:v>
      </x:c>
      <x:c r="N7" s="36"/>
      <x:c r="O7" s="36"/>
      <x:c r="P7" s="36"/>
      <x:c r="Q7" s="36"/>
      <x:c r="R7" s="36"/>
      <x:c r="S7" s="36"/>
      <x:c r="T7" s="36"/>
      <x:c r="U7" s="36"/>
      <x:c r="V7" s="36"/>
      <x:c r="W7" s="36"/>
      <x:c r="X7" s="36"/>
      <x:c r="Y7" s="36"/>
      <x:c r="Z7" s="36"/>
      <x:c r="AA7" s="36"/>
      <x:c r="AB7" s="36"/>
      <x:c r="AC7" s="36"/>
      <x:c r="AD7" s="36"/>
    </x:row>
    <x:row r="8" ht="70" customHeight="1">
      <x:c r="C8" s="37" t="str">
        <x:v>S3</x:v>
      </x:c>
      <x:c r="D8" s="39" t="str">
        <x:v>Thirty days with neither residual outlet nor consumable resupply</x:v>
      </x:c>
      <x:c r="E8" s="41" t="n">
        <x:v>30</x:v>
      </x:c>
      <x:c r="F8" s="41" t="n">
        <x:v>1</x:v>
      </x:c>
      <x:c r="G8" s="41" t="n">
        <x:v>1</x:v>
      </x:c>
      <x:c r="H8" s="41" t="n">
        <x:v>1</x:v>
      </x:c>
      <x:c r="I8" s="41" t="n">
        <x:v>0</x:v>
      </x:c>
      <x:c r="J8" s="41" t="n">
        <x:v>0</x:v>
      </x:c>
      <x:c r="K8" s="41" t="n">
        <x:v>0</x:v>
      </x:c>
      <x:c r="L8" s="41" t="n">
        <x:v>0</x:v>
      </x:c>
      <x:c r="M8" s="41" t="n">
        <x:v>1</x:v>
      </x:c>
      <x:c r="N8" s="36"/>
      <x:c r="O8" s="36"/>
      <x:c r="P8" s="36"/>
      <x:c r="Q8" s="36"/>
      <x:c r="R8" s="36"/>
      <x:c r="S8" s="36"/>
      <x:c r="T8" s="36"/>
      <x:c r="U8" s="36"/>
      <x:c r="V8" s="36"/>
      <x:c r="W8" s="36"/>
      <x:c r="X8" s="36"/>
      <x:c r="Y8" s="36"/>
      <x:c r="Z8" s="36"/>
      <x:c r="AA8" s="36"/>
      <x:c r="AB8" s="36"/>
      <x:c r="AC8" s="36"/>
      <x:c r="AD8" s="36"/>
    </x:row>
    <x:row r="9" ht="70" customHeight="1">
      <x:c r="C9" s="37" t="str">
        <x:v>S4</x:v>
      </x:c>
      <x:c r="D9" s="39" t="str">
        <x:v>Source departs registered treatment envelope</x:v>
      </x:c>
      <x:c r="E9" s="41" t="n">
        <x:v>3</x:v>
      </x:c>
      <x:c r="F9" s="41" t="n">
        <x:v>0</x:v>
      </x:c>
      <x:c r="G9" s="41" t="n">
        <x:v>0</x:v>
      </x:c>
      <x:c r="H9" s="41" t="n">
        <x:v>1</x:v>
      </x:c>
      <x:c r="I9" s="41" t="n">
        <x:v>0</x:v>
      </x:c>
      <x:c r="J9" s="41" t="n">
        <x:v>0</x:v>
      </x:c>
      <x:c r="K9" s="41" t="n">
        <x:v>0</x:v>
      </x:c>
      <x:c r="L9" s="41" t="n">
        <x:v>0</x:v>
      </x:c>
      <x:c r="M9" s="41" t="n">
        <x:v>0</x:v>
      </x:c>
      <x:c r="N9" s="36"/>
      <x:c r="O9" s="36"/>
      <x:c r="P9" s="36"/>
      <x:c r="Q9" s="36"/>
      <x:c r="R9" s="36"/>
      <x:c r="S9" s="36"/>
      <x:c r="T9" s="36"/>
      <x:c r="U9" s="36"/>
      <x:c r="V9" s="36"/>
      <x:c r="W9" s="36"/>
      <x:c r="X9" s="36"/>
      <x:c r="Y9" s="36"/>
      <x:c r="Z9" s="36"/>
      <x:c r="AA9" s="36"/>
      <x:c r="AB9" s="36"/>
      <x:c r="AC9" s="36"/>
      <x:c r="AD9" s="36"/>
    </x:row>
    <x:row r="10" ht="70" customHeight="1">
      <x:c r="C10" s="37" t="str">
        <x:v>S5</x:v>
      </x:c>
      <x:c r="D10" s="39" t="str">
        <x:v>One regeneration train is unavailable</x:v>
      </x:c>
      <x:c r="E10" s="41" t="n">
        <x:v>14</x:v>
      </x:c>
      <x:c r="F10" s="41" t="n">
        <x:v>0</x:v>
      </x:c>
      <x:c r="G10" s="41" t="n">
        <x:v>0</x:v>
      </x:c>
      <x:c r="H10" s="41" t="n">
        <x:v>1</x:v>
      </x:c>
      <x:c r="I10" s="41" t="n">
        <x:v>0</x:v>
      </x:c>
      <x:c r="J10" s="41" t="n">
        <x:v>0</x:v>
      </x:c>
      <x:c r="K10" s="41" t="n">
        <x:v>1</x:v>
      </x:c>
      <x:c r="L10" s="41" t="n">
        <x:v>0</x:v>
      </x:c>
      <x:c r="M10" s="41" t="n">
        <x:v>1</x:v>
      </x:c>
      <x:c r="N10" s="36"/>
      <x:c r="O10" s="36"/>
      <x:c r="P10" s="36"/>
      <x:c r="Q10" s="36"/>
      <x:c r="R10" s="36"/>
      <x:c r="S10" s="36"/>
      <x:c r="T10" s="36"/>
      <x:c r="U10" s="36"/>
      <x:c r="V10" s="36"/>
      <x:c r="W10" s="36"/>
      <x:c r="X10" s="36"/>
      <x:c r="Y10" s="36"/>
      <x:c r="Z10" s="36"/>
      <x:c r="AA10" s="36"/>
      <x:c r="AB10" s="36"/>
      <x:c r="AC10" s="36"/>
      <x:c r="AD10" s="36"/>
    </x:row>
    <x:row r="11" ht="70" customHeight="1">
      <x:c r="C11" s="37" t="str">
        <x:v>S6</x:v>
      </x:c>
      <x:c r="D11" s="39" t="str">
        <x:v>Islanded power is derated to seventy-five percent</x:v>
      </x:c>
      <x:c r="E11" s="41" t="n">
        <x:v>14</x:v>
      </x:c>
      <x:c r="F11" s="41" t="n">
        <x:v>0</x:v>
      </x:c>
      <x:c r="G11" s="41" t="n">
        <x:v>0</x:v>
      </x:c>
      <x:c r="H11" s="41" t="n">
        <x:v>0.75</x:v>
      </x:c>
      <x:c r="I11" s="41" t="n">
        <x:v>0</x:v>
      </x:c>
      <x:c r="J11" s="41" t="n">
        <x:v>0</x:v>
      </x:c>
      <x:c r="K11" s="41" t="n">
        <x:v>0</x:v>
      </x:c>
      <x:c r="L11" s="41" t="n">
        <x:v>0</x:v>
      </x:c>
      <x:c r="M11" s="41" t="n">
        <x:v>1</x:v>
      </x:c>
      <x:c r="N11" s="36"/>
      <x:c r="O11" s="36"/>
      <x:c r="P11" s="36"/>
      <x:c r="Q11" s="36"/>
      <x:c r="R11" s="36"/>
      <x:c r="S11" s="36"/>
      <x:c r="T11" s="36"/>
      <x:c r="U11" s="36"/>
      <x:c r="V11" s="36"/>
      <x:c r="W11" s="36"/>
      <x:c r="X11" s="36"/>
      <x:c r="Y11" s="36"/>
      <x:c r="Z11" s="36"/>
      <x:c r="AA11" s="36"/>
      <x:c r="AB11" s="36"/>
      <x:c r="AC11" s="36"/>
      <x:c r="AD11" s="36"/>
    </x:row>
    <x:row r="12" ht="70" customHeight="1">
      <x:c r="C12" s="37" t="str">
        <x:v>S7</x:v>
      </x:c>
      <x:c r="D12" s="39" t="str">
        <x:v>All retained residuals require hazardous custody</x:v>
      </x:c>
      <x:c r="E12" s="41" t="n">
        <x:v>14</x:v>
      </x:c>
      <x:c r="F12" s="41" t="n">
        <x:v>1</x:v>
      </x:c>
      <x:c r="G12" s="41" t="n">
        <x:v>0</x:v>
      </x:c>
      <x:c r="H12" s="41" t="n">
        <x:v>1</x:v>
      </x:c>
      <x:c r="I12" s="41" t="n">
        <x:v>0</x:v>
      </x:c>
      <x:c r="J12" s="41" t="n">
        <x:v>0</x:v>
      </x:c>
      <x:c r="K12" s="41" t="n">
        <x:v>0</x:v>
      </x:c>
      <x:c r="L12" s="41" t="n">
        <x:v>0</x:v>
      </x:c>
      <x:c r="M12" s="41" t="n">
        <x:v>1</x:v>
      </x:c>
      <x:c r="N12" s="36"/>
      <x:c r="O12" s="36"/>
      <x:c r="P12" s="36"/>
      <x:c r="Q12" s="36"/>
      <x:c r="R12" s="36"/>
      <x:c r="S12" s="36"/>
      <x:c r="T12" s="36"/>
      <x:c r="U12" s="36"/>
      <x:c r="V12" s="36"/>
      <x:c r="W12" s="36"/>
      <x:c r="X12" s="36"/>
      <x:c r="Y12" s="36"/>
      <x:c r="Z12" s="36"/>
      <x:c r="AA12" s="36"/>
      <x:c r="AB12" s="36"/>
      <x:c r="AC12" s="36"/>
      <x:c r="AD12" s="36"/>
    </x:row>
    <x:row r="13" ht="70" customHeight="1">
      <x:c r="C13" s="37" t="str">
        <x:v>S8</x:v>
      </x:c>
      <x:c r="D13" s="39" t="str">
        <x:v>Thirty-day freezing campaign</x:v>
      </x:c>
      <x:c r="E13" s="41" t="n">
        <x:v>30</x:v>
      </x:c>
      <x:c r="F13" s="41" t="n">
        <x:v>0</x:v>
      </x:c>
      <x:c r="G13" s="41" t="n">
        <x:v>0</x:v>
      </x:c>
      <x:c r="H13" s="41" t="n">
        <x:v>1</x:v>
      </x:c>
      <x:c r="I13" s="41" t="n">
        <x:v>1</x:v>
      </x:c>
      <x:c r="J13" s="41" t="n">
        <x:v>0</x:v>
      </x:c>
      <x:c r="K13" s="41" t="n">
        <x:v>0</x:v>
      </x:c>
      <x:c r="L13" s="41" t="n">
        <x:v>0</x:v>
      </x:c>
      <x:c r="M13" s="41" t="n">
        <x:v>1</x:v>
      </x:c>
      <x:c r="N13" s="36"/>
      <x:c r="O13" s="36"/>
      <x:c r="P13" s="36"/>
      <x:c r="Q13" s="36"/>
      <x:c r="R13" s="36"/>
      <x:c r="S13" s="36"/>
      <x:c r="T13" s="36"/>
      <x:c r="U13" s="36"/>
      <x:c r="V13" s="36"/>
      <x:c r="W13" s="36"/>
      <x:c r="X13" s="36"/>
      <x:c r="Y13" s="36"/>
      <x:c r="Z13" s="36"/>
      <x:c r="AA13" s="36"/>
      <x:c r="AB13" s="36"/>
      <x:c r="AC13" s="36"/>
      <x:c r="AD13" s="36"/>
    </x:row>
    <x:row r="14" ht="70" customHeight="1">
      <x:c r="C14" s="37" t="str">
        <x:v>S9</x:v>
      </x:c>
      <x:c r="D14" s="39" t="str">
        <x:v>Dual-quality distribution is challenged by cross-connection</x:v>
      </x:c>
      <x:c r="E14" s="41" t="n">
        <x:v>14</x:v>
      </x:c>
      <x:c r="F14" s="41" t="n">
        <x:v>0</x:v>
      </x:c>
      <x:c r="G14" s="41" t="n">
        <x:v>0</x:v>
      </x:c>
      <x:c r="H14" s="41" t="n">
        <x:v>1</x:v>
      </x:c>
      <x:c r="I14" s="41" t="n">
        <x:v>0</x:v>
      </x:c>
      <x:c r="J14" s="41" t="n">
        <x:v>1</x:v>
      </x:c>
      <x:c r="K14" s="41" t="n">
        <x:v>0</x:v>
      </x:c>
      <x:c r="L14" s="41" t="n">
        <x:v>0</x:v>
      </x:c>
      <x:c r="M14" s="41" t="n">
        <x:v>1</x:v>
      </x:c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  <x:c r="AA14" s="36"/>
      <x:c r="AB14" s="36"/>
      <x:c r="AC14" s="36"/>
      <x:c r="AD14" s="36"/>
    </x:row>
    <x:row r="15" ht="70" customHeight="1">
      <x:c r="C15" s="37" t="str">
        <x:v>S10</x:v>
      </x:c>
      <x:c r="D15" s="39" t="str">
        <x:v>A second fourteen-day no-outlet mission begins before depot reset</x:v>
      </x:c>
      <x:c r="E15" s="41" t="n">
        <x:v>14</x:v>
      </x:c>
      <x:c r="F15" s="41" t="n">
        <x:v>1</x:v>
      </x:c>
      <x:c r="G15" s="41" t="n">
        <x:v>0</x:v>
      </x:c>
      <x:c r="H15" s="41" t="n">
        <x:v>1</x:v>
      </x:c>
      <x:c r="I15" s="41" t="n">
        <x:v>0</x:v>
      </x:c>
      <x:c r="J15" s="41" t="n">
        <x:v>0</x:v>
      </x:c>
      <x:c r="K15" s="41" t="n">
        <x:v>0</x:v>
      </x:c>
      <x:c r="L15" s="41" t="n">
        <x:v>1</x:v>
      </x:c>
      <x:c r="M15" s="41" t="n">
        <x:v>1</x:v>
      </x:c>
      <x:c r="N15" s="36"/>
      <x:c r="O15" s="36"/>
      <x:c r="P15" s="36"/>
      <x:c r="Q15" s="36"/>
      <x:c r="R15" s="36"/>
      <x:c r="S15" s="36"/>
      <x:c r="T15" s="36"/>
      <x:c r="U15" s="36"/>
      <x:c r="V15" s="36"/>
      <x:c r="W15" s="36"/>
      <x:c r="X15" s="36"/>
      <x:c r="Y15" s="36"/>
      <x:c r="Z15" s="36"/>
      <x:c r="AA15" s="36"/>
      <x:c r="AB15" s="36"/>
      <x:c r="AC15" s="36"/>
      <x:c r="AD15" s="36"/>
    </x:row>
    <x:row r="16"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36"/>
      <x:c r="T16" s="36"/>
      <x:c r="U16" s="36"/>
      <x:c r="V16" s="36"/>
      <x:c r="W16" s="36"/>
      <x:c r="X16" s="36"/>
      <x:c r="Y16" s="36"/>
      <x:c r="Z16" s="36"/>
      <x:c r="AA16" s="36"/>
      <x:c r="AB16" s="36"/>
      <x:c r="AC16" s="36"/>
      <x:c r="AD16" s="36"/>
    </x:row>
    <x:row r="17"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36"/>
      <x:c r="T17" s="36"/>
      <x:c r="U17" s="36"/>
      <x:c r="V17" s="36"/>
      <x:c r="W17" s="36"/>
      <x:c r="X17" s="36"/>
      <x:c r="Y17" s="36"/>
      <x:c r="Z17" s="36"/>
      <x:c r="AA17" s="36"/>
      <x:c r="AB17" s="36"/>
      <x:c r="AC17" s="36"/>
      <x:c r="AD17" s="36"/>
    </x:row>
    <x:row r="18"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36"/>
      <x:c r="T18" s="36"/>
      <x:c r="U18" s="36"/>
      <x:c r="V18" s="36"/>
      <x:c r="W18" s="36"/>
      <x:c r="X18" s="36"/>
      <x:c r="Y18" s="36"/>
      <x:c r="Z18" s="36"/>
      <x:c r="AA18" s="36"/>
      <x:c r="AB18" s="36"/>
      <x:c r="AC18" s="36"/>
      <x:c r="AD18" s="36"/>
    </x:row>
    <x:row r="19">
      <x:c r="C19" s="9" t="str">
        <x:v>Architecture</x:v>
      </x:c>
      <x:c r="D19" s="9" t="str">
        <x:v>World</x:v>
      </x:c>
      <x:c r="E19" s="9" t="str">
        <x:v>Horizon</x:v>
      </x:c>
      <x:c r="F19" s="9" t="str">
        <x:v>No outlet</x:v>
      </x:c>
      <x:c r="G19" s="9" t="str">
        <x:v>No resupply</x:v>
      </x:c>
      <x:c r="H19" s="9" t="str">
        <x:v>Power fraction</x:v>
      </x:c>
      <x:c r="I19" s="9" t="str">
        <x:v>Cold</x:v>
      </x:c>
      <x:c r="J19" s="9" t="str">
        <x:v>Cross-connection</x:v>
      </x:c>
      <x:c r="K19" s="9" t="str">
        <x:v>Train loss</x:v>
      </x:c>
      <x:c r="L19" s="9" t="str">
        <x:v>Second mission</x:v>
      </x:c>
      <x:c r="M19" s="9" t="str">
        <x:v>Source valid</x:v>
      </x:c>
      <x:c r="N19" s="9" t="str">
        <x:v>Liquid need m³</x:v>
      </x:c>
      <x:c r="O19" s="9" t="str">
        <x:v>Liquid custody m³</x:v>
      </x:c>
      <x:c r="P19" s="9" t="str">
        <x:v>Residual</x:v>
      </x:c>
      <x:c r="Q19" s="9" t="str">
        <x:v>Consumables need t</x:v>
      </x:c>
      <x:c r="R19" s="9" t="str">
        <x:v>Consumable stock t</x:v>
      </x:c>
      <x:c r="S19" s="9" t="str">
        <x:v>Consumables</x:v>
      </x:c>
      <x:c r="T19" s="9" t="str">
        <x:v>Available MW</x:v>
      </x:c>
      <x:c r="U19" s="9" t="str">
        <x:v>Critical MW</x:v>
      </x:c>
      <x:c r="V19" s="9" t="str">
        <x:v>Power</x:v>
      </x:c>
      <x:c r="W19" s="9" t="str">
        <x:v>Cold qualification</x:v>
      </x:c>
      <x:c r="X19" s="9" t="str">
        <x:v>Network separation</x:v>
      </x:c>
      <x:c r="Y19" s="9" t="str">
        <x:v>Regeneration</x:v>
      </x:c>
      <x:c r="Z19" s="9" t="str">
        <x:v>Repeat</x:v>
      </x:c>
      <x:c r="AA19" s="9" t="str">
        <x:v>Source behavior</x:v>
      </x:c>
      <x:c r="AB19" s="9" t="str">
        <x:v>Overall</x:v>
      </x:c>
      <x:c r="AC19" s="9" t="str">
        <x:v>Service-bearing</x:v>
      </x:c>
      <x:c r="AD19" s="9" t="str">
        <x:v>Strict admission</x:v>
      </x:c>
    </x:row>
    <x:row r="20" ht="26" customHeight="1">
      <x:c r="C20" s="37" t="str">
        <x:v>E1</x:v>
      </x:c>
      <x:c r="D20" s="37" t="str">
        <x:v>S1</x:v>
      </x:c>
      <x:c r="E20" s="48" t="n">
        <x:f>E6</x:f>
        <x:v>14</x:v>
      </x:c>
      <x:c r="F20" s="48" t="n">
        <x:f>F6</x:f>
        <x:v>1</x:v>
      </x:c>
      <x:c r="G20" s="48" t="n">
        <x:f>G6</x:f>
        <x:v>0</x:v>
      </x:c>
      <x:c r="H20" s="48" t="n">
        <x:f>H6</x:f>
        <x:v>1</x:v>
      </x:c>
      <x:c r="I20" s="48" t="n">
        <x:f>I6</x:f>
        <x:v>0</x:v>
      </x:c>
      <x:c r="J20" s="48" t="n">
        <x:f>J6</x:f>
        <x:v>0</x:v>
      </x:c>
      <x:c r="K20" s="48" t="n">
        <x:f>K6</x:f>
        <x:v>0</x:v>
      </x:c>
      <x:c r="L20" s="48" t="n">
        <x:f>L6</x:f>
        <x:v>0</x:v>
      </x:c>
      <x:c r="M20" s="48" t="n">
        <x:f>M6</x:f>
        <x:v>1</x:v>
      </x:c>
      <x:c r="N20" s="48" t="n">
        <x:f>IF(F20=1,'04 Material Balance'!$G6*E20,0)</x:f>
        <x:v>17500</x:v>
      </x:c>
      <x:c r="O20" s="48" t="n">
        <x:f>'02 Architectures'!$I6</x:f>
        <x:v>17500</x:v>
      </x:c>
      <x:c r="P20" s="37" t="str">
        <x:f>IF(N20&lt;=O20,"PASS","FAIL")</x:f>
        <x:v>PASS</x:v>
      </x:c>
      <x:c r="Q20" s="48" t="n">
        <x:f>IF(G20=1,'04 Material Balance'!$Q6*E20,0)</x:f>
        <x:v>0</x:v>
      </x:c>
      <x:c r="R20" s="48" t="n">
        <x:f>'02 Architectures'!$M6</x:f>
        <x:v>60</x:v>
      </x:c>
      <x:c r="S20" s="37" t="str">
        <x:f>IF(Q20&lt;=R20,"PASS","FAIL")</x:f>
        <x:v>PASS</x:v>
      </x:c>
      <x:c r="T20" s="41" t="n">
        <x:f>'02 Architectures'!$P6*H20</x:f>
        <x:v>2</x:v>
      </x:c>
      <x:c r="U20" s="41" t="n">
        <x:f>'04 Material Balance'!$U6</x:f>
        <x:v>1.125</x:v>
      </x:c>
      <x:c r="V20" s="37" t="str">
        <x:f>IF(T20&gt;=U20,"PASS","FAIL")</x:f>
        <x:v>PASS</x:v>
      </x:c>
      <x:c r="W20" s="37" t="str">
        <x:f>IF(OR(I20=0,'02 Architectures'!$S6=1),"PASS","FAIL")</x:f>
        <x:v>PASS</x:v>
      </x:c>
      <x:c r="X20" s="37" t="str">
        <x:f>IF(AND(J20=1,'02 Architectures'!$T6=1),"FAIL","PASS")</x:f>
        <x:v>PASS</x:v>
      </x:c>
      <x:c r="Y20" s="37" t="str">
        <x:f>IF(OR(K20=0,'02 Architectures'!$R6&gt;=1),"PASS","FAIL")</x:f>
        <x:v>PASS</x:v>
      </x:c>
      <x:c r="Z20" s="37" t="str">
        <x:f>IF(OR(L20=0,'02 Architectures'!$U6=1),"PASS","FAIL")</x:f>
        <x:v>PASS</x:v>
      </x:c>
      <x:c r="AA20" s="37" t="str">
        <x:f>IF(OR(M20=1,'02 Architectures'!$V6=1),"PASS","FAIL")</x:f>
        <x:v>PASS</x:v>
      </x:c>
      <x:c r="AB20" s="37" t="str">
        <x:f>IF(M20=0,AA20,IF(AND(P20="PASS",S20="PASS",V20="PASS",W20="PASS",X20="PASS",Y20="PASS",Z20="PASS"),"PASS","FAIL"))</x:f>
        <x:v>PASS</x:v>
      </x:c>
      <x:c r="AC20" s="38" t="n">
        <x:f>IF(AND(M20=1,AB20="PASS"),1,0)</x:f>
        <x:v>1</x:v>
      </x:c>
      <x:c r="AD20" s="37" t="str">
        <x:f>'02 Architectures'!$AH6</x:f>
        <x:v>DENIED</x:v>
      </x:c>
    </x:row>
    <x:row r="21" ht="26" customHeight="1">
      <x:c r="C21" s="37" t="str">
        <x:v>E1</x:v>
      </x:c>
      <x:c r="D21" s="37" t="str">
        <x:v>S2</x:v>
      </x:c>
      <x:c r="E21" s="48" t="n">
        <x:f>E7</x:f>
        <x:v>30</x:v>
      </x:c>
      <x:c r="F21" s="48" t="n">
        <x:f>F7</x:f>
        <x:v>0</x:v>
      </x:c>
      <x:c r="G21" s="48" t="n">
        <x:f>G7</x:f>
        <x:v>1</x:v>
      </x:c>
      <x:c r="H21" s="48" t="n">
        <x:f>H7</x:f>
        <x:v>1</x:v>
      </x:c>
      <x:c r="I21" s="48" t="n">
        <x:f>I7</x:f>
        <x:v>0</x:v>
      </x:c>
      <x:c r="J21" s="48" t="n">
        <x:f>J7</x:f>
        <x:v>0</x:v>
      </x:c>
      <x:c r="K21" s="48" t="n">
        <x:f>K7</x:f>
        <x:v>0</x:v>
      </x:c>
      <x:c r="L21" s="48" t="n">
        <x:f>L7</x:f>
        <x:v>0</x:v>
      </x:c>
      <x:c r="M21" s="48" t="n">
        <x:f>M7</x:f>
        <x:v>1</x:v>
      </x:c>
      <x:c r="N21" s="48" t="n">
        <x:f>IF(F21=1,'04 Material Balance'!$G6*E21,0)</x:f>
        <x:v>0</x:v>
      </x:c>
      <x:c r="O21" s="48" t="n">
        <x:f>'02 Architectures'!$I6</x:f>
        <x:v>17500</x:v>
      </x:c>
      <x:c r="P21" s="37" t="str">
        <x:f>IF(N21&lt;=O21,"PASS","FAIL")</x:f>
        <x:v>PASS</x:v>
      </x:c>
      <x:c r="Q21" s="48" t="n">
        <x:f>IF(G21=1,'04 Material Balance'!$Q6*E21,0)</x:f>
        <x:v>60</x:v>
      </x:c>
      <x:c r="R21" s="48" t="n">
        <x:f>'02 Architectures'!$M6</x:f>
        <x:v>60</x:v>
      </x:c>
      <x:c r="S21" s="37" t="str">
        <x:f>IF(Q21&lt;=R21,"PASS","FAIL")</x:f>
        <x:v>PASS</x:v>
      </x:c>
      <x:c r="T21" s="41" t="n">
        <x:f>'02 Architectures'!$P6*H21</x:f>
        <x:v>2</x:v>
      </x:c>
      <x:c r="U21" s="41" t="n">
        <x:f>'04 Material Balance'!$U6</x:f>
        <x:v>1.125</x:v>
      </x:c>
      <x:c r="V21" s="37" t="str">
        <x:f>IF(T21&gt;=U21,"PASS","FAIL")</x:f>
        <x:v>PASS</x:v>
      </x:c>
      <x:c r="W21" s="37" t="str">
        <x:f>IF(OR(I21=0,'02 Architectures'!$S6=1),"PASS","FAIL")</x:f>
        <x:v>PASS</x:v>
      </x:c>
      <x:c r="X21" s="37" t="str">
        <x:f>IF(AND(J21=1,'02 Architectures'!$T6=1),"FAIL","PASS")</x:f>
        <x:v>PASS</x:v>
      </x:c>
      <x:c r="Y21" s="37" t="str">
        <x:f>IF(OR(K21=0,'02 Architectures'!$R6&gt;=1),"PASS","FAIL")</x:f>
        <x:v>PASS</x:v>
      </x:c>
      <x:c r="Z21" s="37" t="str">
        <x:f>IF(OR(L21=0,'02 Architectures'!$U6=1),"PASS","FAIL")</x:f>
        <x:v>PASS</x:v>
      </x:c>
      <x:c r="AA21" s="37" t="str">
        <x:f>IF(OR(M21=1,'02 Architectures'!$V6=1),"PASS","FAIL")</x:f>
        <x:v>PASS</x:v>
      </x:c>
      <x:c r="AB21" s="37" t="str">
        <x:f>IF(M21=0,AA21,IF(AND(P21="PASS",S21="PASS",V21="PASS",W21="PASS",X21="PASS",Y21="PASS",Z21="PASS"),"PASS","FAIL"))</x:f>
        <x:v>PASS</x:v>
      </x:c>
      <x:c r="AC21" s="38" t="n">
        <x:f>IF(AND(M21=1,AB21="PASS"),1,0)</x:f>
        <x:v>1</x:v>
      </x:c>
      <x:c r="AD21" s="37" t="str">
        <x:f>'02 Architectures'!$AH6</x:f>
        <x:v>DENIED</x:v>
      </x:c>
    </x:row>
    <x:row r="22" ht="26" customHeight="1">
      <x:c r="C22" s="37" t="str">
        <x:v>E1</x:v>
      </x:c>
      <x:c r="D22" s="37" t="str">
        <x:v>S3</x:v>
      </x:c>
      <x:c r="E22" s="48" t="n">
        <x:f>E8</x:f>
        <x:v>30</x:v>
      </x:c>
      <x:c r="F22" s="48" t="n">
        <x:f>F8</x:f>
        <x:v>1</x:v>
      </x:c>
      <x:c r="G22" s="48" t="n">
        <x:f>G8</x:f>
        <x:v>1</x:v>
      </x:c>
      <x:c r="H22" s="48" t="n">
        <x:f>H8</x:f>
        <x:v>1</x:v>
      </x:c>
      <x:c r="I22" s="48" t="n">
        <x:f>I8</x:f>
        <x:v>0</x:v>
      </x:c>
      <x:c r="J22" s="48" t="n">
        <x:f>J8</x:f>
        <x:v>0</x:v>
      </x:c>
      <x:c r="K22" s="48" t="n">
        <x:f>K8</x:f>
        <x:v>0</x:v>
      </x:c>
      <x:c r="L22" s="48" t="n">
        <x:f>L8</x:f>
        <x:v>0</x:v>
      </x:c>
      <x:c r="M22" s="48" t="n">
        <x:f>M8</x:f>
        <x:v>1</x:v>
      </x:c>
      <x:c r="N22" s="48" t="n">
        <x:f>IF(F22=1,'04 Material Balance'!$G6*E22,0)</x:f>
        <x:v>37500</x:v>
      </x:c>
      <x:c r="O22" s="48" t="n">
        <x:f>'02 Architectures'!$I6</x:f>
        <x:v>17500</x:v>
      </x:c>
      <x:c r="P22" s="37" t="str">
        <x:f>IF(N22&lt;=O22,"PASS","FAIL")</x:f>
        <x:v>FAIL</x:v>
      </x:c>
      <x:c r="Q22" s="48" t="n">
        <x:f>IF(G22=1,'04 Material Balance'!$Q6*E22,0)</x:f>
        <x:v>60</x:v>
      </x:c>
      <x:c r="R22" s="48" t="n">
        <x:f>'02 Architectures'!$M6</x:f>
        <x:v>60</x:v>
      </x:c>
      <x:c r="S22" s="37" t="str">
        <x:f>IF(Q22&lt;=R22,"PASS","FAIL")</x:f>
        <x:v>PASS</x:v>
      </x:c>
      <x:c r="T22" s="41" t="n">
        <x:f>'02 Architectures'!$P6*H22</x:f>
        <x:v>2</x:v>
      </x:c>
      <x:c r="U22" s="41" t="n">
        <x:f>'04 Material Balance'!$U6</x:f>
        <x:v>1.125</x:v>
      </x:c>
      <x:c r="V22" s="37" t="str">
        <x:f>IF(T22&gt;=U22,"PASS","FAIL")</x:f>
        <x:v>PASS</x:v>
      </x:c>
      <x:c r="W22" s="37" t="str">
        <x:f>IF(OR(I22=0,'02 Architectures'!$S6=1),"PASS","FAIL")</x:f>
        <x:v>PASS</x:v>
      </x:c>
      <x:c r="X22" s="37" t="str">
        <x:f>IF(AND(J22=1,'02 Architectures'!$T6=1),"FAIL","PASS")</x:f>
        <x:v>PASS</x:v>
      </x:c>
      <x:c r="Y22" s="37" t="str">
        <x:f>IF(OR(K22=0,'02 Architectures'!$R6&gt;=1),"PASS","FAIL")</x:f>
        <x:v>PASS</x:v>
      </x:c>
      <x:c r="Z22" s="37" t="str">
        <x:f>IF(OR(L22=0,'02 Architectures'!$U6=1),"PASS","FAIL")</x:f>
        <x:v>PASS</x:v>
      </x:c>
      <x:c r="AA22" s="37" t="str">
        <x:f>IF(OR(M22=1,'02 Architectures'!$V6=1),"PASS","FAIL")</x:f>
        <x:v>PASS</x:v>
      </x:c>
      <x:c r="AB22" s="37" t="str">
        <x:f>IF(M22=0,AA22,IF(AND(P22="PASS",S22="PASS",V22="PASS",W22="PASS",X22="PASS",Y22="PASS",Z22="PASS"),"PASS","FAIL"))</x:f>
        <x:v>FAIL</x:v>
      </x:c>
      <x:c r="AC22" s="38" t="n">
        <x:f>IF(AND(M22=1,AB22="PASS"),1,0)</x:f>
        <x:v>0</x:v>
      </x:c>
      <x:c r="AD22" s="37" t="str">
        <x:f>'02 Architectures'!$AH6</x:f>
        <x:v>DENIED</x:v>
      </x:c>
    </x:row>
    <x:row r="23" ht="26" customHeight="1">
      <x:c r="C23" s="37" t="str">
        <x:v>E1</x:v>
      </x:c>
      <x:c r="D23" s="37" t="str">
        <x:v>S4</x:v>
      </x:c>
      <x:c r="E23" s="48" t="n">
        <x:f>E9</x:f>
        <x:v>3</x:v>
      </x:c>
      <x:c r="F23" s="48" t="n">
        <x:f>F9</x:f>
        <x:v>0</x:v>
      </x:c>
      <x:c r="G23" s="48" t="n">
        <x:f>G9</x:f>
        <x:v>0</x:v>
      </x:c>
      <x:c r="H23" s="48" t="n">
        <x:f>H9</x:f>
        <x:v>1</x:v>
      </x:c>
      <x:c r="I23" s="48" t="n">
        <x:f>I9</x:f>
        <x:v>0</x:v>
      </x:c>
      <x:c r="J23" s="48" t="n">
        <x:f>J9</x:f>
        <x:v>0</x:v>
      </x:c>
      <x:c r="K23" s="48" t="n">
        <x:f>K9</x:f>
        <x:v>0</x:v>
      </x:c>
      <x:c r="L23" s="48" t="n">
        <x:f>L9</x:f>
        <x:v>0</x:v>
      </x:c>
      <x:c r="M23" s="48" t="n">
        <x:f>M9</x:f>
        <x:v>0</x:v>
      </x:c>
      <x:c r="N23" s="48" t="n">
        <x:f>IF(F23=1,'04 Material Balance'!$G6*E23,0)</x:f>
        <x:v>0</x:v>
      </x:c>
      <x:c r="O23" s="48" t="n">
        <x:f>'02 Architectures'!$I6</x:f>
        <x:v>17500</x:v>
      </x:c>
      <x:c r="P23" s="37" t="str">
        <x:f>IF(N23&lt;=O23,"PASS","FAIL")</x:f>
        <x:v>PASS</x:v>
      </x:c>
      <x:c r="Q23" s="48" t="n">
        <x:f>IF(G23=1,'04 Material Balance'!$Q6*E23,0)</x:f>
        <x:v>0</x:v>
      </x:c>
      <x:c r="R23" s="48" t="n">
        <x:f>'02 Architectures'!$M6</x:f>
        <x:v>60</x:v>
      </x:c>
      <x:c r="S23" s="37" t="str">
        <x:f>IF(Q23&lt;=R23,"PASS","FAIL")</x:f>
        <x:v>PASS</x:v>
      </x:c>
      <x:c r="T23" s="41" t="n">
        <x:f>'02 Architectures'!$P6*H23</x:f>
        <x:v>2</x:v>
      </x:c>
      <x:c r="U23" s="41" t="n">
        <x:f>'04 Material Balance'!$U6</x:f>
        <x:v>1.125</x:v>
      </x:c>
      <x:c r="V23" s="37" t="str">
        <x:f>IF(T23&gt;=U23,"PASS","FAIL")</x:f>
        <x:v>PASS</x:v>
      </x:c>
      <x:c r="W23" s="37" t="str">
        <x:f>IF(OR(I23=0,'02 Architectures'!$S6=1),"PASS","FAIL")</x:f>
        <x:v>PASS</x:v>
      </x:c>
      <x:c r="X23" s="37" t="str">
        <x:f>IF(AND(J23=1,'02 Architectures'!$T6=1),"FAIL","PASS")</x:f>
        <x:v>PASS</x:v>
      </x:c>
      <x:c r="Y23" s="37" t="str">
        <x:f>IF(OR(K23=0,'02 Architectures'!$R6&gt;=1),"PASS","FAIL")</x:f>
        <x:v>PASS</x:v>
      </x:c>
      <x:c r="Z23" s="37" t="str">
        <x:f>IF(OR(L23=0,'02 Architectures'!$U6=1),"PASS","FAIL")</x:f>
        <x:v>PASS</x:v>
      </x:c>
      <x:c r="AA23" s="37" t="str">
        <x:f>IF(OR(M23=1,'02 Architectures'!$V6=1),"PASS","FAIL")</x:f>
        <x:v>PASS</x:v>
      </x:c>
      <x:c r="AB23" s="37" t="str">
        <x:f>IF(M23=0,AA23,IF(AND(P23="PASS",S23="PASS",V23="PASS",W23="PASS",X23="PASS",Y23="PASS",Z23="PASS"),"PASS","FAIL"))</x:f>
        <x:v>PASS</x:v>
      </x:c>
      <x:c r="AC23" s="38" t="n">
        <x:f>IF(AND(M23=1,AB23="PASS"),1,0)</x:f>
        <x:v>0</x:v>
      </x:c>
      <x:c r="AD23" s="37" t="str">
        <x:f>'02 Architectures'!$AH6</x:f>
        <x:v>DENIED</x:v>
      </x:c>
    </x:row>
    <x:row r="24" ht="26" customHeight="1">
      <x:c r="C24" s="37" t="str">
        <x:v>E1</x:v>
      </x:c>
      <x:c r="D24" s="37" t="str">
        <x:v>S5</x:v>
      </x:c>
      <x:c r="E24" s="48" t="n">
        <x:f>E10</x:f>
        <x:v>14</x:v>
      </x:c>
      <x:c r="F24" s="48" t="n">
        <x:f>F10</x:f>
        <x:v>0</x:v>
      </x:c>
      <x:c r="G24" s="48" t="n">
        <x:f>G10</x:f>
        <x:v>0</x:v>
      </x:c>
      <x:c r="H24" s="48" t="n">
        <x:f>H10</x:f>
        <x:v>1</x:v>
      </x:c>
      <x:c r="I24" s="48" t="n">
        <x:f>I10</x:f>
        <x:v>0</x:v>
      </x:c>
      <x:c r="J24" s="48" t="n">
        <x:f>J10</x:f>
        <x:v>0</x:v>
      </x:c>
      <x:c r="K24" s="48" t="n">
        <x:f>K10</x:f>
        <x:v>1</x:v>
      </x:c>
      <x:c r="L24" s="48" t="n">
        <x:f>L10</x:f>
        <x:v>0</x:v>
      </x:c>
      <x:c r="M24" s="48" t="n">
        <x:f>M10</x:f>
        <x:v>1</x:v>
      </x:c>
      <x:c r="N24" s="48" t="n">
        <x:f>IF(F24=1,'04 Material Balance'!$G6*E24,0)</x:f>
        <x:v>0</x:v>
      </x:c>
      <x:c r="O24" s="48" t="n">
        <x:f>'02 Architectures'!$I6</x:f>
        <x:v>17500</x:v>
      </x:c>
      <x:c r="P24" s="37" t="str">
        <x:f>IF(N24&lt;=O24,"PASS","FAIL")</x:f>
        <x:v>PASS</x:v>
      </x:c>
      <x:c r="Q24" s="48" t="n">
        <x:f>IF(G24=1,'04 Material Balance'!$Q6*E24,0)</x:f>
        <x:v>0</x:v>
      </x:c>
      <x:c r="R24" s="48" t="n">
        <x:f>'02 Architectures'!$M6</x:f>
        <x:v>60</x:v>
      </x:c>
      <x:c r="S24" s="37" t="str">
        <x:f>IF(Q24&lt;=R24,"PASS","FAIL")</x:f>
        <x:v>PASS</x:v>
      </x:c>
      <x:c r="T24" s="41" t="n">
        <x:f>'02 Architectures'!$P6*H24</x:f>
        <x:v>2</x:v>
      </x:c>
      <x:c r="U24" s="41" t="n">
        <x:f>'04 Material Balance'!$U6</x:f>
        <x:v>1.125</x:v>
      </x:c>
      <x:c r="V24" s="37" t="str">
        <x:f>IF(T24&gt;=U24,"PASS","FAIL")</x:f>
        <x:v>PASS</x:v>
      </x:c>
      <x:c r="W24" s="37" t="str">
        <x:f>IF(OR(I24=0,'02 Architectures'!$S6=1),"PASS","FAIL")</x:f>
        <x:v>PASS</x:v>
      </x:c>
      <x:c r="X24" s="37" t="str">
        <x:f>IF(AND(J24=1,'02 Architectures'!$T6=1),"FAIL","PASS")</x:f>
        <x:v>PASS</x:v>
      </x:c>
      <x:c r="Y24" s="37" t="str">
        <x:f>IF(OR(K24=0,'02 Architectures'!$R6&gt;=1),"PASS","FAIL")</x:f>
        <x:v>PASS</x:v>
      </x:c>
      <x:c r="Z24" s="37" t="str">
        <x:f>IF(OR(L24=0,'02 Architectures'!$U6=1),"PASS","FAIL")</x:f>
        <x:v>PASS</x:v>
      </x:c>
      <x:c r="AA24" s="37" t="str">
        <x:f>IF(OR(M24=1,'02 Architectures'!$V6=1),"PASS","FAIL")</x:f>
        <x:v>PASS</x:v>
      </x:c>
      <x:c r="AB24" s="37" t="str">
        <x:f>IF(M24=0,AA24,IF(AND(P24="PASS",S24="PASS",V24="PASS",W24="PASS",X24="PASS",Y24="PASS",Z24="PASS"),"PASS","FAIL"))</x:f>
        <x:v>PASS</x:v>
      </x:c>
      <x:c r="AC24" s="38" t="n">
        <x:f>IF(AND(M24=1,AB24="PASS"),1,0)</x:f>
        <x:v>1</x:v>
      </x:c>
      <x:c r="AD24" s="37" t="str">
        <x:f>'02 Architectures'!$AH6</x:f>
        <x:v>DENIED</x:v>
      </x:c>
    </x:row>
    <x:row r="25" ht="26" customHeight="1">
      <x:c r="C25" s="37" t="str">
        <x:v>E1</x:v>
      </x:c>
      <x:c r="D25" s="37" t="str">
        <x:v>S6</x:v>
      </x:c>
      <x:c r="E25" s="48" t="n">
        <x:f>E11</x:f>
        <x:v>14</x:v>
      </x:c>
      <x:c r="F25" s="48" t="n">
        <x:f>F11</x:f>
        <x:v>0</x:v>
      </x:c>
      <x:c r="G25" s="48" t="n">
        <x:f>G11</x:f>
        <x:v>0</x:v>
      </x:c>
      <x:c r="H25" s="48" t="n">
        <x:f>H11</x:f>
        <x:v>0.75</x:v>
      </x:c>
      <x:c r="I25" s="48" t="n">
        <x:f>I11</x:f>
        <x:v>0</x:v>
      </x:c>
      <x:c r="J25" s="48" t="n">
        <x:f>J11</x:f>
        <x:v>0</x:v>
      </x:c>
      <x:c r="K25" s="48" t="n">
        <x:f>K11</x:f>
        <x:v>0</x:v>
      </x:c>
      <x:c r="L25" s="48" t="n">
        <x:f>L11</x:f>
        <x:v>0</x:v>
      </x:c>
      <x:c r="M25" s="48" t="n">
        <x:f>M11</x:f>
        <x:v>1</x:v>
      </x:c>
      <x:c r="N25" s="48" t="n">
        <x:f>IF(F25=1,'04 Material Balance'!$G6*E25,0)</x:f>
        <x:v>0</x:v>
      </x:c>
      <x:c r="O25" s="48" t="n">
        <x:f>'02 Architectures'!$I6</x:f>
        <x:v>17500</x:v>
      </x:c>
      <x:c r="P25" s="37" t="str">
        <x:f>IF(N25&lt;=O25,"PASS","FAIL")</x:f>
        <x:v>PASS</x:v>
      </x:c>
      <x:c r="Q25" s="48" t="n">
        <x:f>IF(G25=1,'04 Material Balance'!$Q6*E25,0)</x:f>
        <x:v>0</x:v>
      </x:c>
      <x:c r="R25" s="48" t="n">
        <x:f>'02 Architectures'!$M6</x:f>
        <x:v>60</x:v>
      </x:c>
      <x:c r="S25" s="37" t="str">
        <x:f>IF(Q25&lt;=R25,"PASS","FAIL")</x:f>
        <x:v>PASS</x:v>
      </x:c>
      <x:c r="T25" s="41" t="n">
        <x:f>'02 Architectures'!$P6*H25</x:f>
        <x:v>1.5</x:v>
      </x:c>
      <x:c r="U25" s="41" t="n">
        <x:f>'04 Material Balance'!$U6</x:f>
        <x:v>1.125</x:v>
      </x:c>
      <x:c r="V25" s="37" t="str">
        <x:f>IF(T25&gt;=U25,"PASS","FAIL")</x:f>
        <x:v>PASS</x:v>
      </x:c>
      <x:c r="W25" s="37" t="str">
        <x:f>IF(OR(I25=0,'02 Architectures'!$S6=1),"PASS","FAIL")</x:f>
        <x:v>PASS</x:v>
      </x:c>
      <x:c r="X25" s="37" t="str">
        <x:f>IF(AND(J25=1,'02 Architectures'!$T6=1),"FAIL","PASS")</x:f>
        <x:v>PASS</x:v>
      </x:c>
      <x:c r="Y25" s="37" t="str">
        <x:f>IF(OR(K25=0,'02 Architectures'!$R6&gt;=1),"PASS","FAIL")</x:f>
        <x:v>PASS</x:v>
      </x:c>
      <x:c r="Z25" s="37" t="str">
        <x:f>IF(OR(L25=0,'02 Architectures'!$U6=1),"PASS","FAIL")</x:f>
        <x:v>PASS</x:v>
      </x:c>
      <x:c r="AA25" s="37" t="str">
        <x:f>IF(OR(M25=1,'02 Architectures'!$V6=1),"PASS","FAIL")</x:f>
        <x:v>PASS</x:v>
      </x:c>
      <x:c r="AB25" s="37" t="str">
        <x:f>IF(M25=0,AA25,IF(AND(P25="PASS",S25="PASS",V25="PASS",W25="PASS",X25="PASS",Y25="PASS",Z25="PASS"),"PASS","FAIL"))</x:f>
        <x:v>PASS</x:v>
      </x:c>
      <x:c r="AC25" s="38" t="n">
        <x:f>IF(AND(M25=1,AB25="PASS"),1,0)</x:f>
        <x:v>1</x:v>
      </x:c>
      <x:c r="AD25" s="37" t="str">
        <x:f>'02 Architectures'!$AH6</x:f>
        <x:v>DENIED</x:v>
      </x:c>
    </x:row>
    <x:row r="26" ht="26" customHeight="1">
      <x:c r="C26" s="37" t="str">
        <x:v>E1</x:v>
      </x:c>
      <x:c r="D26" s="37" t="str">
        <x:v>S7</x:v>
      </x:c>
      <x:c r="E26" s="48" t="n">
        <x:f>E12</x:f>
        <x:v>14</x:v>
      </x:c>
      <x:c r="F26" s="48" t="n">
        <x:f>F12</x:f>
        <x:v>1</x:v>
      </x:c>
      <x:c r="G26" s="48" t="n">
        <x:f>G12</x:f>
        <x:v>0</x:v>
      </x:c>
      <x:c r="H26" s="48" t="n">
        <x:f>H12</x:f>
        <x:v>1</x:v>
      </x:c>
      <x:c r="I26" s="48" t="n">
        <x:f>I12</x:f>
        <x:v>0</x:v>
      </x:c>
      <x:c r="J26" s="48" t="n">
        <x:f>J12</x:f>
        <x:v>0</x:v>
      </x:c>
      <x:c r="K26" s="48" t="n">
        <x:f>K12</x:f>
        <x:v>0</x:v>
      </x:c>
      <x:c r="L26" s="48" t="n">
        <x:f>L12</x:f>
        <x:v>0</x:v>
      </x:c>
      <x:c r="M26" s="48" t="n">
        <x:f>M12</x:f>
        <x:v>1</x:v>
      </x:c>
      <x:c r="N26" s="48" t="n">
        <x:f>IF(F26=1,'04 Material Balance'!$G6*E26,0)</x:f>
        <x:v>17500</x:v>
      </x:c>
      <x:c r="O26" s="48" t="n">
        <x:f>'02 Architectures'!$I6</x:f>
        <x:v>17500</x:v>
      </x:c>
      <x:c r="P26" s="37" t="str">
        <x:f>IF(N26&lt;=O26,"PASS","FAIL")</x:f>
        <x:v>PASS</x:v>
      </x:c>
      <x:c r="Q26" s="48" t="n">
        <x:f>IF(G26=1,'04 Material Balance'!$Q6*E26,0)</x:f>
        <x:v>0</x:v>
      </x:c>
      <x:c r="R26" s="48" t="n">
        <x:f>'02 Architectures'!$M6</x:f>
        <x:v>60</x:v>
      </x:c>
      <x:c r="S26" s="37" t="str">
        <x:f>IF(Q26&lt;=R26,"PASS","FAIL")</x:f>
        <x:v>PASS</x:v>
      </x:c>
      <x:c r="T26" s="41" t="n">
        <x:f>'02 Architectures'!$P6*H26</x:f>
        <x:v>2</x:v>
      </x:c>
      <x:c r="U26" s="41" t="n">
        <x:f>'04 Material Balance'!$U6</x:f>
        <x:v>1.125</x:v>
      </x:c>
      <x:c r="V26" s="37" t="str">
        <x:f>IF(T26&gt;=U26,"PASS","FAIL")</x:f>
        <x:v>PASS</x:v>
      </x:c>
      <x:c r="W26" s="37" t="str">
        <x:f>IF(OR(I26=0,'02 Architectures'!$S6=1),"PASS","FAIL")</x:f>
        <x:v>PASS</x:v>
      </x:c>
      <x:c r="X26" s="37" t="str">
        <x:f>IF(AND(J26=1,'02 Architectures'!$T6=1),"FAIL","PASS")</x:f>
        <x:v>PASS</x:v>
      </x:c>
      <x:c r="Y26" s="37" t="str">
        <x:f>IF(OR(K26=0,'02 Architectures'!$R6&gt;=1),"PASS","FAIL")</x:f>
        <x:v>PASS</x:v>
      </x:c>
      <x:c r="Z26" s="37" t="str">
        <x:f>IF(OR(L26=0,'02 Architectures'!$U6=1),"PASS","FAIL")</x:f>
        <x:v>PASS</x:v>
      </x:c>
      <x:c r="AA26" s="37" t="str">
        <x:f>IF(OR(M26=1,'02 Architectures'!$V6=1),"PASS","FAIL")</x:f>
        <x:v>PASS</x:v>
      </x:c>
      <x:c r="AB26" s="37" t="str">
        <x:f>IF(M26=0,AA26,IF(AND(P26="PASS",S26="PASS",V26="PASS",W26="PASS",X26="PASS",Y26="PASS",Z26="PASS"),"PASS","FAIL"))</x:f>
        <x:v>PASS</x:v>
      </x:c>
      <x:c r="AC26" s="38" t="n">
        <x:f>IF(AND(M26=1,AB26="PASS"),1,0)</x:f>
        <x:v>1</x:v>
      </x:c>
      <x:c r="AD26" s="37" t="str">
        <x:f>'02 Architectures'!$AH6</x:f>
        <x:v>DENIED</x:v>
      </x:c>
    </x:row>
    <x:row r="27" ht="26" customHeight="1">
      <x:c r="C27" s="37" t="str">
        <x:v>E1</x:v>
      </x:c>
      <x:c r="D27" s="37" t="str">
        <x:v>S8</x:v>
      </x:c>
      <x:c r="E27" s="48" t="n">
        <x:f>E13</x:f>
        <x:v>30</x:v>
      </x:c>
      <x:c r="F27" s="48" t="n">
        <x:f>F13</x:f>
        <x:v>0</x:v>
      </x:c>
      <x:c r="G27" s="48" t="n">
        <x:f>G13</x:f>
        <x:v>0</x:v>
      </x:c>
      <x:c r="H27" s="48" t="n">
        <x:f>H13</x:f>
        <x:v>1</x:v>
      </x:c>
      <x:c r="I27" s="48" t="n">
        <x:f>I13</x:f>
        <x:v>1</x:v>
      </x:c>
      <x:c r="J27" s="48" t="n">
        <x:f>J13</x:f>
        <x:v>0</x:v>
      </x:c>
      <x:c r="K27" s="48" t="n">
        <x:f>K13</x:f>
        <x:v>0</x:v>
      </x:c>
      <x:c r="L27" s="48" t="n">
        <x:f>L13</x:f>
        <x:v>0</x:v>
      </x:c>
      <x:c r="M27" s="48" t="n">
        <x:f>M13</x:f>
        <x:v>1</x:v>
      </x:c>
      <x:c r="N27" s="48" t="n">
        <x:f>IF(F27=1,'04 Material Balance'!$G6*E27,0)</x:f>
        <x:v>0</x:v>
      </x:c>
      <x:c r="O27" s="48" t="n">
        <x:f>'02 Architectures'!$I6</x:f>
        <x:v>17500</x:v>
      </x:c>
      <x:c r="P27" s="37" t="str">
        <x:f>IF(N27&lt;=O27,"PASS","FAIL")</x:f>
        <x:v>PASS</x:v>
      </x:c>
      <x:c r="Q27" s="48" t="n">
        <x:f>IF(G27=1,'04 Material Balance'!$Q6*E27,0)</x:f>
        <x:v>0</x:v>
      </x:c>
      <x:c r="R27" s="48" t="n">
        <x:f>'02 Architectures'!$M6</x:f>
        <x:v>60</x:v>
      </x:c>
      <x:c r="S27" s="37" t="str">
        <x:f>IF(Q27&lt;=R27,"PASS","FAIL")</x:f>
        <x:v>PASS</x:v>
      </x:c>
      <x:c r="T27" s="41" t="n">
        <x:f>'02 Architectures'!$P6*H27</x:f>
        <x:v>2</x:v>
      </x:c>
      <x:c r="U27" s="41" t="n">
        <x:f>'04 Material Balance'!$U6</x:f>
        <x:v>1.125</x:v>
      </x:c>
      <x:c r="V27" s="37" t="str">
        <x:f>IF(T27&gt;=U27,"PASS","FAIL")</x:f>
        <x:v>PASS</x:v>
      </x:c>
      <x:c r="W27" s="37" t="str">
        <x:f>IF(OR(I27=0,'02 Architectures'!$S6=1),"PASS","FAIL")</x:f>
        <x:v>PASS</x:v>
      </x:c>
      <x:c r="X27" s="37" t="str">
        <x:f>IF(AND(J27=1,'02 Architectures'!$T6=1),"FAIL","PASS")</x:f>
        <x:v>PASS</x:v>
      </x:c>
      <x:c r="Y27" s="37" t="str">
        <x:f>IF(OR(K27=0,'02 Architectures'!$R6&gt;=1),"PASS","FAIL")</x:f>
        <x:v>PASS</x:v>
      </x:c>
      <x:c r="Z27" s="37" t="str">
        <x:f>IF(OR(L27=0,'02 Architectures'!$U6=1),"PASS","FAIL")</x:f>
        <x:v>PASS</x:v>
      </x:c>
      <x:c r="AA27" s="37" t="str">
        <x:f>IF(OR(M27=1,'02 Architectures'!$V6=1),"PASS","FAIL")</x:f>
        <x:v>PASS</x:v>
      </x:c>
      <x:c r="AB27" s="37" t="str">
        <x:f>IF(M27=0,AA27,IF(AND(P27="PASS",S27="PASS",V27="PASS",W27="PASS",X27="PASS",Y27="PASS",Z27="PASS"),"PASS","FAIL"))</x:f>
        <x:v>PASS</x:v>
      </x:c>
      <x:c r="AC27" s="38" t="n">
        <x:f>IF(AND(M27=1,AB27="PASS"),1,0)</x:f>
        <x:v>1</x:v>
      </x:c>
      <x:c r="AD27" s="37" t="str">
        <x:f>'02 Architectures'!$AH6</x:f>
        <x:v>DENIED</x:v>
      </x:c>
    </x:row>
    <x:row r="28" ht="26" customHeight="1">
      <x:c r="C28" s="37" t="str">
        <x:v>E1</x:v>
      </x:c>
      <x:c r="D28" s="37" t="str">
        <x:v>S9</x:v>
      </x:c>
      <x:c r="E28" s="48" t="n">
        <x:f>E14</x:f>
        <x:v>14</x:v>
      </x:c>
      <x:c r="F28" s="48" t="n">
        <x:f>F14</x:f>
        <x:v>0</x:v>
      </x:c>
      <x:c r="G28" s="48" t="n">
        <x:f>G14</x:f>
        <x:v>0</x:v>
      </x:c>
      <x:c r="H28" s="48" t="n">
        <x:f>H14</x:f>
        <x:v>1</x:v>
      </x:c>
      <x:c r="I28" s="48" t="n">
        <x:f>I14</x:f>
        <x:v>0</x:v>
      </x:c>
      <x:c r="J28" s="48" t="n">
        <x:f>J14</x:f>
        <x:v>1</x:v>
      </x:c>
      <x:c r="K28" s="48" t="n">
        <x:f>K14</x:f>
        <x:v>0</x:v>
      </x:c>
      <x:c r="L28" s="48" t="n">
        <x:f>L14</x:f>
        <x:v>0</x:v>
      </x:c>
      <x:c r="M28" s="48" t="n">
        <x:f>M14</x:f>
        <x:v>1</x:v>
      </x:c>
      <x:c r="N28" s="48" t="n">
        <x:f>IF(F28=1,'04 Material Balance'!$G6*E28,0)</x:f>
        <x:v>0</x:v>
      </x:c>
      <x:c r="O28" s="48" t="n">
        <x:f>'02 Architectures'!$I6</x:f>
        <x:v>17500</x:v>
      </x:c>
      <x:c r="P28" s="37" t="str">
        <x:f>IF(N28&lt;=O28,"PASS","FAIL")</x:f>
        <x:v>PASS</x:v>
      </x:c>
      <x:c r="Q28" s="48" t="n">
        <x:f>IF(G28=1,'04 Material Balance'!$Q6*E28,0)</x:f>
        <x:v>0</x:v>
      </x:c>
      <x:c r="R28" s="48" t="n">
        <x:f>'02 Architectures'!$M6</x:f>
        <x:v>60</x:v>
      </x:c>
      <x:c r="S28" s="37" t="str">
        <x:f>IF(Q28&lt;=R28,"PASS","FAIL")</x:f>
        <x:v>PASS</x:v>
      </x:c>
      <x:c r="T28" s="41" t="n">
        <x:f>'02 Architectures'!$P6*H28</x:f>
        <x:v>2</x:v>
      </x:c>
      <x:c r="U28" s="41" t="n">
        <x:f>'04 Material Balance'!$U6</x:f>
        <x:v>1.125</x:v>
      </x:c>
      <x:c r="V28" s="37" t="str">
        <x:f>IF(T28&gt;=U28,"PASS","FAIL")</x:f>
        <x:v>PASS</x:v>
      </x:c>
      <x:c r="W28" s="37" t="str">
        <x:f>IF(OR(I28=0,'02 Architectures'!$S6=1),"PASS","FAIL")</x:f>
        <x:v>PASS</x:v>
      </x:c>
      <x:c r="X28" s="37" t="str">
        <x:f>IF(AND(J28=1,'02 Architectures'!$T6=1),"FAIL","PASS")</x:f>
        <x:v>PASS</x:v>
      </x:c>
      <x:c r="Y28" s="37" t="str">
        <x:f>IF(OR(K28=0,'02 Architectures'!$R6&gt;=1),"PASS","FAIL")</x:f>
        <x:v>PASS</x:v>
      </x:c>
      <x:c r="Z28" s="37" t="str">
        <x:f>IF(OR(L28=0,'02 Architectures'!$U6=1),"PASS","FAIL")</x:f>
        <x:v>PASS</x:v>
      </x:c>
      <x:c r="AA28" s="37" t="str">
        <x:f>IF(OR(M28=1,'02 Architectures'!$V6=1),"PASS","FAIL")</x:f>
        <x:v>PASS</x:v>
      </x:c>
      <x:c r="AB28" s="37" t="str">
        <x:f>IF(M28=0,AA28,IF(AND(P28="PASS",S28="PASS",V28="PASS",W28="PASS",X28="PASS",Y28="PASS",Z28="PASS"),"PASS","FAIL"))</x:f>
        <x:v>PASS</x:v>
      </x:c>
      <x:c r="AC28" s="38" t="n">
        <x:f>IF(AND(M28=1,AB28="PASS"),1,0)</x:f>
        <x:v>1</x:v>
      </x:c>
      <x:c r="AD28" s="37" t="str">
        <x:f>'02 Architectures'!$AH6</x:f>
        <x:v>DENIED</x:v>
      </x:c>
    </x:row>
    <x:row r="29" ht="26" customHeight="1">
      <x:c r="C29" s="37" t="str">
        <x:v>E1</x:v>
      </x:c>
      <x:c r="D29" s="37" t="str">
        <x:v>S10</x:v>
      </x:c>
      <x:c r="E29" s="48" t="n">
        <x:f>E15</x:f>
        <x:v>14</x:v>
      </x:c>
      <x:c r="F29" s="48" t="n">
        <x:f>F15</x:f>
        <x:v>1</x:v>
      </x:c>
      <x:c r="G29" s="48" t="n">
        <x:f>G15</x:f>
        <x:v>0</x:v>
      </x:c>
      <x:c r="H29" s="48" t="n">
        <x:f>H15</x:f>
        <x:v>1</x:v>
      </x:c>
      <x:c r="I29" s="48" t="n">
        <x:f>I15</x:f>
        <x:v>0</x:v>
      </x:c>
      <x:c r="J29" s="48" t="n">
        <x:f>J15</x:f>
        <x:v>0</x:v>
      </x:c>
      <x:c r="K29" s="48" t="n">
        <x:f>K15</x:f>
        <x:v>0</x:v>
      </x:c>
      <x:c r="L29" s="48" t="n">
        <x:f>L15</x:f>
        <x:v>1</x:v>
      </x:c>
      <x:c r="M29" s="48" t="n">
        <x:f>M15</x:f>
        <x:v>1</x:v>
      </x:c>
      <x:c r="N29" s="48" t="n">
        <x:f>IF(F29=1,'04 Material Balance'!$G6*E29,0)</x:f>
        <x:v>17500</x:v>
      </x:c>
      <x:c r="O29" s="48" t="n">
        <x:f>'02 Architectures'!$I6</x:f>
        <x:v>17500</x:v>
      </x:c>
      <x:c r="P29" s="37" t="str">
        <x:f>IF(N29&lt;=O29,"PASS","FAIL")</x:f>
        <x:v>PASS</x:v>
      </x:c>
      <x:c r="Q29" s="48" t="n">
        <x:f>IF(G29=1,'04 Material Balance'!$Q6*E29,0)</x:f>
        <x:v>0</x:v>
      </x:c>
      <x:c r="R29" s="48" t="n">
        <x:f>'02 Architectures'!$M6</x:f>
        <x:v>60</x:v>
      </x:c>
      <x:c r="S29" s="37" t="str">
        <x:f>IF(Q29&lt;=R29,"PASS","FAIL")</x:f>
        <x:v>PASS</x:v>
      </x:c>
      <x:c r="T29" s="41" t="n">
        <x:f>'02 Architectures'!$P6*H29</x:f>
        <x:v>2</x:v>
      </x:c>
      <x:c r="U29" s="41" t="n">
        <x:f>'04 Material Balance'!$U6</x:f>
        <x:v>1.125</x:v>
      </x:c>
      <x:c r="V29" s="37" t="str">
        <x:f>IF(T29&gt;=U29,"PASS","FAIL")</x:f>
        <x:v>PASS</x:v>
      </x:c>
      <x:c r="W29" s="37" t="str">
        <x:f>IF(OR(I29=0,'02 Architectures'!$S6=1),"PASS","FAIL")</x:f>
        <x:v>PASS</x:v>
      </x:c>
      <x:c r="X29" s="37" t="str">
        <x:f>IF(AND(J29=1,'02 Architectures'!$T6=1),"FAIL","PASS")</x:f>
        <x:v>PASS</x:v>
      </x:c>
      <x:c r="Y29" s="37" t="str">
        <x:f>IF(OR(K29=0,'02 Architectures'!$R6&gt;=1),"PASS","FAIL")</x:f>
        <x:v>PASS</x:v>
      </x:c>
      <x:c r="Z29" s="37" t="str">
        <x:f>IF(OR(L29=0,'02 Architectures'!$U6=1),"PASS","FAIL")</x:f>
        <x:v>FAIL</x:v>
      </x:c>
      <x:c r="AA29" s="37" t="str">
        <x:f>IF(OR(M29=1,'02 Architectures'!$V6=1),"PASS","FAIL")</x:f>
        <x:v>PASS</x:v>
      </x:c>
      <x:c r="AB29" s="37" t="str">
        <x:f>IF(M29=0,AA29,IF(AND(P29="PASS",S29="PASS",V29="PASS",W29="PASS",X29="PASS",Y29="PASS",Z29="PASS"),"PASS","FAIL"))</x:f>
        <x:v>FAIL</x:v>
      </x:c>
      <x:c r="AC29" s="38" t="n">
        <x:f>IF(AND(M29=1,AB29="PASS"),1,0)</x:f>
        <x:v>0</x:v>
      </x:c>
      <x:c r="AD29" s="37" t="str">
        <x:f>'02 Architectures'!$AH6</x:f>
        <x:v>DENIED</x:v>
      </x:c>
    </x:row>
    <x:row r="30" ht="26" customHeight="1">
      <x:c r="C30" s="37" t="str">
        <x:v>E2</x:v>
      </x:c>
      <x:c r="D30" s="37" t="str">
        <x:v>S1</x:v>
      </x:c>
      <x:c r="E30" s="48" t="n">
        <x:f>E6</x:f>
        <x:v>14</x:v>
      </x:c>
      <x:c r="F30" s="48" t="n">
        <x:f>F6</x:f>
        <x:v>1</x:v>
      </x:c>
      <x:c r="G30" s="48" t="n">
        <x:f>G6</x:f>
        <x:v>0</x:v>
      </x:c>
      <x:c r="H30" s="48" t="n">
        <x:f>H6</x:f>
        <x:v>1</x:v>
      </x:c>
      <x:c r="I30" s="48" t="n">
        <x:f>I6</x:f>
        <x:v>0</x:v>
      </x:c>
      <x:c r="J30" s="48" t="n">
        <x:f>J6</x:f>
        <x:v>0</x:v>
      </x:c>
      <x:c r="K30" s="48" t="n">
        <x:f>K6</x:f>
        <x:v>0</x:v>
      </x:c>
      <x:c r="L30" s="48" t="n">
        <x:f>L6</x:f>
        <x:v>0</x:v>
      </x:c>
      <x:c r="M30" s="48" t="n">
        <x:f>M6</x:f>
        <x:v>1</x:v>
      </x:c>
      <x:c r="N30" s="48" t="n">
        <x:f>IF(F30=1,'04 Material Balance'!$G7*E30,0)</x:f>
        <x:v>2625.0000000000005</x:v>
      </x:c>
      <x:c r="O30" s="48" t="n">
        <x:f>'02 Architectures'!$I7</x:f>
        <x:v>8750</x:v>
      </x:c>
      <x:c r="P30" s="37" t="str">
        <x:f>IF(N30&lt;=O30,"PASS","FAIL")</x:f>
        <x:v>PASS</x:v>
      </x:c>
      <x:c r="Q30" s="48" t="n">
        <x:f>IF(G30=1,'04 Material Balance'!$Q7*E30,0)</x:f>
        <x:v>0</x:v>
      </x:c>
      <x:c r="R30" s="48" t="n">
        <x:f>'02 Architectures'!$M7</x:f>
        <x:v>11.999999999999998</x:v>
      </x:c>
      <x:c r="S30" s="37" t="str">
        <x:f>IF(Q30&lt;=R30,"PASS","FAIL")</x:f>
        <x:v>PASS</x:v>
      </x:c>
      <x:c r="T30" s="41" t="n">
        <x:f>'02 Architectures'!$P7*H30</x:f>
        <x:v>2</x:v>
      </x:c>
      <x:c r="U30" s="41" t="n">
        <x:f>'04 Material Balance'!$U7</x:f>
        <x:v>1.5750000000000002</x:v>
      </x:c>
      <x:c r="V30" s="37" t="str">
        <x:f>IF(T30&gt;=U30,"PASS","FAIL")</x:f>
        <x:v>PASS</x:v>
      </x:c>
      <x:c r="W30" s="37" t="str">
        <x:f>IF(OR(I30=0,'02 Architectures'!$S7=1),"PASS","FAIL")</x:f>
        <x:v>PASS</x:v>
      </x:c>
      <x:c r="X30" s="37" t="str">
        <x:f>IF(AND(J30=1,'02 Architectures'!$T7=1),"FAIL","PASS")</x:f>
        <x:v>PASS</x:v>
      </x:c>
      <x:c r="Y30" s="37" t="str">
        <x:f>IF(OR(K30=0,'02 Architectures'!$R7&gt;=1),"PASS","FAIL")</x:f>
        <x:v>PASS</x:v>
      </x:c>
      <x:c r="Z30" s="37" t="str">
        <x:f>IF(OR(L30=0,'02 Architectures'!$U7=1),"PASS","FAIL")</x:f>
        <x:v>PASS</x:v>
      </x:c>
      <x:c r="AA30" s="37" t="str">
        <x:f>IF(OR(M30=1,'02 Architectures'!$V7=1),"PASS","FAIL")</x:f>
        <x:v>PASS</x:v>
      </x:c>
      <x:c r="AB30" s="37" t="str">
        <x:f>IF(M30=0,AA30,IF(AND(P30="PASS",S30="PASS",V30="PASS",W30="PASS",X30="PASS",Y30="PASS",Z30="PASS"),"PASS","FAIL"))</x:f>
        <x:v>PASS</x:v>
      </x:c>
      <x:c r="AC30" s="38" t="n">
        <x:f>IF(AND(M30=1,AB30="PASS"),1,0)</x:f>
        <x:v>1</x:v>
      </x:c>
      <x:c r="AD30" s="37" t="str">
        <x:f>'02 Architectures'!$AH7</x:f>
        <x:v>DENIED</x:v>
      </x:c>
    </x:row>
    <x:row r="31" ht="26" customHeight="1">
      <x:c r="C31" s="37" t="str">
        <x:v>E2</x:v>
      </x:c>
      <x:c r="D31" s="37" t="str">
        <x:v>S2</x:v>
      </x:c>
      <x:c r="E31" s="48" t="n">
        <x:f>E7</x:f>
        <x:v>30</x:v>
      </x:c>
      <x:c r="F31" s="48" t="n">
        <x:f>F7</x:f>
        <x:v>0</x:v>
      </x:c>
      <x:c r="G31" s="48" t="n">
        <x:f>G7</x:f>
        <x:v>1</x:v>
      </x:c>
      <x:c r="H31" s="48" t="n">
        <x:f>H7</x:f>
        <x:v>1</x:v>
      </x:c>
      <x:c r="I31" s="48" t="n">
        <x:f>I7</x:f>
        <x:v>0</x:v>
      </x:c>
      <x:c r="J31" s="48" t="n">
        <x:f>J7</x:f>
        <x:v>0</x:v>
      </x:c>
      <x:c r="K31" s="48" t="n">
        <x:f>K7</x:f>
        <x:v>0</x:v>
      </x:c>
      <x:c r="L31" s="48" t="n">
        <x:f>L7</x:f>
        <x:v>0</x:v>
      </x:c>
      <x:c r="M31" s="48" t="n">
        <x:f>M7</x:f>
        <x:v>1</x:v>
      </x:c>
      <x:c r="N31" s="48" t="n">
        <x:f>IF(F31=1,'04 Material Balance'!$G7*E31,0)</x:f>
        <x:v>0</x:v>
      </x:c>
      <x:c r="O31" s="48" t="n">
        <x:f>'02 Architectures'!$I7</x:f>
        <x:v>8750</x:v>
      </x:c>
      <x:c r="P31" s="37" t="str">
        <x:f>IF(N31&lt;=O31,"PASS","FAIL")</x:f>
        <x:v>PASS</x:v>
      </x:c>
      <x:c r="Q31" s="48" t="n">
        <x:f>IF(G31=1,'04 Material Balance'!$Q7*E31,0)</x:f>
        <x:v>11.999999999999998</x:v>
      </x:c>
      <x:c r="R31" s="48" t="n">
        <x:f>'02 Architectures'!$M7</x:f>
        <x:v>11.999999999999998</x:v>
      </x:c>
      <x:c r="S31" s="37" t="str">
        <x:f>IF(Q31&lt;=R31,"PASS","FAIL")</x:f>
        <x:v>PASS</x:v>
      </x:c>
      <x:c r="T31" s="41" t="n">
        <x:f>'02 Architectures'!$P7*H31</x:f>
        <x:v>2</x:v>
      </x:c>
      <x:c r="U31" s="41" t="n">
        <x:f>'04 Material Balance'!$U7</x:f>
        <x:v>1.5750000000000002</x:v>
      </x:c>
      <x:c r="V31" s="37" t="str">
        <x:f>IF(T31&gt;=U31,"PASS","FAIL")</x:f>
        <x:v>PASS</x:v>
      </x:c>
      <x:c r="W31" s="37" t="str">
        <x:f>IF(OR(I31=0,'02 Architectures'!$S7=1),"PASS","FAIL")</x:f>
        <x:v>PASS</x:v>
      </x:c>
      <x:c r="X31" s="37" t="str">
        <x:f>IF(AND(J31=1,'02 Architectures'!$T7=1),"FAIL","PASS")</x:f>
        <x:v>PASS</x:v>
      </x:c>
      <x:c r="Y31" s="37" t="str">
        <x:f>IF(OR(K31=0,'02 Architectures'!$R7&gt;=1),"PASS","FAIL")</x:f>
        <x:v>PASS</x:v>
      </x:c>
      <x:c r="Z31" s="37" t="str">
        <x:f>IF(OR(L31=0,'02 Architectures'!$U7=1),"PASS","FAIL")</x:f>
        <x:v>PASS</x:v>
      </x:c>
      <x:c r="AA31" s="37" t="str">
        <x:f>IF(OR(M31=1,'02 Architectures'!$V7=1),"PASS","FAIL")</x:f>
        <x:v>PASS</x:v>
      </x:c>
      <x:c r="AB31" s="37" t="str">
        <x:f>IF(M31=0,AA31,IF(AND(P31="PASS",S31="PASS",V31="PASS",W31="PASS",X31="PASS",Y31="PASS",Z31="PASS"),"PASS","FAIL"))</x:f>
        <x:v>PASS</x:v>
      </x:c>
      <x:c r="AC31" s="38" t="n">
        <x:f>IF(AND(M31=1,AB31="PASS"),1,0)</x:f>
        <x:v>1</x:v>
      </x:c>
      <x:c r="AD31" s="37" t="str">
        <x:f>'02 Architectures'!$AH7</x:f>
        <x:v>DENIED</x:v>
      </x:c>
    </x:row>
    <x:row r="32" ht="26" customHeight="1">
      <x:c r="C32" s="37" t="str">
        <x:v>E2</x:v>
      </x:c>
      <x:c r="D32" s="37" t="str">
        <x:v>S3</x:v>
      </x:c>
      <x:c r="E32" s="48" t="n">
        <x:f>E8</x:f>
        <x:v>30</x:v>
      </x:c>
      <x:c r="F32" s="48" t="n">
        <x:f>F8</x:f>
        <x:v>1</x:v>
      </x:c>
      <x:c r="G32" s="48" t="n">
        <x:f>G8</x:f>
        <x:v>1</x:v>
      </x:c>
      <x:c r="H32" s="48" t="n">
        <x:f>H8</x:f>
        <x:v>1</x:v>
      </x:c>
      <x:c r="I32" s="48" t="n">
        <x:f>I8</x:f>
        <x:v>0</x:v>
      </x:c>
      <x:c r="J32" s="48" t="n">
        <x:f>J8</x:f>
        <x:v>0</x:v>
      </x:c>
      <x:c r="K32" s="48" t="n">
        <x:f>K8</x:f>
        <x:v>0</x:v>
      </x:c>
      <x:c r="L32" s="48" t="n">
        <x:f>L8</x:f>
        <x:v>0</x:v>
      </x:c>
      <x:c r="M32" s="48" t="n">
        <x:f>M8</x:f>
        <x:v>1</x:v>
      </x:c>
      <x:c r="N32" s="48" t="n">
        <x:f>IF(F32=1,'04 Material Balance'!$G7*E32,0)</x:f>
        <x:v>5625.000000000001</x:v>
      </x:c>
      <x:c r="O32" s="48" t="n">
        <x:f>'02 Architectures'!$I7</x:f>
        <x:v>8750</x:v>
      </x:c>
      <x:c r="P32" s="37" t="str">
        <x:f>IF(N32&lt;=O32,"PASS","FAIL")</x:f>
        <x:v>PASS</x:v>
      </x:c>
      <x:c r="Q32" s="48" t="n">
        <x:f>IF(G32=1,'04 Material Balance'!$Q7*E32,0)</x:f>
        <x:v>11.999999999999998</x:v>
      </x:c>
      <x:c r="R32" s="48" t="n">
        <x:f>'02 Architectures'!$M7</x:f>
        <x:v>11.999999999999998</x:v>
      </x:c>
      <x:c r="S32" s="37" t="str">
        <x:f>IF(Q32&lt;=R32,"PASS","FAIL")</x:f>
        <x:v>PASS</x:v>
      </x:c>
      <x:c r="T32" s="41" t="n">
        <x:f>'02 Architectures'!$P7*H32</x:f>
        <x:v>2</x:v>
      </x:c>
      <x:c r="U32" s="41" t="n">
        <x:f>'04 Material Balance'!$U7</x:f>
        <x:v>1.5750000000000002</x:v>
      </x:c>
      <x:c r="V32" s="37" t="str">
        <x:f>IF(T32&gt;=U32,"PASS","FAIL")</x:f>
        <x:v>PASS</x:v>
      </x:c>
      <x:c r="W32" s="37" t="str">
        <x:f>IF(OR(I32=0,'02 Architectures'!$S7=1),"PASS","FAIL")</x:f>
        <x:v>PASS</x:v>
      </x:c>
      <x:c r="X32" s="37" t="str">
        <x:f>IF(AND(J32=1,'02 Architectures'!$T7=1),"FAIL","PASS")</x:f>
        <x:v>PASS</x:v>
      </x:c>
      <x:c r="Y32" s="37" t="str">
        <x:f>IF(OR(K32=0,'02 Architectures'!$R7&gt;=1),"PASS","FAIL")</x:f>
        <x:v>PASS</x:v>
      </x:c>
      <x:c r="Z32" s="37" t="str">
        <x:f>IF(OR(L32=0,'02 Architectures'!$U7=1),"PASS","FAIL")</x:f>
        <x:v>PASS</x:v>
      </x:c>
      <x:c r="AA32" s="37" t="str">
        <x:f>IF(OR(M32=1,'02 Architectures'!$V7=1),"PASS","FAIL")</x:f>
        <x:v>PASS</x:v>
      </x:c>
      <x:c r="AB32" s="37" t="str">
        <x:f>IF(M32=0,AA32,IF(AND(P32="PASS",S32="PASS",V32="PASS",W32="PASS",X32="PASS",Y32="PASS",Z32="PASS"),"PASS","FAIL"))</x:f>
        <x:v>PASS</x:v>
      </x:c>
      <x:c r="AC32" s="38" t="n">
        <x:f>IF(AND(M32=1,AB32="PASS"),1,0)</x:f>
        <x:v>1</x:v>
      </x:c>
      <x:c r="AD32" s="37" t="str">
        <x:f>'02 Architectures'!$AH7</x:f>
        <x:v>DENIED</x:v>
      </x:c>
    </x:row>
    <x:row r="33" ht="26" customHeight="1">
      <x:c r="C33" s="37" t="str">
        <x:v>E2</x:v>
      </x:c>
      <x:c r="D33" s="37" t="str">
        <x:v>S4</x:v>
      </x:c>
      <x:c r="E33" s="48" t="n">
        <x:f>E9</x:f>
        <x:v>3</x:v>
      </x:c>
      <x:c r="F33" s="48" t="n">
        <x:f>F9</x:f>
        <x:v>0</x:v>
      </x:c>
      <x:c r="G33" s="48" t="n">
        <x:f>G9</x:f>
        <x:v>0</x:v>
      </x:c>
      <x:c r="H33" s="48" t="n">
        <x:f>H9</x:f>
        <x:v>1</x:v>
      </x:c>
      <x:c r="I33" s="48" t="n">
        <x:f>I9</x:f>
        <x:v>0</x:v>
      </x:c>
      <x:c r="J33" s="48" t="n">
        <x:f>J9</x:f>
        <x:v>0</x:v>
      </x:c>
      <x:c r="K33" s="48" t="n">
        <x:f>K9</x:f>
        <x:v>0</x:v>
      </x:c>
      <x:c r="L33" s="48" t="n">
        <x:f>L9</x:f>
        <x:v>0</x:v>
      </x:c>
      <x:c r="M33" s="48" t="n">
        <x:f>M9</x:f>
        <x:v>0</x:v>
      </x:c>
      <x:c r="N33" s="48" t="n">
        <x:f>IF(F33=1,'04 Material Balance'!$G7*E33,0)</x:f>
        <x:v>0</x:v>
      </x:c>
      <x:c r="O33" s="48" t="n">
        <x:f>'02 Architectures'!$I7</x:f>
        <x:v>8750</x:v>
      </x:c>
      <x:c r="P33" s="37" t="str">
        <x:f>IF(N33&lt;=O33,"PASS","FAIL")</x:f>
        <x:v>PASS</x:v>
      </x:c>
      <x:c r="Q33" s="48" t="n">
        <x:f>IF(G33=1,'04 Material Balance'!$Q7*E33,0)</x:f>
        <x:v>0</x:v>
      </x:c>
      <x:c r="R33" s="48" t="n">
        <x:f>'02 Architectures'!$M7</x:f>
        <x:v>11.999999999999998</x:v>
      </x:c>
      <x:c r="S33" s="37" t="str">
        <x:f>IF(Q33&lt;=R33,"PASS","FAIL")</x:f>
        <x:v>PASS</x:v>
      </x:c>
      <x:c r="T33" s="41" t="n">
        <x:f>'02 Architectures'!$P7*H33</x:f>
        <x:v>2</x:v>
      </x:c>
      <x:c r="U33" s="41" t="n">
        <x:f>'04 Material Balance'!$U7</x:f>
        <x:v>1.5750000000000002</x:v>
      </x:c>
      <x:c r="V33" s="37" t="str">
        <x:f>IF(T33&gt;=U33,"PASS","FAIL")</x:f>
        <x:v>PASS</x:v>
      </x:c>
      <x:c r="W33" s="37" t="str">
        <x:f>IF(OR(I33=0,'02 Architectures'!$S7=1),"PASS","FAIL")</x:f>
        <x:v>PASS</x:v>
      </x:c>
      <x:c r="X33" s="37" t="str">
        <x:f>IF(AND(J33=1,'02 Architectures'!$T7=1),"FAIL","PASS")</x:f>
        <x:v>PASS</x:v>
      </x:c>
      <x:c r="Y33" s="37" t="str">
        <x:f>IF(OR(K33=0,'02 Architectures'!$R7&gt;=1),"PASS","FAIL")</x:f>
        <x:v>PASS</x:v>
      </x:c>
      <x:c r="Z33" s="37" t="str">
        <x:f>IF(OR(L33=0,'02 Architectures'!$U7=1),"PASS","FAIL")</x:f>
        <x:v>PASS</x:v>
      </x:c>
      <x:c r="AA33" s="37" t="str">
        <x:f>IF(OR(M33=1,'02 Architectures'!$V7=1),"PASS","FAIL")</x:f>
        <x:v>PASS</x:v>
      </x:c>
      <x:c r="AB33" s="37" t="str">
        <x:f>IF(M33=0,AA33,IF(AND(P33="PASS",S33="PASS",V33="PASS",W33="PASS",X33="PASS",Y33="PASS",Z33="PASS"),"PASS","FAIL"))</x:f>
        <x:v>PASS</x:v>
      </x:c>
      <x:c r="AC33" s="38" t="n">
        <x:f>IF(AND(M33=1,AB33="PASS"),1,0)</x:f>
        <x:v>0</x:v>
      </x:c>
      <x:c r="AD33" s="37" t="str">
        <x:f>'02 Architectures'!$AH7</x:f>
        <x:v>DENIED</x:v>
      </x:c>
    </x:row>
    <x:row r="34" ht="26" customHeight="1">
      <x:c r="C34" s="37" t="str">
        <x:v>E2</x:v>
      </x:c>
      <x:c r="D34" s="37" t="str">
        <x:v>S5</x:v>
      </x:c>
      <x:c r="E34" s="48" t="n">
        <x:f>E10</x:f>
        <x:v>14</x:v>
      </x:c>
      <x:c r="F34" s="48" t="n">
        <x:f>F10</x:f>
        <x:v>0</x:v>
      </x:c>
      <x:c r="G34" s="48" t="n">
        <x:f>G10</x:f>
        <x:v>0</x:v>
      </x:c>
      <x:c r="H34" s="48" t="n">
        <x:f>H10</x:f>
        <x:v>1</x:v>
      </x:c>
      <x:c r="I34" s="48" t="n">
        <x:f>I10</x:f>
        <x:v>0</x:v>
      </x:c>
      <x:c r="J34" s="48" t="n">
        <x:f>J10</x:f>
        <x:v>0</x:v>
      </x:c>
      <x:c r="K34" s="48" t="n">
        <x:f>K10</x:f>
        <x:v>1</x:v>
      </x:c>
      <x:c r="L34" s="48" t="n">
        <x:f>L10</x:f>
        <x:v>0</x:v>
      </x:c>
      <x:c r="M34" s="48" t="n">
        <x:f>M10</x:f>
        <x:v>1</x:v>
      </x:c>
      <x:c r="N34" s="48" t="n">
        <x:f>IF(F34=1,'04 Material Balance'!$G7*E34,0)</x:f>
        <x:v>0</x:v>
      </x:c>
      <x:c r="O34" s="48" t="n">
        <x:f>'02 Architectures'!$I7</x:f>
        <x:v>8750</x:v>
      </x:c>
      <x:c r="P34" s="37" t="str">
        <x:f>IF(N34&lt;=O34,"PASS","FAIL")</x:f>
        <x:v>PASS</x:v>
      </x:c>
      <x:c r="Q34" s="48" t="n">
        <x:f>IF(G34=1,'04 Material Balance'!$Q7*E34,0)</x:f>
        <x:v>0</x:v>
      </x:c>
      <x:c r="R34" s="48" t="n">
        <x:f>'02 Architectures'!$M7</x:f>
        <x:v>11.999999999999998</x:v>
      </x:c>
      <x:c r="S34" s="37" t="str">
        <x:f>IF(Q34&lt;=R34,"PASS","FAIL")</x:f>
        <x:v>PASS</x:v>
      </x:c>
      <x:c r="T34" s="41" t="n">
        <x:f>'02 Architectures'!$P7*H34</x:f>
        <x:v>2</x:v>
      </x:c>
      <x:c r="U34" s="41" t="n">
        <x:f>'04 Material Balance'!$U7</x:f>
        <x:v>1.5750000000000002</x:v>
      </x:c>
      <x:c r="V34" s="37" t="str">
        <x:f>IF(T34&gt;=U34,"PASS","FAIL")</x:f>
        <x:v>PASS</x:v>
      </x:c>
      <x:c r="W34" s="37" t="str">
        <x:f>IF(OR(I34=0,'02 Architectures'!$S7=1),"PASS","FAIL")</x:f>
        <x:v>PASS</x:v>
      </x:c>
      <x:c r="X34" s="37" t="str">
        <x:f>IF(AND(J34=1,'02 Architectures'!$T7=1),"FAIL","PASS")</x:f>
        <x:v>PASS</x:v>
      </x:c>
      <x:c r="Y34" s="37" t="str">
        <x:f>IF(OR(K34=0,'02 Architectures'!$R7&gt;=1),"PASS","FAIL")</x:f>
        <x:v>FAIL</x:v>
      </x:c>
      <x:c r="Z34" s="37" t="str">
        <x:f>IF(OR(L34=0,'02 Architectures'!$U7=1),"PASS","FAIL")</x:f>
        <x:v>PASS</x:v>
      </x:c>
      <x:c r="AA34" s="37" t="str">
        <x:f>IF(OR(M34=1,'02 Architectures'!$V7=1),"PASS","FAIL")</x:f>
        <x:v>PASS</x:v>
      </x:c>
      <x:c r="AB34" s="37" t="str">
        <x:f>IF(M34=0,AA34,IF(AND(P34="PASS",S34="PASS",V34="PASS",W34="PASS",X34="PASS",Y34="PASS",Z34="PASS"),"PASS","FAIL"))</x:f>
        <x:v>FAIL</x:v>
      </x:c>
      <x:c r="AC34" s="38" t="n">
        <x:f>IF(AND(M34=1,AB34="PASS"),1,0)</x:f>
        <x:v>0</x:v>
      </x:c>
      <x:c r="AD34" s="37" t="str">
        <x:f>'02 Architectures'!$AH7</x:f>
        <x:v>DENIED</x:v>
      </x:c>
    </x:row>
    <x:row r="35" ht="26" customHeight="1">
      <x:c r="C35" s="37" t="str">
        <x:v>E2</x:v>
      </x:c>
      <x:c r="D35" s="37" t="str">
        <x:v>S6</x:v>
      </x:c>
      <x:c r="E35" s="48" t="n">
        <x:f>E11</x:f>
        <x:v>14</x:v>
      </x:c>
      <x:c r="F35" s="48" t="n">
        <x:f>F11</x:f>
        <x:v>0</x:v>
      </x:c>
      <x:c r="G35" s="48" t="n">
        <x:f>G11</x:f>
        <x:v>0</x:v>
      </x:c>
      <x:c r="H35" s="48" t="n">
        <x:f>H11</x:f>
        <x:v>0.75</x:v>
      </x:c>
      <x:c r="I35" s="48" t="n">
        <x:f>I11</x:f>
        <x:v>0</x:v>
      </x:c>
      <x:c r="J35" s="48" t="n">
        <x:f>J11</x:f>
        <x:v>0</x:v>
      </x:c>
      <x:c r="K35" s="48" t="n">
        <x:f>K11</x:f>
        <x:v>0</x:v>
      </x:c>
      <x:c r="L35" s="48" t="n">
        <x:f>L11</x:f>
        <x:v>0</x:v>
      </x:c>
      <x:c r="M35" s="48" t="n">
        <x:f>M11</x:f>
        <x:v>1</x:v>
      </x:c>
      <x:c r="N35" s="48" t="n">
        <x:f>IF(F35=1,'04 Material Balance'!$G7*E35,0)</x:f>
        <x:v>0</x:v>
      </x:c>
      <x:c r="O35" s="48" t="n">
        <x:f>'02 Architectures'!$I7</x:f>
        <x:v>8750</x:v>
      </x:c>
      <x:c r="P35" s="37" t="str">
        <x:f>IF(N35&lt;=O35,"PASS","FAIL")</x:f>
        <x:v>PASS</x:v>
      </x:c>
      <x:c r="Q35" s="48" t="n">
        <x:f>IF(G35=1,'04 Material Balance'!$Q7*E35,0)</x:f>
        <x:v>0</x:v>
      </x:c>
      <x:c r="R35" s="48" t="n">
        <x:f>'02 Architectures'!$M7</x:f>
        <x:v>11.999999999999998</x:v>
      </x:c>
      <x:c r="S35" s="37" t="str">
        <x:f>IF(Q35&lt;=R35,"PASS","FAIL")</x:f>
        <x:v>PASS</x:v>
      </x:c>
      <x:c r="T35" s="41" t="n">
        <x:f>'02 Architectures'!$P7*H35</x:f>
        <x:v>1.5</x:v>
      </x:c>
      <x:c r="U35" s="41" t="n">
        <x:f>'04 Material Balance'!$U7</x:f>
        <x:v>1.5750000000000002</x:v>
      </x:c>
      <x:c r="V35" s="37" t="str">
        <x:f>IF(T35&gt;=U35,"PASS","FAIL")</x:f>
        <x:v>FAIL</x:v>
      </x:c>
      <x:c r="W35" s="37" t="str">
        <x:f>IF(OR(I35=0,'02 Architectures'!$S7=1),"PASS","FAIL")</x:f>
        <x:v>PASS</x:v>
      </x:c>
      <x:c r="X35" s="37" t="str">
        <x:f>IF(AND(J35=1,'02 Architectures'!$T7=1),"FAIL","PASS")</x:f>
        <x:v>PASS</x:v>
      </x:c>
      <x:c r="Y35" s="37" t="str">
        <x:f>IF(OR(K35=0,'02 Architectures'!$R7&gt;=1),"PASS","FAIL")</x:f>
        <x:v>PASS</x:v>
      </x:c>
      <x:c r="Z35" s="37" t="str">
        <x:f>IF(OR(L35=0,'02 Architectures'!$U7=1),"PASS","FAIL")</x:f>
        <x:v>PASS</x:v>
      </x:c>
      <x:c r="AA35" s="37" t="str">
        <x:f>IF(OR(M35=1,'02 Architectures'!$V7=1),"PASS","FAIL")</x:f>
        <x:v>PASS</x:v>
      </x:c>
      <x:c r="AB35" s="37" t="str">
        <x:f>IF(M35=0,AA35,IF(AND(P35="PASS",S35="PASS",V35="PASS",W35="PASS",X35="PASS",Y35="PASS",Z35="PASS"),"PASS","FAIL"))</x:f>
        <x:v>FAIL</x:v>
      </x:c>
      <x:c r="AC35" s="38" t="n">
        <x:f>IF(AND(M35=1,AB35="PASS"),1,0)</x:f>
        <x:v>0</x:v>
      </x:c>
      <x:c r="AD35" s="37" t="str">
        <x:f>'02 Architectures'!$AH7</x:f>
        <x:v>DENIED</x:v>
      </x:c>
    </x:row>
    <x:row r="36" ht="26" customHeight="1">
      <x:c r="C36" s="37" t="str">
        <x:v>E2</x:v>
      </x:c>
      <x:c r="D36" s="37" t="str">
        <x:v>S7</x:v>
      </x:c>
      <x:c r="E36" s="48" t="n">
        <x:f>E12</x:f>
        <x:v>14</x:v>
      </x:c>
      <x:c r="F36" s="48" t="n">
        <x:f>F12</x:f>
        <x:v>1</x:v>
      </x:c>
      <x:c r="G36" s="48" t="n">
        <x:f>G12</x:f>
        <x:v>0</x:v>
      </x:c>
      <x:c r="H36" s="48" t="n">
        <x:f>H12</x:f>
        <x:v>1</x:v>
      </x:c>
      <x:c r="I36" s="48" t="n">
        <x:f>I12</x:f>
        <x:v>0</x:v>
      </x:c>
      <x:c r="J36" s="48" t="n">
        <x:f>J12</x:f>
        <x:v>0</x:v>
      </x:c>
      <x:c r="K36" s="48" t="n">
        <x:f>K12</x:f>
        <x:v>0</x:v>
      </x:c>
      <x:c r="L36" s="48" t="n">
        <x:f>L12</x:f>
        <x:v>0</x:v>
      </x:c>
      <x:c r="M36" s="48" t="n">
        <x:f>M12</x:f>
        <x:v>1</x:v>
      </x:c>
      <x:c r="N36" s="48" t="n">
        <x:f>IF(F36=1,'04 Material Balance'!$G7*E36,0)</x:f>
        <x:v>2625.0000000000005</x:v>
      </x:c>
      <x:c r="O36" s="48" t="n">
        <x:f>'02 Architectures'!$I7</x:f>
        <x:v>8750</x:v>
      </x:c>
      <x:c r="P36" s="37" t="str">
        <x:f>IF(N36&lt;=O36,"PASS","FAIL")</x:f>
        <x:v>PASS</x:v>
      </x:c>
      <x:c r="Q36" s="48" t="n">
        <x:f>IF(G36=1,'04 Material Balance'!$Q7*E36,0)</x:f>
        <x:v>0</x:v>
      </x:c>
      <x:c r="R36" s="48" t="n">
        <x:f>'02 Architectures'!$M7</x:f>
        <x:v>11.999999999999998</x:v>
      </x:c>
      <x:c r="S36" s="37" t="str">
        <x:f>IF(Q36&lt;=R36,"PASS","FAIL")</x:f>
        <x:v>PASS</x:v>
      </x:c>
      <x:c r="T36" s="41" t="n">
        <x:f>'02 Architectures'!$P7*H36</x:f>
        <x:v>2</x:v>
      </x:c>
      <x:c r="U36" s="41" t="n">
        <x:f>'04 Material Balance'!$U7</x:f>
        <x:v>1.5750000000000002</x:v>
      </x:c>
      <x:c r="V36" s="37" t="str">
        <x:f>IF(T36&gt;=U36,"PASS","FAIL")</x:f>
        <x:v>PASS</x:v>
      </x:c>
      <x:c r="W36" s="37" t="str">
        <x:f>IF(OR(I36=0,'02 Architectures'!$S7=1),"PASS","FAIL")</x:f>
        <x:v>PASS</x:v>
      </x:c>
      <x:c r="X36" s="37" t="str">
        <x:f>IF(AND(J36=1,'02 Architectures'!$T7=1),"FAIL","PASS")</x:f>
        <x:v>PASS</x:v>
      </x:c>
      <x:c r="Y36" s="37" t="str">
        <x:f>IF(OR(K36=0,'02 Architectures'!$R7&gt;=1),"PASS","FAIL")</x:f>
        <x:v>PASS</x:v>
      </x:c>
      <x:c r="Z36" s="37" t="str">
        <x:f>IF(OR(L36=0,'02 Architectures'!$U7=1),"PASS","FAIL")</x:f>
        <x:v>PASS</x:v>
      </x:c>
      <x:c r="AA36" s="37" t="str">
        <x:f>IF(OR(M36=1,'02 Architectures'!$V7=1),"PASS","FAIL")</x:f>
        <x:v>PASS</x:v>
      </x:c>
      <x:c r="AB36" s="37" t="str">
        <x:f>IF(M36=0,AA36,IF(AND(P36="PASS",S36="PASS",V36="PASS",W36="PASS",X36="PASS",Y36="PASS",Z36="PASS"),"PASS","FAIL"))</x:f>
        <x:v>PASS</x:v>
      </x:c>
      <x:c r="AC36" s="38" t="n">
        <x:f>IF(AND(M36=1,AB36="PASS"),1,0)</x:f>
        <x:v>1</x:v>
      </x:c>
      <x:c r="AD36" s="37" t="str">
        <x:f>'02 Architectures'!$AH7</x:f>
        <x:v>DENIED</x:v>
      </x:c>
    </x:row>
    <x:row r="37" ht="26" customHeight="1">
      <x:c r="C37" s="37" t="str">
        <x:v>E2</x:v>
      </x:c>
      <x:c r="D37" s="37" t="str">
        <x:v>S8</x:v>
      </x:c>
      <x:c r="E37" s="48" t="n">
        <x:f>E13</x:f>
        <x:v>30</x:v>
      </x:c>
      <x:c r="F37" s="48" t="n">
        <x:f>F13</x:f>
        <x:v>0</x:v>
      </x:c>
      <x:c r="G37" s="48" t="n">
        <x:f>G13</x:f>
        <x:v>0</x:v>
      </x:c>
      <x:c r="H37" s="48" t="n">
        <x:f>H13</x:f>
        <x:v>1</x:v>
      </x:c>
      <x:c r="I37" s="48" t="n">
        <x:f>I13</x:f>
        <x:v>1</x:v>
      </x:c>
      <x:c r="J37" s="48" t="n">
        <x:f>J13</x:f>
        <x:v>0</x:v>
      </x:c>
      <x:c r="K37" s="48" t="n">
        <x:f>K13</x:f>
        <x:v>0</x:v>
      </x:c>
      <x:c r="L37" s="48" t="n">
        <x:f>L13</x:f>
        <x:v>0</x:v>
      </x:c>
      <x:c r="M37" s="48" t="n">
        <x:f>M13</x:f>
        <x:v>1</x:v>
      </x:c>
      <x:c r="N37" s="48" t="n">
        <x:f>IF(F37=1,'04 Material Balance'!$G7*E37,0)</x:f>
        <x:v>0</x:v>
      </x:c>
      <x:c r="O37" s="48" t="n">
        <x:f>'02 Architectures'!$I7</x:f>
        <x:v>8750</x:v>
      </x:c>
      <x:c r="P37" s="37" t="str">
        <x:f>IF(N37&lt;=O37,"PASS","FAIL")</x:f>
        <x:v>PASS</x:v>
      </x:c>
      <x:c r="Q37" s="48" t="n">
        <x:f>IF(G37=1,'04 Material Balance'!$Q7*E37,0)</x:f>
        <x:v>0</x:v>
      </x:c>
      <x:c r="R37" s="48" t="n">
        <x:f>'02 Architectures'!$M7</x:f>
        <x:v>11.999999999999998</x:v>
      </x:c>
      <x:c r="S37" s="37" t="str">
        <x:f>IF(Q37&lt;=R37,"PASS","FAIL")</x:f>
        <x:v>PASS</x:v>
      </x:c>
      <x:c r="T37" s="41" t="n">
        <x:f>'02 Architectures'!$P7*H37</x:f>
        <x:v>2</x:v>
      </x:c>
      <x:c r="U37" s="41" t="n">
        <x:f>'04 Material Balance'!$U7</x:f>
        <x:v>1.5750000000000002</x:v>
      </x:c>
      <x:c r="V37" s="37" t="str">
        <x:f>IF(T37&gt;=U37,"PASS","FAIL")</x:f>
        <x:v>PASS</x:v>
      </x:c>
      <x:c r="W37" s="37" t="str">
        <x:f>IF(OR(I37=0,'02 Architectures'!$S7=1),"PASS","FAIL")</x:f>
        <x:v>FAIL</x:v>
      </x:c>
      <x:c r="X37" s="37" t="str">
        <x:f>IF(AND(J37=1,'02 Architectures'!$T7=1),"FAIL","PASS")</x:f>
        <x:v>PASS</x:v>
      </x:c>
      <x:c r="Y37" s="37" t="str">
        <x:f>IF(OR(K37=0,'02 Architectures'!$R7&gt;=1),"PASS","FAIL")</x:f>
        <x:v>PASS</x:v>
      </x:c>
      <x:c r="Z37" s="37" t="str">
        <x:f>IF(OR(L37=0,'02 Architectures'!$U7=1),"PASS","FAIL")</x:f>
        <x:v>PASS</x:v>
      </x:c>
      <x:c r="AA37" s="37" t="str">
        <x:f>IF(OR(M37=1,'02 Architectures'!$V7=1),"PASS","FAIL")</x:f>
        <x:v>PASS</x:v>
      </x:c>
      <x:c r="AB37" s="37" t="str">
        <x:f>IF(M37=0,AA37,IF(AND(P37="PASS",S37="PASS",V37="PASS",W37="PASS",X37="PASS",Y37="PASS",Z37="PASS"),"PASS","FAIL"))</x:f>
        <x:v>FAIL</x:v>
      </x:c>
      <x:c r="AC37" s="38" t="n">
        <x:f>IF(AND(M37=1,AB37="PASS"),1,0)</x:f>
        <x:v>0</x:v>
      </x:c>
      <x:c r="AD37" s="37" t="str">
        <x:f>'02 Architectures'!$AH7</x:f>
        <x:v>DENIED</x:v>
      </x:c>
    </x:row>
    <x:row r="38" ht="26" customHeight="1">
      <x:c r="C38" s="37" t="str">
        <x:v>E2</x:v>
      </x:c>
      <x:c r="D38" s="37" t="str">
        <x:v>S9</x:v>
      </x:c>
      <x:c r="E38" s="48" t="n">
        <x:f>E14</x:f>
        <x:v>14</x:v>
      </x:c>
      <x:c r="F38" s="48" t="n">
        <x:f>F14</x:f>
        <x:v>0</x:v>
      </x:c>
      <x:c r="G38" s="48" t="n">
        <x:f>G14</x:f>
        <x:v>0</x:v>
      </x:c>
      <x:c r="H38" s="48" t="n">
        <x:f>H14</x:f>
        <x:v>1</x:v>
      </x:c>
      <x:c r="I38" s="48" t="n">
        <x:f>I14</x:f>
        <x:v>0</x:v>
      </x:c>
      <x:c r="J38" s="48" t="n">
        <x:f>J14</x:f>
        <x:v>1</x:v>
      </x:c>
      <x:c r="K38" s="48" t="n">
        <x:f>K14</x:f>
        <x:v>0</x:v>
      </x:c>
      <x:c r="L38" s="48" t="n">
        <x:f>L14</x:f>
        <x:v>0</x:v>
      </x:c>
      <x:c r="M38" s="48" t="n">
        <x:f>M14</x:f>
        <x:v>1</x:v>
      </x:c>
      <x:c r="N38" s="48" t="n">
        <x:f>IF(F38=1,'04 Material Balance'!$G7*E38,0)</x:f>
        <x:v>0</x:v>
      </x:c>
      <x:c r="O38" s="48" t="n">
        <x:f>'02 Architectures'!$I7</x:f>
        <x:v>8750</x:v>
      </x:c>
      <x:c r="P38" s="37" t="str">
        <x:f>IF(N38&lt;=O38,"PASS","FAIL")</x:f>
        <x:v>PASS</x:v>
      </x:c>
      <x:c r="Q38" s="48" t="n">
        <x:f>IF(G38=1,'04 Material Balance'!$Q7*E38,0)</x:f>
        <x:v>0</x:v>
      </x:c>
      <x:c r="R38" s="48" t="n">
        <x:f>'02 Architectures'!$M7</x:f>
        <x:v>11.999999999999998</x:v>
      </x:c>
      <x:c r="S38" s="37" t="str">
        <x:f>IF(Q38&lt;=R38,"PASS","FAIL")</x:f>
        <x:v>PASS</x:v>
      </x:c>
      <x:c r="T38" s="41" t="n">
        <x:f>'02 Architectures'!$P7*H38</x:f>
        <x:v>2</x:v>
      </x:c>
      <x:c r="U38" s="41" t="n">
        <x:f>'04 Material Balance'!$U7</x:f>
        <x:v>1.5750000000000002</x:v>
      </x:c>
      <x:c r="V38" s="37" t="str">
        <x:f>IF(T38&gt;=U38,"PASS","FAIL")</x:f>
        <x:v>PASS</x:v>
      </x:c>
      <x:c r="W38" s="37" t="str">
        <x:f>IF(OR(I38=0,'02 Architectures'!$S7=1),"PASS","FAIL")</x:f>
        <x:v>PASS</x:v>
      </x:c>
      <x:c r="X38" s="37" t="str">
        <x:f>IF(AND(J38=1,'02 Architectures'!$T7=1),"FAIL","PASS")</x:f>
        <x:v>PASS</x:v>
      </x:c>
      <x:c r="Y38" s="37" t="str">
        <x:f>IF(OR(K38=0,'02 Architectures'!$R7&gt;=1),"PASS","FAIL")</x:f>
        <x:v>PASS</x:v>
      </x:c>
      <x:c r="Z38" s="37" t="str">
        <x:f>IF(OR(L38=0,'02 Architectures'!$U7=1),"PASS","FAIL")</x:f>
        <x:v>PASS</x:v>
      </x:c>
      <x:c r="AA38" s="37" t="str">
        <x:f>IF(OR(M38=1,'02 Architectures'!$V7=1),"PASS","FAIL")</x:f>
        <x:v>PASS</x:v>
      </x:c>
      <x:c r="AB38" s="37" t="str">
        <x:f>IF(M38=0,AA38,IF(AND(P38="PASS",S38="PASS",V38="PASS",W38="PASS",X38="PASS",Y38="PASS",Z38="PASS"),"PASS","FAIL"))</x:f>
        <x:v>PASS</x:v>
      </x:c>
      <x:c r="AC38" s="38" t="n">
        <x:f>IF(AND(M38=1,AB38="PASS"),1,0)</x:f>
        <x:v>1</x:v>
      </x:c>
      <x:c r="AD38" s="37" t="str">
        <x:f>'02 Architectures'!$AH7</x:f>
        <x:v>DENIED</x:v>
      </x:c>
    </x:row>
    <x:row r="39" ht="26" customHeight="1">
      <x:c r="C39" s="37" t="str">
        <x:v>E2</x:v>
      </x:c>
      <x:c r="D39" s="37" t="str">
        <x:v>S10</x:v>
      </x:c>
      <x:c r="E39" s="48" t="n">
        <x:f>E15</x:f>
        <x:v>14</x:v>
      </x:c>
      <x:c r="F39" s="48" t="n">
        <x:f>F15</x:f>
        <x:v>1</x:v>
      </x:c>
      <x:c r="G39" s="48" t="n">
        <x:f>G15</x:f>
        <x:v>0</x:v>
      </x:c>
      <x:c r="H39" s="48" t="n">
        <x:f>H15</x:f>
        <x:v>1</x:v>
      </x:c>
      <x:c r="I39" s="48" t="n">
        <x:f>I15</x:f>
        <x:v>0</x:v>
      </x:c>
      <x:c r="J39" s="48" t="n">
        <x:f>J15</x:f>
        <x:v>0</x:v>
      </x:c>
      <x:c r="K39" s="48" t="n">
        <x:f>K15</x:f>
        <x:v>0</x:v>
      </x:c>
      <x:c r="L39" s="48" t="n">
        <x:f>L15</x:f>
        <x:v>1</x:v>
      </x:c>
      <x:c r="M39" s="48" t="n">
        <x:f>M15</x:f>
        <x:v>1</x:v>
      </x:c>
      <x:c r="N39" s="48" t="n">
        <x:f>IF(F39=1,'04 Material Balance'!$G7*E39,0)</x:f>
        <x:v>2625.0000000000005</x:v>
      </x:c>
      <x:c r="O39" s="48" t="n">
        <x:f>'02 Architectures'!$I7</x:f>
        <x:v>8750</x:v>
      </x:c>
      <x:c r="P39" s="37" t="str">
        <x:f>IF(N39&lt;=O39,"PASS","FAIL")</x:f>
        <x:v>PASS</x:v>
      </x:c>
      <x:c r="Q39" s="48" t="n">
        <x:f>IF(G39=1,'04 Material Balance'!$Q7*E39,0)</x:f>
        <x:v>0</x:v>
      </x:c>
      <x:c r="R39" s="48" t="n">
        <x:f>'02 Architectures'!$M7</x:f>
        <x:v>11.999999999999998</x:v>
      </x:c>
      <x:c r="S39" s="37" t="str">
        <x:f>IF(Q39&lt;=R39,"PASS","FAIL")</x:f>
        <x:v>PASS</x:v>
      </x:c>
      <x:c r="T39" s="41" t="n">
        <x:f>'02 Architectures'!$P7*H39</x:f>
        <x:v>2</x:v>
      </x:c>
      <x:c r="U39" s="41" t="n">
        <x:f>'04 Material Balance'!$U7</x:f>
        <x:v>1.5750000000000002</x:v>
      </x:c>
      <x:c r="V39" s="37" t="str">
        <x:f>IF(T39&gt;=U39,"PASS","FAIL")</x:f>
        <x:v>PASS</x:v>
      </x:c>
      <x:c r="W39" s="37" t="str">
        <x:f>IF(OR(I39=0,'02 Architectures'!$S7=1),"PASS","FAIL")</x:f>
        <x:v>PASS</x:v>
      </x:c>
      <x:c r="X39" s="37" t="str">
        <x:f>IF(AND(J39=1,'02 Architectures'!$T7=1),"FAIL","PASS")</x:f>
        <x:v>PASS</x:v>
      </x:c>
      <x:c r="Y39" s="37" t="str">
        <x:f>IF(OR(K39=0,'02 Architectures'!$R7&gt;=1),"PASS","FAIL")</x:f>
        <x:v>PASS</x:v>
      </x:c>
      <x:c r="Z39" s="37" t="str">
        <x:f>IF(OR(L39=0,'02 Architectures'!$U7=1),"PASS","FAIL")</x:f>
        <x:v>FAIL</x:v>
      </x:c>
      <x:c r="AA39" s="37" t="str">
        <x:f>IF(OR(M39=1,'02 Architectures'!$V7=1),"PASS","FAIL")</x:f>
        <x:v>PASS</x:v>
      </x:c>
      <x:c r="AB39" s="37" t="str">
        <x:f>IF(M39=0,AA39,IF(AND(P39="PASS",S39="PASS",V39="PASS",W39="PASS",X39="PASS",Y39="PASS",Z39="PASS"),"PASS","FAIL"))</x:f>
        <x:v>FAIL</x:v>
      </x:c>
      <x:c r="AC39" s="38" t="n">
        <x:f>IF(AND(M39=1,AB39="PASS"),1,0)</x:f>
        <x:v>0</x:v>
      </x:c>
      <x:c r="AD39" s="37" t="str">
        <x:f>'02 Architectures'!$AH7</x:f>
        <x:v>DENIED</x:v>
      </x:c>
    </x:row>
    <x:row r="40" ht="26" customHeight="1">
      <x:c r="C40" s="37" t="str">
        <x:v>E3</x:v>
      </x:c>
      <x:c r="D40" s="37" t="str">
        <x:v>S1</x:v>
      </x:c>
      <x:c r="E40" s="48" t="n">
        <x:f>E6</x:f>
        <x:v>14</x:v>
      </x:c>
      <x:c r="F40" s="48" t="n">
        <x:f>F6</x:f>
        <x:v>1</x:v>
      </x:c>
      <x:c r="G40" s="48" t="n">
        <x:f>G6</x:f>
        <x:v>0</x:v>
      </x:c>
      <x:c r="H40" s="48" t="n">
        <x:f>H6</x:f>
        <x:v>1</x:v>
      </x:c>
      <x:c r="I40" s="48" t="n">
        <x:f>I6</x:f>
        <x:v>0</x:v>
      </x:c>
      <x:c r="J40" s="48" t="n">
        <x:f>J6</x:f>
        <x:v>0</x:v>
      </x:c>
      <x:c r="K40" s="48" t="n">
        <x:f>K6</x:f>
        <x:v>0</x:v>
      </x:c>
      <x:c r="L40" s="48" t="n">
        <x:f>L6</x:f>
        <x:v>0</x:v>
      </x:c>
      <x:c r="M40" s="48" t="n">
        <x:f>M6</x:f>
        <x:v>1</x:v>
      </x:c>
      <x:c r="N40" s="48" t="n">
        <x:f>IF(F40=1,'04 Material Balance'!$G8*E40,0)</x:f>
        <x:v>11340</x:v>
      </x:c>
      <x:c r="O40" s="48" t="n">
        <x:f>'02 Architectures'!$I8</x:f>
        <x:v>11340</x:v>
      </x:c>
      <x:c r="P40" s="37" t="str">
        <x:f>IF(N40&lt;=O40,"PASS","FAIL")</x:f>
        <x:v>PASS</x:v>
      </x:c>
      <x:c r="Q40" s="48" t="n">
        <x:f>IF(G40=1,'04 Material Balance'!$Q8*E40,0)</x:f>
        <x:v>0</x:v>
      </x:c>
      <x:c r="R40" s="48" t="n">
        <x:f>'02 Architectures'!$M8</x:f>
        <x:v>40.8</x:v>
      </x:c>
      <x:c r="S40" s="37" t="str">
        <x:f>IF(Q40&lt;=R40,"PASS","FAIL")</x:f>
        <x:v>PASS</x:v>
      </x:c>
      <x:c r="T40" s="41" t="n">
        <x:f>'02 Architectures'!$P8*H40</x:f>
        <x:v>2</x:v>
      </x:c>
      <x:c r="U40" s="41" t="n">
        <x:f>'04 Material Balance'!$U8</x:f>
        <x:v>1.2716666666666665</x:v>
      </x:c>
      <x:c r="V40" s="37" t="str">
        <x:f>IF(T40&gt;=U40,"PASS","FAIL")</x:f>
        <x:v>PASS</x:v>
      </x:c>
      <x:c r="W40" s="37" t="str">
        <x:f>IF(OR(I40=0,'02 Architectures'!$S8=1),"PASS","FAIL")</x:f>
        <x:v>PASS</x:v>
      </x:c>
      <x:c r="X40" s="37" t="str">
        <x:f>IF(AND(J40=1,'02 Architectures'!$T8=1),"FAIL","PASS")</x:f>
        <x:v>PASS</x:v>
      </x:c>
      <x:c r="Y40" s="37" t="str">
        <x:f>IF(OR(K40=0,'02 Architectures'!$R8&gt;=1),"PASS","FAIL")</x:f>
        <x:v>PASS</x:v>
      </x:c>
      <x:c r="Z40" s="37" t="str">
        <x:f>IF(OR(L40=0,'02 Architectures'!$U8=1),"PASS","FAIL")</x:f>
        <x:v>PASS</x:v>
      </x:c>
      <x:c r="AA40" s="37" t="str">
        <x:f>IF(OR(M40=1,'02 Architectures'!$V8=1),"PASS","FAIL")</x:f>
        <x:v>PASS</x:v>
      </x:c>
      <x:c r="AB40" s="37" t="str">
        <x:f>IF(M40=0,AA40,IF(AND(P40="PASS",S40="PASS",V40="PASS",W40="PASS",X40="PASS",Y40="PASS",Z40="PASS"),"PASS","FAIL"))</x:f>
        <x:v>PASS</x:v>
      </x:c>
      <x:c r="AC40" s="38" t="n">
        <x:f>IF(AND(M40=1,AB40="PASS"),1,0)</x:f>
        <x:v>1</x:v>
      </x:c>
      <x:c r="AD40" s="37" t="str">
        <x:f>'02 Architectures'!$AH8</x:f>
        <x:v>DENIED</x:v>
      </x:c>
    </x:row>
    <x:row r="41" ht="26" customHeight="1">
      <x:c r="C41" s="37" t="str">
        <x:v>E3</x:v>
      </x:c>
      <x:c r="D41" s="37" t="str">
        <x:v>S2</x:v>
      </x:c>
      <x:c r="E41" s="48" t="n">
        <x:f>E7</x:f>
        <x:v>30</x:v>
      </x:c>
      <x:c r="F41" s="48" t="n">
        <x:f>F7</x:f>
        <x:v>0</x:v>
      </x:c>
      <x:c r="G41" s="48" t="n">
        <x:f>G7</x:f>
        <x:v>1</x:v>
      </x:c>
      <x:c r="H41" s="48" t="n">
        <x:f>H7</x:f>
        <x:v>1</x:v>
      </x:c>
      <x:c r="I41" s="48" t="n">
        <x:f>I7</x:f>
        <x:v>0</x:v>
      </x:c>
      <x:c r="J41" s="48" t="n">
        <x:f>J7</x:f>
        <x:v>0</x:v>
      </x:c>
      <x:c r="K41" s="48" t="n">
        <x:f>K7</x:f>
        <x:v>0</x:v>
      </x:c>
      <x:c r="L41" s="48" t="n">
        <x:f>L7</x:f>
        <x:v>0</x:v>
      </x:c>
      <x:c r="M41" s="48" t="n">
        <x:f>M7</x:f>
        <x:v>1</x:v>
      </x:c>
      <x:c r="N41" s="48" t="n">
        <x:f>IF(F41=1,'04 Material Balance'!$G8*E41,0)</x:f>
        <x:v>0</x:v>
      </x:c>
      <x:c r="O41" s="48" t="n">
        <x:f>'02 Architectures'!$I8</x:f>
        <x:v>11340</x:v>
      </x:c>
      <x:c r="P41" s="37" t="str">
        <x:f>IF(N41&lt;=O41,"PASS","FAIL")</x:f>
        <x:v>PASS</x:v>
      </x:c>
      <x:c r="Q41" s="48" t="n">
        <x:f>IF(G41=1,'04 Material Balance'!$Q8*E41,0)</x:f>
        <x:v>40.800000000000004</x:v>
      </x:c>
      <x:c r="R41" s="48" t="n">
        <x:f>'02 Architectures'!$M8</x:f>
        <x:v>40.8</x:v>
      </x:c>
      <x:c r="S41" s="37" t="str">
        <x:f>IF(Q41&lt;=R41,"PASS","FAIL")</x:f>
        <x:v>PASS</x:v>
      </x:c>
      <x:c r="T41" s="41" t="n">
        <x:f>'02 Architectures'!$P8*H41</x:f>
        <x:v>2</x:v>
      </x:c>
      <x:c r="U41" s="41" t="n">
        <x:f>'04 Material Balance'!$U8</x:f>
        <x:v>1.2716666666666665</x:v>
      </x:c>
      <x:c r="V41" s="37" t="str">
        <x:f>IF(T41&gt;=U41,"PASS","FAIL")</x:f>
        <x:v>PASS</x:v>
      </x:c>
      <x:c r="W41" s="37" t="str">
        <x:f>IF(OR(I41=0,'02 Architectures'!$S8=1),"PASS","FAIL")</x:f>
        <x:v>PASS</x:v>
      </x:c>
      <x:c r="X41" s="37" t="str">
        <x:f>IF(AND(J41=1,'02 Architectures'!$T8=1),"FAIL","PASS")</x:f>
        <x:v>PASS</x:v>
      </x:c>
      <x:c r="Y41" s="37" t="str">
        <x:f>IF(OR(K41=0,'02 Architectures'!$R8&gt;=1),"PASS","FAIL")</x:f>
        <x:v>PASS</x:v>
      </x:c>
      <x:c r="Z41" s="37" t="str">
        <x:f>IF(OR(L41=0,'02 Architectures'!$U8=1),"PASS","FAIL")</x:f>
        <x:v>PASS</x:v>
      </x:c>
      <x:c r="AA41" s="37" t="str">
        <x:f>IF(OR(M41=1,'02 Architectures'!$V8=1),"PASS","FAIL")</x:f>
        <x:v>PASS</x:v>
      </x:c>
      <x:c r="AB41" s="37" t="str">
        <x:f>IF(M41=0,AA41,IF(AND(P41="PASS",S41="PASS",V41="PASS",W41="PASS",X41="PASS",Y41="PASS",Z41="PASS"),"PASS","FAIL"))</x:f>
        <x:v>PASS</x:v>
      </x:c>
      <x:c r="AC41" s="38" t="n">
        <x:f>IF(AND(M41=1,AB41="PASS"),1,0)</x:f>
        <x:v>1</x:v>
      </x:c>
      <x:c r="AD41" s="37" t="str">
        <x:f>'02 Architectures'!$AH8</x:f>
        <x:v>DENIED</x:v>
      </x:c>
    </x:row>
    <x:row r="42" ht="26" customHeight="1">
      <x:c r="C42" s="37" t="str">
        <x:v>E3</x:v>
      </x:c>
      <x:c r="D42" s="37" t="str">
        <x:v>S3</x:v>
      </x:c>
      <x:c r="E42" s="48" t="n">
        <x:f>E8</x:f>
        <x:v>30</x:v>
      </x:c>
      <x:c r="F42" s="48" t="n">
        <x:f>F8</x:f>
        <x:v>1</x:v>
      </x:c>
      <x:c r="G42" s="48" t="n">
        <x:f>G8</x:f>
        <x:v>1</x:v>
      </x:c>
      <x:c r="H42" s="48" t="n">
        <x:f>H8</x:f>
        <x:v>1</x:v>
      </x:c>
      <x:c r="I42" s="48" t="n">
        <x:f>I8</x:f>
        <x:v>0</x:v>
      </x:c>
      <x:c r="J42" s="48" t="n">
        <x:f>J8</x:f>
        <x:v>0</x:v>
      </x:c>
      <x:c r="K42" s="48" t="n">
        <x:f>K8</x:f>
        <x:v>0</x:v>
      </x:c>
      <x:c r="L42" s="48" t="n">
        <x:f>L8</x:f>
        <x:v>0</x:v>
      </x:c>
      <x:c r="M42" s="48" t="n">
        <x:f>M8</x:f>
        <x:v>1</x:v>
      </x:c>
      <x:c r="N42" s="48" t="n">
        <x:f>IF(F42=1,'04 Material Balance'!$G8*E42,0)</x:f>
        <x:v>24300</x:v>
      </x:c>
      <x:c r="O42" s="48" t="n">
        <x:f>'02 Architectures'!$I8</x:f>
        <x:v>11340</x:v>
      </x:c>
      <x:c r="P42" s="37" t="str">
        <x:f>IF(N42&lt;=O42,"PASS","FAIL")</x:f>
        <x:v>FAIL</x:v>
      </x:c>
      <x:c r="Q42" s="48" t="n">
        <x:f>IF(G42=1,'04 Material Balance'!$Q8*E42,0)</x:f>
        <x:v>40.800000000000004</x:v>
      </x:c>
      <x:c r="R42" s="48" t="n">
        <x:f>'02 Architectures'!$M8</x:f>
        <x:v>40.8</x:v>
      </x:c>
      <x:c r="S42" s="37" t="str">
        <x:f>IF(Q42&lt;=R42,"PASS","FAIL")</x:f>
        <x:v>PASS</x:v>
      </x:c>
      <x:c r="T42" s="41" t="n">
        <x:f>'02 Architectures'!$P8*H42</x:f>
        <x:v>2</x:v>
      </x:c>
      <x:c r="U42" s="41" t="n">
        <x:f>'04 Material Balance'!$U8</x:f>
        <x:v>1.2716666666666665</x:v>
      </x:c>
      <x:c r="V42" s="37" t="str">
        <x:f>IF(T42&gt;=U42,"PASS","FAIL")</x:f>
        <x:v>PASS</x:v>
      </x:c>
      <x:c r="W42" s="37" t="str">
        <x:f>IF(OR(I42=0,'02 Architectures'!$S8=1),"PASS","FAIL")</x:f>
        <x:v>PASS</x:v>
      </x:c>
      <x:c r="X42" s="37" t="str">
        <x:f>IF(AND(J42=1,'02 Architectures'!$T8=1),"FAIL","PASS")</x:f>
        <x:v>PASS</x:v>
      </x:c>
      <x:c r="Y42" s="37" t="str">
        <x:f>IF(OR(K42=0,'02 Architectures'!$R8&gt;=1),"PASS","FAIL")</x:f>
        <x:v>PASS</x:v>
      </x:c>
      <x:c r="Z42" s="37" t="str">
        <x:f>IF(OR(L42=0,'02 Architectures'!$U8=1),"PASS","FAIL")</x:f>
        <x:v>PASS</x:v>
      </x:c>
      <x:c r="AA42" s="37" t="str">
        <x:f>IF(OR(M42=1,'02 Architectures'!$V8=1),"PASS","FAIL")</x:f>
        <x:v>PASS</x:v>
      </x:c>
      <x:c r="AB42" s="37" t="str">
        <x:f>IF(M42=0,AA42,IF(AND(P42="PASS",S42="PASS",V42="PASS",W42="PASS",X42="PASS",Y42="PASS",Z42="PASS"),"PASS","FAIL"))</x:f>
        <x:v>FAIL</x:v>
      </x:c>
      <x:c r="AC42" s="38" t="n">
        <x:f>IF(AND(M42=1,AB42="PASS"),1,0)</x:f>
        <x:v>0</x:v>
      </x:c>
      <x:c r="AD42" s="37" t="str">
        <x:f>'02 Architectures'!$AH8</x:f>
        <x:v>DENIED</x:v>
      </x:c>
    </x:row>
    <x:row r="43" ht="26" customHeight="1">
      <x:c r="C43" s="37" t="str">
        <x:v>E3</x:v>
      </x:c>
      <x:c r="D43" s="37" t="str">
        <x:v>S4</x:v>
      </x:c>
      <x:c r="E43" s="48" t="n">
        <x:f>E9</x:f>
        <x:v>3</x:v>
      </x:c>
      <x:c r="F43" s="48" t="n">
        <x:f>F9</x:f>
        <x:v>0</x:v>
      </x:c>
      <x:c r="G43" s="48" t="n">
        <x:f>G9</x:f>
        <x:v>0</x:v>
      </x:c>
      <x:c r="H43" s="48" t="n">
        <x:f>H9</x:f>
        <x:v>1</x:v>
      </x:c>
      <x:c r="I43" s="48" t="n">
        <x:f>I9</x:f>
        <x:v>0</x:v>
      </x:c>
      <x:c r="J43" s="48" t="n">
        <x:f>J9</x:f>
        <x:v>0</x:v>
      </x:c>
      <x:c r="K43" s="48" t="n">
        <x:f>K9</x:f>
        <x:v>0</x:v>
      </x:c>
      <x:c r="L43" s="48" t="n">
        <x:f>L9</x:f>
        <x:v>0</x:v>
      </x:c>
      <x:c r="M43" s="48" t="n">
        <x:f>M9</x:f>
        <x:v>0</x:v>
      </x:c>
      <x:c r="N43" s="48" t="n">
        <x:f>IF(F43=1,'04 Material Balance'!$G8*E43,0)</x:f>
        <x:v>0</x:v>
      </x:c>
      <x:c r="O43" s="48" t="n">
        <x:f>'02 Architectures'!$I8</x:f>
        <x:v>11340</x:v>
      </x:c>
      <x:c r="P43" s="37" t="str">
        <x:f>IF(N43&lt;=O43,"PASS","FAIL")</x:f>
        <x:v>PASS</x:v>
      </x:c>
      <x:c r="Q43" s="48" t="n">
        <x:f>IF(G43=1,'04 Material Balance'!$Q8*E43,0)</x:f>
        <x:v>0</x:v>
      </x:c>
      <x:c r="R43" s="48" t="n">
        <x:f>'02 Architectures'!$M8</x:f>
        <x:v>40.8</x:v>
      </x:c>
      <x:c r="S43" s="37" t="str">
        <x:f>IF(Q43&lt;=R43,"PASS","FAIL")</x:f>
        <x:v>PASS</x:v>
      </x:c>
      <x:c r="T43" s="41" t="n">
        <x:f>'02 Architectures'!$P8*H43</x:f>
        <x:v>2</x:v>
      </x:c>
      <x:c r="U43" s="41" t="n">
        <x:f>'04 Material Balance'!$U8</x:f>
        <x:v>1.2716666666666665</x:v>
      </x:c>
      <x:c r="V43" s="37" t="str">
        <x:f>IF(T43&gt;=U43,"PASS","FAIL")</x:f>
        <x:v>PASS</x:v>
      </x:c>
      <x:c r="W43" s="37" t="str">
        <x:f>IF(OR(I43=0,'02 Architectures'!$S8=1),"PASS","FAIL")</x:f>
        <x:v>PASS</x:v>
      </x:c>
      <x:c r="X43" s="37" t="str">
        <x:f>IF(AND(J43=1,'02 Architectures'!$T8=1),"FAIL","PASS")</x:f>
        <x:v>PASS</x:v>
      </x:c>
      <x:c r="Y43" s="37" t="str">
        <x:f>IF(OR(K43=0,'02 Architectures'!$R8&gt;=1),"PASS","FAIL")</x:f>
        <x:v>PASS</x:v>
      </x:c>
      <x:c r="Z43" s="37" t="str">
        <x:f>IF(OR(L43=0,'02 Architectures'!$U8=1),"PASS","FAIL")</x:f>
        <x:v>PASS</x:v>
      </x:c>
      <x:c r="AA43" s="37" t="str">
        <x:f>IF(OR(M43=1,'02 Architectures'!$V8=1),"PASS","FAIL")</x:f>
        <x:v>PASS</x:v>
      </x:c>
      <x:c r="AB43" s="37" t="str">
        <x:f>IF(M43=0,AA43,IF(AND(P43="PASS",S43="PASS",V43="PASS",W43="PASS",X43="PASS",Y43="PASS",Z43="PASS"),"PASS","FAIL"))</x:f>
        <x:v>PASS</x:v>
      </x:c>
      <x:c r="AC43" s="38" t="n">
        <x:f>IF(AND(M43=1,AB43="PASS"),1,0)</x:f>
        <x:v>0</x:v>
      </x:c>
      <x:c r="AD43" s="37" t="str">
        <x:f>'02 Architectures'!$AH8</x:f>
        <x:v>DENIED</x:v>
      </x:c>
    </x:row>
    <x:row r="44" ht="26" customHeight="1">
      <x:c r="C44" s="37" t="str">
        <x:v>E3</x:v>
      </x:c>
      <x:c r="D44" s="37" t="str">
        <x:v>S5</x:v>
      </x:c>
      <x:c r="E44" s="48" t="n">
        <x:f>E10</x:f>
        <x:v>14</x:v>
      </x:c>
      <x:c r="F44" s="48" t="n">
        <x:f>F10</x:f>
        <x:v>0</x:v>
      </x:c>
      <x:c r="G44" s="48" t="n">
        <x:f>G10</x:f>
        <x:v>0</x:v>
      </x:c>
      <x:c r="H44" s="48" t="n">
        <x:f>H10</x:f>
        <x:v>1</x:v>
      </x:c>
      <x:c r="I44" s="48" t="n">
        <x:f>I10</x:f>
        <x:v>0</x:v>
      </x:c>
      <x:c r="J44" s="48" t="n">
        <x:f>J10</x:f>
        <x:v>0</x:v>
      </x:c>
      <x:c r="K44" s="48" t="n">
        <x:f>K10</x:f>
        <x:v>1</x:v>
      </x:c>
      <x:c r="L44" s="48" t="n">
        <x:f>L10</x:f>
        <x:v>0</x:v>
      </x:c>
      <x:c r="M44" s="48" t="n">
        <x:f>M10</x:f>
        <x:v>1</x:v>
      </x:c>
      <x:c r="N44" s="48" t="n">
        <x:f>IF(F44=1,'04 Material Balance'!$G8*E44,0)</x:f>
        <x:v>0</x:v>
      </x:c>
      <x:c r="O44" s="48" t="n">
        <x:f>'02 Architectures'!$I8</x:f>
        <x:v>11340</x:v>
      </x:c>
      <x:c r="P44" s="37" t="str">
        <x:f>IF(N44&lt;=O44,"PASS","FAIL")</x:f>
        <x:v>PASS</x:v>
      </x:c>
      <x:c r="Q44" s="48" t="n">
        <x:f>IF(G44=1,'04 Material Balance'!$Q8*E44,0)</x:f>
        <x:v>0</x:v>
      </x:c>
      <x:c r="R44" s="48" t="n">
        <x:f>'02 Architectures'!$M8</x:f>
        <x:v>40.8</x:v>
      </x:c>
      <x:c r="S44" s="37" t="str">
        <x:f>IF(Q44&lt;=R44,"PASS","FAIL")</x:f>
        <x:v>PASS</x:v>
      </x:c>
      <x:c r="T44" s="41" t="n">
        <x:f>'02 Architectures'!$P8*H44</x:f>
        <x:v>2</x:v>
      </x:c>
      <x:c r="U44" s="41" t="n">
        <x:f>'04 Material Balance'!$U8</x:f>
        <x:v>1.2716666666666665</x:v>
      </x:c>
      <x:c r="V44" s="37" t="str">
        <x:f>IF(T44&gt;=U44,"PASS","FAIL")</x:f>
        <x:v>PASS</x:v>
      </x:c>
      <x:c r="W44" s="37" t="str">
        <x:f>IF(OR(I44=0,'02 Architectures'!$S8=1),"PASS","FAIL")</x:f>
        <x:v>PASS</x:v>
      </x:c>
      <x:c r="X44" s="37" t="str">
        <x:f>IF(AND(J44=1,'02 Architectures'!$T8=1),"FAIL","PASS")</x:f>
        <x:v>PASS</x:v>
      </x:c>
      <x:c r="Y44" s="37" t="str">
        <x:f>IF(OR(K44=0,'02 Architectures'!$R8&gt;=1),"PASS","FAIL")</x:f>
        <x:v>PASS</x:v>
      </x:c>
      <x:c r="Z44" s="37" t="str">
        <x:f>IF(OR(L44=0,'02 Architectures'!$U8=1),"PASS","FAIL")</x:f>
        <x:v>PASS</x:v>
      </x:c>
      <x:c r="AA44" s="37" t="str">
        <x:f>IF(OR(M44=1,'02 Architectures'!$V8=1),"PASS","FAIL")</x:f>
        <x:v>PASS</x:v>
      </x:c>
      <x:c r="AB44" s="37" t="str">
        <x:f>IF(M44=0,AA44,IF(AND(P44="PASS",S44="PASS",V44="PASS",W44="PASS",X44="PASS",Y44="PASS",Z44="PASS"),"PASS","FAIL"))</x:f>
        <x:v>PASS</x:v>
      </x:c>
      <x:c r="AC44" s="38" t="n">
        <x:f>IF(AND(M44=1,AB44="PASS"),1,0)</x:f>
        <x:v>1</x:v>
      </x:c>
      <x:c r="AD44" s="37" t="str">
        <x:f>'02 Architectures'!$AH8</x:f>
        <x:v>DENIED</x:v>
      </x:c>
    </x:row>
    <x:row r="45" ht="26" customHeight="1">
      <x:c r="C45" s="37" t="str">
        <x:v>E3</x:v>
      </x:c>
      <x:c r="D45" s="37" t="str">
        <x:v>S6</x:v>
      </x:c>
      <x:c r="E45" s="48" t="n">
        <x:f>E11</x:f>
        <x:v>14</x:v>
      </x:c>
      <x:c r="F45" s="48" t="n">
        <x:f>F11</x:f>
        <x:v>0</x:v>
      </x:c>
      <x:c r="G45" s="48" t="n">
        <x:f>G11</x:f>
        <x:v>0</x:v>
      </x:c>
      <x:c r="H45" s="48" t="n">
        <x:f>H11</x:f>
        <x:v>0.75</x:v>
      </x:c>
      <x:c r="I45" s="48" t="n">
        <x:f>I11</x:f>
        <x:v>0</x:v>
      </x:c>
      <x:c r="J45" s="48" t="n">
        <x:f>J11</x:f>
        <x:v>0</x:v>
      </x:c>
      <x:c r="K45" s="48" t="n">
        <x:f>K11</x:f>
        <x:v>0</x:v>
      </x:c>
      <x:c r="L45" s="48" t="n">
        <x:f>L11</x:f>
        <x:v>0</x:v>
      </x:c>
      <x:c r="M45" s="48" t="n">
        <x:f>M11</x:f>
        <x:v>1</x:v>
      </x:c>
      <x:c r="N45" s="48" t="n">
        <x:f>IF(F45=1,'04 Material Balance'!$G8*E45,0)</x:f>
        <x:v>0</x:v>
      </x:c>
      <x:c r="O45" s="48" t="n">
        <x:f>'02 Architectures'!$I8</x:f>
        <x:v>11340</x:v>
      </x:c>
      <x:c r="P45" s="37" t="str">
        <x:f>IF(N45&lt;=O45,"PASS","FAIL")</x:f>
        <x:v>PASS</x:v>
      </x:c>
      <x:c r="Q45" s="48" t="n">
        <x:f>IF(G45=1,'04 Material Balance'!$Q8*E45,0)</x:f>
        <x:v>0</x:v>
      </x:c>
      <x:c r="R45" s="48" t="n">
        <x:f>'02 Architectures'!$M8</x:f>
        <x:v>40.8</x:v>
      </x:c>
      <x:c r="S45" s="37" t="str">
        <x:f>IF(Q45&lt;=R45,"PASS","FAIL")</x:f>
        <x:v>PASS</x:v>
      </x:c>
      <x:c r="T45" s="41" t="n">
        <x:f>'02 Architectures'!$P8*H45</x:f>
        <x:v>1.5</x:v>
      </x:c>
      <x:c r="U45" s="41" t="n">
        <x:f>'04 Material Balance'!$U8</x:f>
        <x:v>1.2716666666666665</x:v>
      </x:c>
      <x:c r="V45" s="37" t="str">
        <x:f>IF(T45&gt;=U45,"PASS","FAIL")</x:f>
        <x:v>PASS</x:v>
      </x:c>
      <x:c r="W45" s="37" t="str">
        <x:f>IF(OR(I45=0,'02 Architectures'!$S8=1),"PASS","FAIL")</x:f>
        <x:v>PASS</x:v>
      </x:c>
      <x:c r="X45" s="37" t="str">
        <x:f>IF(AND(J45=1,'02 Architectures'!$T8=1),"FAIL","PASS")</x:f>
        <x:v>PASS</x:v>
      </x:c>
      <x:c r="Y45" s="37" t="str">
        <x:f>IF(OR(K45=0,'02 Architectures'!$R8&gt;=1),"PASS","FAIL")</x:f>
        <x:v>PASS</x:v>
      </x:c>
      <x:c r="Z45" s="37" t="str">
        <x:f>IF(OR(L45=0,'02 Architectures'!$U8=1),"PASS","FAIL")</x:f>
        <x:v>PASS</x:v>
      </x:c>
      <x:c r="AA45" s="37" t="str">
        <x:f>IF(OR(M45=1,'02 Architectures'!$V8=1),"PASS","FAIL")</x:f>
        <x:v>PASS</x:v>
      </x:c>
      <x:c r="AB45" s="37" t="str">
        <x:f>IF(M45=0,AA45,IF(AND(P45="PASS",S45="PASS",V45="PASS",W45="PASS",X45="PASS",Y45="PASS",Z45="PASS"),"PASS","FAIL"))</x:f>
        <x:v>PASS</x:v>
      </x:c>
      <x:c r="AC45" s="38" t="n">
        <x:f>IF(AND(M45=1,AB45="PASS"),1,0)</x:f>
        <x:v>1</x:v>
      </x:c>
      <x:c r="AD45" s="37" t="str">
        <x:f>'02 Architectures'!$AH8</x:f>
        <x:v>DENIED</x:v>
      </x:c>
    </x:row>
    <x:row r="46" ht="26" customHeight="1">
      <x:c r="C46" s="37" t="str">
        <x:v>E3</x:v>
      </x:c>
      <x:c r="D46" s="37" t="str">
        <x:v>S7</x:v>
      </x:c>
      <x:c r="E46" s="48" t="n">
        <x:f>E12</x:f>
        <x:v>14</x:v>
      </x:c>
      <x:c r="F46" s="48" t="n">
        <x:f>F12</x:f>
        <x:v>1</x:v>
      </x:c>
      <x:c r="G46" s="48" t="n">
        <x:f>G12</x:f>
        <x:v>0</x:v>
      </x:c>
      <x:c r="H46" s="48" t="n">
        <x:f>H12</x:f>
        <x:v>1</x:v>
      </x:c>
      <x:c r="I46" s="48" t="n">
        <x:f>I12</x:f>
        <x:v>0</x:v>
      </x:c>
      <x:c r="J46" s="48" t="n">
        <x:f>J12</x:f>
        <x:v>0</x:v>
      </x:c>
      <x:c r="K46" s="48" t="n">
        <x:f>K12</x:f>
        <x:v>0</x:v>
      </x:c>
      <x:c r="L46" s="48" t="n">
        <x:f>L12</x:f>
        <x:v>0</x:v>
      </x:c>
      <x:c r="M46" s="48" t="n">
        <x:f>M12</x:f>
        <x:v>1</x:v>
      </x:c>
      <x:c r="N46" s="48" t="n">
        <x:f>IF(F46=1,'04 Material Balance'!$G8*E46,0)</x:f>
        <x:v>11340</x:v>
      </x:c>
      <x:c r="O46" s="48" t="n">
        <x:f>'02 Architectures'!$I8</x:f>
        <x:v>11340</x:v>
      </x:c>
      <x:c r="P46" s="37" t="str">
        <x:f>IF(N46&lt;=O46,"PASS","FAIL")</x:f>
        <x:v>PASS</x:v>
      </x:c>
      <x:c r="Q46" s="48" t="n">
        <x:f>IF(G46=1,'04 Material Balance'!$Q8*E46,0)</x:f>
        <x:v>0</x:v>
      </x:c>
      <x:c r="R46" s="48" t="n">
        <x:f>'02 Architectures'!$M8</x:f>
        <x:v>40.8</x:v>
      </x:c>
      <x:c r="S46" s="37" t="str">
        <x:f>IF(Q46&lt;=R46,"PASS","FAIL")</x:f>
        <x:v>PASS</x:v>
      </x:c>
      <x:c r="T46" s="41" t="n">
        <x:f>'02 Architectures'!$P8*H46</x:f>
        <x:v>2</x:v>
      </x:c>
      <x:c r="U46" s="41" t="n">
        <x:f>'04 Material Balance'!$U8</x:f>
        <x:v>1.2716666666666665</x:v>
      </x:c>
      <x:c r="V46" s="37" t="str">
        <x:f>IF(T46&gt;=U46,"PASS","FAIL")</x:f>
        <x:v>PASS</x:v>
      </x:c>
      <x:c r="W46" s="37" t="str">
        <x:f>IF(OR(I46=0,'02 Architectures'!$S8=1),"PASS","FAIL")</x:f>
        <x:v>PASS</x:v>
      </x:c>
      <x:c r="X46" s="37" t="str">
        <x:f>IF(AND(J46=1,'02 Architectures'!$T8=1),"FAIL","PASS")</x:f>
        <x:v>PASS</x:v>
      </x:c>
      <x:c r="Y46" s="37" t="str">
        <x:f>IF(OR(K46=0,'02 Architectures'!$R8&gt;=1),"PASS","FAIL")</x:f>
        <x:v>PASS</x:v>
      </x:c>
      <x:c r="Z46" s="37" t="str">
        <x:f>IF(OR(L46=0,'02 Architectures'!$U8=1),"PASS","FAIL")</x:f>
        <x:v>PASS</x:v>
      </x:c>
      <x:c r="AA46" s="37" t="str">
        <x:f>IF(OR(M46=1,'02 Architectures'!$V8=1),"PASS","FAIL")</x:f>
        <x:v>PASS</x:v>
      </x:c>
      <x:c r="AB46" s="37" t="str">
        <x:f>IF(M46=0,AA46,IF(AND(P46="PASS",S46="PASS",V46="PASS",W46="PASS",X46="PASS",Y46="PASS",Z46="PASS"),"PASS","FAIL"))</x:f>
        <x:v>PASS</x:v>
      </x:c>
      <x:c r="AC46" s="38" t="n">
        <x:f>IF(AND(M46=1,AB46="PASS"),1,0)</x:f>
        <x:v>1</x:v>
      </x:c>
      <x:c r="AD46" s="37" t="str">
        <x:f>'02 Architectures'!$AH8</x:f>
        <x:v>DENIED</x:v>
      </x:c>
    </x:row>
    <x:row r="47" ht="26" customHeight="1">
      <x:c r="C47" s="37" t="str">
        <x:v>E3</x:v>
      </x:c>
      <x:c r="D47" s="37" t="str">
        <x:v>S8</x:v>
      </x:c>
      <x:c r="E47" s="48" t="n">
        <x:f>E13</x:f>
        <x:v>30</x:v>
      </x:c>
      <x:c r="F47" s="48" t="n">
        <x:f>F13</x:f>
        <x:v>0</x:v>
      </x:c>
      <x:c r="G47" s="48" t="n">
        <x:f>G13</x:f>
        <x:v>0</x:v>
      </x:c>
      <x:c r="H47" s="48" t="n">
        <x:f>H13</x:f>
        <x:v>1</x:v>
      </x:c>
      <x:c r="I47" s="48" t="n">
        <x:f>I13</x:f>
        <x:v>1</x:v>
      </x:c>
      <x:c r="J47" s="48" t="n">
        <x:f>J13</x:f>
        <x:v>0</x:v>
      </x:c>
      <x:c r="K47" s="48" t="n">
        <x:f>K13</x:f>
        <x:v>0</x:v>
      </x:c>
      <x:c r="L47" s="48" t="n">
        <x:f>L13</x:f>
        <x:v>0</x:v>
      </x:c>
      <x:c r="M47" s="48" t="n">
        <x:f>M13</x:f>
        <x:v>1</x:v>
      </x:c>
      <x:c r="N47" s="48" t="n">
        <x:f>IF(F47=1,'04 Material Balance'!$G8*E47,0)</x:f>
        <x:v>0</x:v>
      </x:c>
      <x:c r="O47" s="48" t="n">
        <x:f>'02 Architectures'!$I8</x:f>
        <x:v>11340</x:v>
      </x:c>
      <x:c r="P47" s="37" t="str">
        <x:f>IF(N47&lt;=O47,"PASS","FAIL")</x:f>
        <x:v>PASS</x:v>
      </x:c>
      <x:c r="Q47" s="48" t="n">
        <x:f>IF(G47=1,'04 Material Balance'!$Q8*E47,0)</x:f>
        <x:v>0</x:v>
      </x:c>
      <x:c r="R47" s="48" t="n">
        <x:f>'02 Architectures'!$M8</x:f>
        <x:v>40.8</x:v>
      </x:c>
      <x:c r="S47" s="37" t="str">
        <x:f>IF(Q47&lt;=R47,"PASS","FAIL")</x:f>
        <x:v>PASS</x:v>
      </x:c>
      <x:c r="T47" s="41" t="n">
        <x:f>'02 Architectures'!$P8*H47</x:f>
        <x:v>2</x:v>
      </x:c>
      <x:c r="U47" s="41" t="n">
        <x:f>'04 Material Balance'!$U8</x:f>
        <x:v>1.2716666666666665</x:v>
      </x:c>
      <x:c r="V47" s="37" t="str">
        <x:f>IF(T47&gt;=U47,"PASS","FAIL")</x:f>
        <x:v>PASS</x:v>
      </x:c>
      <x:c r="W47" s="37" t="str">
        <x:f>IF(OR(I47=0,'02 Architectures'!$S8=1),"PASS","FAIL")</x:f>
        <x:v>PASS</x:v>
      </x:c>
      <x:c r="X47" s="37" t="str">
        <x:f>IF(AND(J47=1,'02 Architectures'!$T8=1),"FAIL","PASS")</x:f>
        <x:v>PASS</x:v>
      </x:c>
      <x:c r="Y47" s="37" t="str">
        <x:f>IF(OR(K47=0,'02 Architectures'!$R8&gt;=1),"PASS","FAIL")</x:f>
        <x:v>PASS</x:v>
      </x:c>
      <x:c r="Z47" s="37" t="str">
        <x:f>IF(OR(L47=0,'02 Architectures'!$U8=1),"PASS","FAIL")</x:f>
        <x:v>PASS</x:v>
      </x:c>
      <x:c r="AA47" s="37" t="str">
        <x:f>IF(OR(M47=1,'02 Architectures'!$V8=1),"PASS","FAIL")</x:f>
        <x:v>PASS</x:v>
      </x:c>
      <x:c r="AB47" s="37" t="str">
        <x:f>IF(M47=0,AA47,IF(AND(P47="PASS",S47="PASS",V47="PASS",W47="PASS",X47="PASS",Y47="PASS",Z47="PASS"),"PASS","FAIL"))</x:f>
        <x:v>PASS</x:v>
      </x:c>
      <x:c r="AC47" s="38" t="n">
        <x:f>IF(AND(M47=1,AB47="PASS"),1,0)</x:f>
        <x:v>1</x:v>
      </x:c>
      <x:c r="AD47" s="37" t="str">
        <x:f>'02 Architectures'!$AH8</x:f>
        <x:v>DENIED</x:v>
      </x:c>
    </x:row>
    <x:row r="48" ht="26" customHeight="1">
      <x:c r="C48" s="37" t="str">
        <x:v>E3</x:v>
      </x:c>
      <x:c r="D48" s="37" t="str">
        <x:v>S9</x:v>
      </x:c>
      <x:c r="E48" s="48" t="n">
        <x:f>E14</x:f>
        <x:v>14</x:v>
      </x:c>
      <x:c r="F48" s="48" t="n">
        <x:f>F14</x:f>
        <x:v>0</x:v>
      </x:c>
      <x:c r="G48" s="48" t="n">
        <x:f>G14</x:f>
        <x:v>0</x:v>
      </x:c>
      <x:c r="H48" s="48" t="n">
        <x:f>H14</x:f>
        <x:v>1</x:v>
      </x:c>
      <x:c r="I48" s="48" t="n">
        <x:f>I14</x:f>
        <x:v>0</x:v>
      </x:c>
      <x:c r="J48" s="48" t="n">
        <x:f>J14</x:f>
        <x:v>1</x:v>
      </x:c>
      <x:c r="K48" s="48" t="n">
        <x:f>K14</x:f>
        <x:v>0</x:v>
      </x:c>
      <x:c r="L48" s="48" t="n">
        <x:f>L14</x:f>
        <x:v>0</x:v>
      </x:c>
      <x:c r="M48" s="48" t="n">
        <x:f>M14</x:f>
        <x:v>1</x:v>
      </x:c>
      <x:c r="N48" s="48" t="n">
        <x:f>IF(F48=1,'04 Material Balance'!$G8*E48,0)</x:f>
        <x:v>0</x:v>
      </x:c>
      <x:c r="O48" s="48" t="n">
        <x:f>'02 Architectures'!$I8</x:f>
        <x:v>11340</x:v>
      </x:c>
      <x:c r="P48" s="37" t="str">
        <x:f>IF(N48&lt;=O48,"PASS","FAIL")</x:f>
        <x:v>PASS</x:v>
      </x:c>
      <x:c r="Q48" s="48" t="n">
        <x:f>IF(G48=1,'04 Material Balance'!$Q8*E48,0)</x:f>
        <x:v>0</x:v>
      </x:c>
      <x:c r="R48" s="48" t="n">
        <x:f>'02 Architectures'!$M8</x:f>
        <x:v>40.8</x:v>
      </x:c>
      <x:c r="S48" s="37" t="str">
        <x:f>IF(Q48&lt;=R48,"PASS","FAIL")</x:f>
        <x:v>PASS</x:v>
      </x:c>
      <x:c r="T48" s="41" t="n">
        <x:f>'02 Architectures'!$P8*H48</x:f>
        <x:v>2</x:v>
      </x:c>
      <x:c r="U48" s="41" t="n">
        <x:f>'04 Material Balance'!$U8</x:f>
        <x:v>1.2716666666666665</x:v>
      </x:c>
      <x:c r="V48" s="37" t="str">
        <x:f>IF(T48&gt;=U48,"PASS","FAIL")</x:f>
        <x:v>PASS</x:v>
      </x:c>
      <x:c r="W48" s="37" t="str">
        <x:f>IF(OR(I48=0,'02 Architectures'!$S8=1),"PASS","FAIL")</x:f>
        <x:v>PASS</x:v>
      </x:c>
      <x:c r="X48" s="37" t="str">
        <x:f>IF(AND(J48=1,'02 Architectures'!$T8=1),"FAIL","PASS")</x:f>
        <x:v>FAIL</x:v>
      </x:c>
      <x:c r="Y48" s="37" t="str">
        <x:f>IF(OR(K48=0,'02 Architectures'!$R8&gt;=1),"PASS","FAIL")</x:f>
        <x:v>PASS</x:v>
      </x:c>
      <x:c r="Z48" s="37" t="str">
        <x:f>IF(OR(L48=0,'02 Architectures'!$U8=1),"PASS","FAIL")</x:f>
        <x:v>PASS</x:v>
      </x:c>
      <x:c r="AA48" s="37" t="str">
        <x:f>IF(OR(M48=1,'02 Architectures'!$V8=1),"PASS","FAIL")</x:f>
        <x:v>PASS</x:v>
      </x:c>
      <x:c r="AB48" s="37" t="str">
        <x:f>IF(M48=0,AA48,IF(AND(P48="PASS",S48="PASS",V48="PASS",W48="PASS",X48="PASS",Y48="PASS",Z48="PASS"),"PASS","FAIL"))</x:f>
        <x:v>FAIL</x:v>
      </x:c>
      <x:c r="AC48" s="38" t="n">
        <x:f>IF(AND(M48=1,AB48="PASS"),1,0)</x:f>
        <x:v>0</x:v>
      </x:c>
      <x:c r="AD48" s="37" t="str">
        <x:f>'02 Architectures'!$AH8</x:f>
        <x:v>DENIED</x:v>
      </x:c>
    </x:row>
    <x:row r="49" ht="26" customHeight="1">
      <x:c r="C49" s="37" t="str">
        <x:v>E3</x:v>
      </x:c>
      <x:c r="D49" s="37" t="str">
        <x:v>S10</x:v>
      </x:c>
      <x:c r="E49" s="48" t="n">
        <x:f>E15</x:f>
        <x:v>14</x:v>
      </x:c>
      <x:c r="F49" s="48" t="n">
        <x:f>F15</x:f>
        <x:v>1</x:v>
      </x:c>
      <x:c r="G49" s="48" t="n">
        <x:f>G15</x:f>
        <x:v>0</x:v>
      </x:c>
      <x:c r="H49" s="48" t="n">
        <x:f>H15</x:f>
        <x:v>1</x:v>
      </x:c>
      <x:c r="I49" s="48" t="n">
        <x:f>I15</x:f>
        <x:v>0</x:v>
      </x:c>
      <x:c r="J49" s="48" t="n">
        <x:f>J15</x:f>
        <x:v>0</x:v>
      </x:c>
      <x:c r="K49" s="48" t="n">
        <x:f>K15</x:f>
        <x:v>0</x:v>
      </x:c>
      <x:c r="L49" s="48" t="n">
        <x:f>L15</x:f>
        <x:v>1</x:v>
      </x:c>
      <x:c r="M49" s="48" t="n">
        <x:f>M15</x:f>
        <x:v>1</x:v>
      </x:c>
      <x:c r="N49" s="48" t="n">
        <x:f>IF(F49=1,'04 Material Balance'!$G8*E49,0)</x:f>
        <x:v>11340</x:v>
      </x:c>
      <x:c r="O49" s="48" t="n">
        <x:f>'02 Architectures'!$I8</x:f>
        <x:v>11340</x:v>
      </x:c>
      <x:c r="P49" s="37" t="str">
        <x:f>IF(N49&lt;=O49,"PASS","FAIL")</x:f>
        <x:v>PASS</x:v>
      </x:c>
      <x:c r="Q49" s="48" t="n">
        <x:f>IF(G49=1,'04 Material Balance'!$Q8*E49,0)</x:f>
        <x:v>0</x:v>
      </x:c>
      <x:c r="R49" s="48" t="n">
        <x:f>'02 Architectures'!$M8</x:f>
        <x:v>40.8</x:v>
      </x:c>
      <x:c r="S49" s="37" t="str">
        <x:f>IF(Q49&lt;=R49,"PASS","FAIL")</x:f>
        <x:v>PASS</x:v>
      </x:c>
      <x:c r="T49" s="41" t="n">
        <x:f>'02 Architectures'!$P8*H49</x:f>
        <x:v>2</x:v>
      </x:c>
      <x:c r="U49" s="41" t="n">
        <x:f>'04 Material Balance'!$U8</x:f>
        <x:v>1.2716666666666665</x:v>
      </x:c>
      <x:c r="V49" s="37" t="str">
        <x:f>IF(T49&gt;=U49,"PASS","FAIL")</x:f>
        <x:v>PASS</x:v>
      </x:c>
      <x:c r="W49" s="37" t="str">
        <x:f>IF(OR(I49=0,'02 Architectures'!$S8=1),"PASS","FAIL")</x:f>
        <x:v>PASS</x:v>
      </x:c>
      <x:c r="X49" s="37" t="str">
        <x:f>IF(AND(J49=1,'02 Architectures'!$T8=1),"FAIL","PASS")</x:f>
        <x:v>PASS</x:v>
      </x:c>
      <x:c r="Y49" s="37" t="str">
        <x:f>IF(OR(K49=0,'02 Architectures'!$R8&gt;=1),"PASS","FAIL")</x:f>
        <x:v>PASS</x:v>
      </x:c>
      <x:c r="Z49" s="37" t="str">
        <x:f>IF(OR(L49=0,'02 Architectures'!$U8=1),"PASS","FAIL")</x:f>
        <x:v>FAIL</x:v>
      </x:c>
      <x:c r="AA49" s="37" t="str">
        <x:f>IF(OR(M49=1,'02 Architectures'!$V8=1),"PASS","FAIL")</x:f>
        <x:v>PASS</x:v>
      </x:c>
      <x:c r="AB49" s="37" t="str">
        <x:f>IF(M49=0,AA49,IF(AND(P49="PASS",S49="PASS",V49="PASS",W49="PASS",X49="PASS",Y49="PASS",Z49="PASS"),"PASS","FAIL"))</x:f>
        <x:v>FAIL</x:v>
      </x:c>
      <x:c r="AC49" s="38" t="n">
        <x:f>IF(AND(M49=1,AB49="PASS"),1,0)</x:f>
        <x:v>0</x:v>
      </x:c>
      <x:c r="AD49" s="37" t="str">
        <x:f>'02 Architectures'!$AH8</x:f>
        <x:v>DENIED</x:v>
      </x:c>
    </x:row>
    <x:row r="50" ht="26" customHeight="1">
      <x:c r="C50" s="37" t="str">
        <x:v>E4</x:v>
      </x:c>
      <x:c r="D50" s="37" t="str">
        <x:v>S1</x:v>
      </x:c>
      <x:c r="E50" s="48" t="n">
        <x:f>E6</x:f>
        <x:v>14</x:v>
      </x:c>
      <x:c r="F50" s="48" t="n">
        <x:f>F6</x:f>
        <x:v>1</x:v>
      </x:c>
      <x:c r="G50" s="48" t="n">
        <x:f>G6</x:f>
        <x:v>0</x:v>
      </x:c>
      <x:c r="H50" s="48" t="n">
        <x:f>H6</x:f>
        <x:v>1</x:v>
      </x:c>
      <x:c r="I50" s="48" t="n">
        <x:f>I6</x:f>
        <x:v>0</x:v>
      </x:c>
      <x:c r="J50" s="48" t="n">
        <x:f>J6</x:f>
        <x:v>0</x:v>
      </x:c>
      <x:c r="K50" s="48" t="n">
        <x:f>K6</x:f>
        <x:v>0</x:v>
      </x:c>
      <x:c r="L50" s="48" t="n">
        <x:f>L6</x:f>
        <x:v>0</x:v>
      </x:c>
      <x:c r="M50" s="48" t="n">
        <x:f>M6</x:f>
        <x:v>1</x:v>
      </x:c>
      <x:c r="N50" s="48" t="n">
        <x:f>IF(F50=1,'04 Material Balance'!$G9*E50,0)</x:f>
        <x:v>700</x:v>
      </x:c>
      <x:c r="O50" s="48" t="n">
        <x:f>'02 Architectures'!$I9</x:f>
        <x:v>8750</x:v>
      </x:c>
      <x:c r="P50" s="37" t="str">
        <x:f>IF(N50&lt;=O50,"PASS","FAIL")</x:f>
        <x:v>PASS</x:v>
      </x:c>
      <x:c r="Q50" s="48" t="n">
        <x:f>IF(G50=1,'04 Material Balance'!$Q9*E50,0)</x:f>
        <x:v>0</x:v>
      </x:c>
      <x:c r="R50" s="48" t="n">
        <x:f>'02 Architectures'!$M9</x:f>
        <x:v>8.999999999999998</x:v>
      </x:c>
      <x:c r="S50" s="37" t="str">
        <x:f>IF(Q50&lt;=R50,"PASS","FAIL")</x:f>
        <x:v>PASS</x:v>
      </x:c>
      <x:c r="T50" s="41" t="n">
        <x:f>'02 Architectures'!$P9*H50</x:f>
        <x:v>2</x:v>
      </x:c>
      <x:c r="U50" s="41" t="n">
        <x:f>'04 Material Balance'!$U9</x:f>
        <x:v>1.75</x:v>
      </x:c>
      <x:c r="V50" s="37" t="str">
        <x:f>IF(T50&gt;=U50,"PASS","FAIL")</x:f>
        <x:v>PASS</x:v>
      </x:c>
      <x:c r="W50" s="37" t="str">
        <x:f>IF(OR(I50=0,'02 Architectures'!$S9=1),"PASS","FAIL")</x:f>
        <x:v>PASS</x:v>
      </x:c>
      <x:c r="X50" s="37" t="str">
        <x:f>IF(AND(J50=1,'02 Architectures'!$T9=1),"FAIL","PASS")</x:f>
        <x:v>PASS</x:v>
      </x:c>
      <x:c r="Y50" s="37" t="str">
        <x:f>IF(OR(K50=0,'02 Architectures'!$R9&gt;=1),"PASS","FAIL")</x:f>
        <x:v>PASS</x:v>
      </x:c>
      <x:c r="Z50" s="37" t="str">
        <x:f>IF(OR(L50=0,'02 Architectures'!$U9=1),"PASS","FAIL")</x:f>
        <x:v>PASS</x:v>
      </x:c>
      <x:c r="AA50" s="37" t="str">
        <x:f>IF(OR(M50=1,'02 Architectures'!$V9=1),"PASS","FAIL")</x:f>
        <x:v>PASS</x:v>
      </x:c>
      <x:c r="AB50" s="37" t="str">
        <x:f>IF(M50=0,AA50,IF(AND(P50="PASS",S50="PASS",V50="PASS",W50="PASS",X50="PASS",Y50="PASS",Z50="PASS"),"PASS","FAIL"))</x:f>
        <x:v>PASS</x:v>
      </x:c>
      <x:c r="AC50" s="38" t="n">
        <x:f>IF(AND(M50=1,AB50="PASS"),1,0)</x:f>
        <x:v>1</x:v>
      </x:c>
      <x:c r="AD50" s="37" t="str">
        <x:f>'02 Architectures'!$AH9</x:f>
        <x:v>DENIED</x:v>
      </x:c>
    </x:row>
    <x:row r="51" ht="26" customHeight="1">
      <x:c r="C51" s="37" t="str">
        <x:v>E4</x:v>
      </x:c>
      <x:c r="D51" s="37" t="str">
        <x:v>S2</x:v>
      </x:c>
      <x:c r="E51" s="48" t="n">
        <x:f>E7</x:f>
        <x:v>30</x:v>
      </x:c>
      <x:c r="F51" s="48" t="n">
        <x:f>F7</x:f>
        <x:v>0</x:v>
      </x:c>
      <x:c r="G51" s="48" t="n">
        <x:f>G7</x:f>
        <x:v>1</x:v>
      </x:c>
      <x:c r="H51" s="48" t="n">
        <x:f>H7</x:f>
        <x:v>1</x:v>
      </x:c>
      <x:c r="I51" s="48" t="n">
        <x:f>I7</x:f>
        <x:v>0</x:v>
      </x:c>
      <x:c r="J51" s="48" t="n">
        <x:f>J7</x:f>
        <x:v>0</x:v>
      </x:c>
      <x:c r="K51" s="48" t="n">
        <x:f>K7</x:f>
        <x:v>0</x:v>
      </x:c>
      <x:c r="L51" s="48" t="n">
        <x:f>L7</x:f>
        <x:v>0</x:v>
      </x:c>
      <x:c r="M51" s="48" t="n">
        <x:f>M7</x:f>
        <x:v>1</x:v>
      </x:c>
      <x:c r="N51" s="48" t="n">
        <x:f>IF(F51=1,'04 Material Balance'!$G9*E51,0)</x:f>
        <x:v>0</x:v>
      </x:c>
      <x:c r="O51" s="48" t="n">
        <x:f>'02 Architectures'!$I9</x:f>
        <x:v>8750</x:v>
      </x:c>
      <x:c r="P51" s="37" t="str">
        <x:f>IF(N51&lt;=O51,"PASS","FAIL")</x:f>
        <x:v>PASS</x:v>
      </x:c>
      <x:c r="Q51" s="48" t="n">
        <x:f>IF(G51=1,'04 Material Balance'!$Q9*E51,0)</x:f>
        <x:v>5.999999999999999</x:v>
      </x:c>
      <x:c r="R51" s="48" t="n">
        <x:f>'02 Architectures'!$M9</x:f>
        <x:v>8.999999999999998</x:v>
      </x:c>
      <x:c r="S51" s="37" t="str">
        <x:f>IF(Q51&lt;=R51,"PASS","FAIL")</x:f>
        <x:v>PASS</x:v>
      </x:c>
      <x:c r="T51" s="41" t="n">
        <x:f>'02 Architectures'!$P9*H51</x:f>
        <x:v>2</x:v>
      </x:c>
      <x:c r="U51" s="41" t="n">
        <x:f>'04 Material Balance'!$U9</x:f>
        <x:v>1.75</x:v>
      </x:c>
      <x:c r="V51" s="37" t="str">
        <x:f>IF(T51&gt;=U51,"PASS","FAIL")</x:f>
        <x:v>PASS</x:v>
      </x:c>
      <x:c r="W51" s="37" t="str">
        <x:f>IF(OR(I51=0,'02 Architectures'!$S9=1),"PASS","FAIL")</x:f>
        <x:v>PASS</x:v>
      </x:c>
      <x:c r="X51" s="37" t="str">
        <x:f>IF(AND(J51=1,'02 Architectures'!$T9=1),"FAIL","PASS")</x:f>
        <x:v>PASS</x:v>
      </x:c>
      <x:c r="Y51" s="37" t="str">
        <x:f>IF(OR(K51=0,'02 Architectures'!$R9&gt;=1),"PASS","FAIL")</x:f>
        <x:v>PASS</x:v>
      </x:c>
      <x:c r="Z51" s="37" t="str">
        <x:f>IF(OR(L51=0,'02 Architectures'!$U9=1),"PASS","FAIL")</x:f>
        <x:v>PASS</x:v>
      </x:c>
      <x:c r="AA51" s="37" t="str">
        <x:f>IF(OR(M51=1,'02 Architectures'!$V9=1),"PASS","FAIL")</x:f>
        <x:v>PASS</x:v>
      </x:c>
      <x:c r="AB51" s="37" t="str">
        <x:f>IF(M51=0,AA51,IF(AND(P51="PASS",S51="PASS",V51="PASS",W51="PASS",X51="PASS",Y51="PASS",Z51="PASS"),"PASS","FAIL"))</x:f>
        <x:v>PASS</x:v>
      </x:c>
      <x:c r="AC51" s="38" t="n">
        <x:f>IF(AND(M51=1,AB51="PASS"),1,0)</x:f>
        <x:v>1</x:v>
      </x:c>
      <x:c r="AD51" s="37" t="str">
        <x:f>'02 Architectures'!$AH9</x:f>
        <x:v>DENIED</x:v>
      </x:c>
    </x:row>
    <x:row r="52" ht="26" customHeight="1">
      <x:c r="C52" s="37" t="str">
        <x:v>E4</x:v>
      </x:c>
      <x:c r="D52" s="37" t="str">
        <x:v>S3</x:v>
      </x:c>
      <x:c r="E52" s="48" t="n">
        <x:f>E8</x:f>
        <x:v>30</x:v>
      </x:c>
      <x:c r="F52" s="48" t="n">
        <x:f>F8</x:f>
        <x:v>1</x:v>
      </x:c>
      <x:c r="G52" s="48" t="n">
        <x:f>G8</x:f>
        <x:v>1</x:v>
      </x:c>
      <x:c r="H52" s="48" t="n">
        <x:f>H8</x:f>
        <x:v>1</x:v>
      </x:c>
      <x:c r="I52" s="48" t="n">
        <x:f>I8</x:f>
        <x:v>0</x:v>
      </x:c>
      <x:c r="J52" s="48" t="n">
        <x:f>J8</x:f>
        <x:v>0</x:v>
      </x:c>
      <x:c r="K52" s="48" t="n">
        <x:f>K8</x:f>
        <x:v>0</x:v>
      </x:c>
      <x:c r="L52" s="48" t="n">
        <x:f>L8</x:f>
        <x:v>0</x:v>
      </x:c>
      <x:c r="M52" s="48" t="n">
        <x:f>M8</x:f>
        <x:v>1</x:v>
      </x:c>
      <x:c r="N52" s="48" t="n">
        <x:f>IF(F52=1,'04 Material Balance'!$G9*E52,0)</x:f>
        <x:v>1500</x:v>
      </x:c>
      <x:c r="O52" s="48" t="n">
        <x:f>'02 Architectures'!$I9</x:f>
        <x:v>8750</x:v>
      </x:c>
      <x:c r="P52" s="37" t="str">
        <x:f>IF(N52&lt;=O52,"PASS","FAIL")</x:f>
        <x:v>PASS</x:v>
      </x:c>
      <x:c r="Q52" s="48" t="n">
        <x:f>IF(G52=1,'04 Material Balance'!$Q9*E52,0)</x:f>
        <x:v>5.999999999999999</x:v>
      </x:c>
      <x:c r="R52" s="48" t="n">
        <x:f>'02 Architectures'!$M9</x:f>
        <x:v>8.999999999999998</x:v>
      </x:c>
      <x:c r="S52" s="37" t="str">
        <x:f>IF(Q52&lt;=R52,"PASS","FAIL")</x:f>
        <x:v>PASS</x:v>
      </x:c>
      <x:c r="T52" s="41" t="n">
        <x:f>'02 Architectures'!$P9*H52</x:f>
        <x:v>2</x:v>
      </x:c>
      <x:c r="U52" s="41" t="n">
        <x:f>'04 Material Balance'!$U9</x:f>
        <x:v>1.75</x:v>
      </x:c>
      <x:c r="V52" s="37" t="str">
        <x:f>IF(T52&gt;=U52,"PASS","FAIL")</x:f>
        <x:v>PASS</x:v>
      </x:c>
      <x:c r="W52" s="37" t="str">
        <x:f>IF(OR(I52=0,'02 Architectures'!$S9=1),"PASS","FAIL")</x:f>
        <x:v>PASS</x:v>
      </x:c>
      <x:c r="X52" s="37" t="str">
        <x:f>IF(AND(J52=1,'02 Architectures'!$T9=1),"FAIL","PASS")</x:f>
        <x:v>PASS</x:v>
      </x:c>
      <x:c r="Y52" s="37" t="str">
        <x:f>IF(OR(K52=0,'02 Architectures'!$R9&gt;=1),"PASS","FAIL")</x:f>
        <x:v>PASS</x:v>
      </x:c>
      <x:c r="Z52" s="37" t="str">
        <x:f>IF(OR(L52=0,'02 Architectures'!$U9=1),"PASS","FAIL")</x:f>
        <x:v>PASS</x:v>
      </x:c>
      <x:c r="AA52" s="37" t="str">
        <x:f>IF(OR(M52=1,'02 Architectures'!$V9=1),"PASS","FAIL")</x:f>
        <x:v>PASS</x:v>
      </x:c>
      <x:c r="AB52" s="37" t="str">
        <x:f>IF(M52=0,AA52,IF(AND(P52="PASS",S52="PASS",V52="PASS",W52="PASS",X52="PASS",Y52="PASS",Z52="PASS"),"PASS","FAIL"))</x:f>
        <x:v>PASS</x:v>
      </x:c>
      <x:c r="AC52" s="38" t="n">
        <x:f>IF(AND(M52=1,AB52="PASS"),1,0)</x:f>
        <x:v>1</x:v>
      </x:c>
      <x:c r="AD52" s="37" t="str">
        <x:f>'02 Architectures'!$AH9</x:f>
        <x:v>DENIED</x:v>
      </x:c>
    </x:row>
    <x:row r="53" ht="26" customHeight="1">
      <x:c r="C53" s="37" t="str">
        <x:v>E4</x:v>
      </x:c>
      <x:c r="D53" s="37" t="str">
        <x:v>S4</x:v>
      </x:c>
      <x:c r="E53" s="48" t="n">
        <x:f>E9</x:f>
        <x:v>3</x:v>
      </x:c>
      <x:c r="F53" s="48" t="n">
        <x:f>F9</x:f>
        <x:v>0</x:v>
      </x:c>
      <x:c r="G53" s="48" t="n">
        <x:f>G9</x:f>
        <x:v>0</x:v>
      </x:c>
      <x:c r="H53" s="48" t="n">
        <x:f>H9</x:f>
        <x:v>1</x:v>
      </x:c>
      <x:c r="I53" s="48" t="n">
        <x:f>I9</x:f>
        <x:v>0</x:v>
      </x:c>
      <x:c r="J53" s="48" t="n">
        <x:f>J9</x:f>
        <x:v>0</x:v>
      </x:c>
      <x:c r="K53" s="48" t="n">
        <x:f>K9</x:f>
        <x:v>0</x:v>
      </x:c>
      <x:c r="L53" s="48" t="n">
        <x:f>L9</x:f>
        <x:v>0</x:v>
      </x:c>
      <x:c r="M53" s="48" t="n">
        <x:f>M9</x:f>
        <x:v>0</x:v>
      </x:c>
      <x:c r="N53" s="48" t="n">
        <x:f>IF(F53=1,'04 Material Balance'!$G9*E53,0)</x:f>
        <x:v>0</x:v>
      </x:c>
      <x:c r="O53" s="48" t="n">
        <x:f>'02 Architectures'!$I9</x:f>
        <x:v>8750</x:v>
      </x:c>
      <x:c r="P53" s="37" t="str">
        <x:f>IF(N53&lt;=O53,"PASS","FAIL")</x:f>
        <x:v>PASS</x:v>
      </x:c>
      <x:c r="Q53" s="48" t="n">
        <x:f>IF(G53=1,'04 Material Balance'!$Q9*E53,0)</x:f>
        <x:v>0</x:v>
      </x:c>
      <x:c r="R53" s="48" t="n">
        <x:f>'02 Architectures'!$M9</x:f>
        <x:v>8.999999999999998</x:v>
      </x:c>
      <x:c r="S53" s="37" t="str">
        <x:f>IF(Q53&lt;=R53,"PASS","FAIL")</x:f>
        <x:v>PASS</x:v>
      </x:c>
      <x:c r="T53" s="41" t="n">
        <x:f>'02 Architectures'!$P9*H53</x:f>
        <x:v>2</x:v>
      </x:c>
      <x:c r="U53" s="41" t="n">
        <x:f>'04 Material Balance'!$U9</x:f>
        <x:v>1.75</x:v>
      </x:c>
      <x:c r="V53" s="37" t="str">
        <x:f>IF(T53&gt;=U53,"PASS","FAIL")</x:f>
        <x:v>PASS</x:v>
      </x:c>
      <x:c r="W53" s="37" t="str">
        <x:f>IF(OR(I53=0,'02 Architectures'!$S9=1),"PASS","FAIL")</x:f>
        <x:v>PASS</x:v>
      </x:c>
      <x:c r="X53" s="37" t="str">
        <x:f>IF(AND(J53=1,'02 Architectures'!$T9=1),"FAIL","PASS")</x:f>
        <x:v>PASS</x:v>
      </x:c>
      <x:c r="Y53" s="37" t="str">
        <x:f>IF(OR(K53=0,'02 Architectures'!$R9&gt;=1),"PASS","FAIL")</x:f>
        <x:v>PASS</x:v>
      </x:c>
      <x:c r="Z53" s="37" t="str">
        <x:f>IF(OR(L53=0,'02 Architectures'!$U9=1),"PASS","FAIL")</x:f>
        <x:v>PASS</x:v>
      </x:c>
      <x:c r="AA53" s="37" t="str">
        <x:f>IF(OR(M53=1,'02 Architectures'!$V9=1),"PASS","FAIL")</x:f>
        <x:v>PASS</x:v>
      </x:c>
      <x:c r="AB53" s="37" t="str">
        <x:f>IF(M53=0,AA53,IF(AND(P53="PASS",S53="PASS",V53="PASS",W53="PASS",X53="PASS",Y53="PASS",Z53="PASS"),"PASS","FAIL"))</x:f>
        <x:v>PASS</x:v>
      </x:c>
      <x:c r="AC53" s="38" t="n">
        <x:f>IF(AND(M53=1,AB53="PASS"),1,0)</x:f>
        <x:v>0</x:v>
      </x:c>
      <x:c r="AD53" s="37" t="str">
        <x:f>'02 Architectures'!$AH9</x:f>
        <x:v>DENIED</x:v>
      </x:c>
    </x:row>
    <x:row r="54" ht="26" customHeight="1">
      <x:c r="C54" s="37" t="str">
        <x:v>E4</x:v>
      </x:c>
      <x:c r="D54" s="37" t="str">
        <x:v>S5</x:v>
      </x:c>
      <x:c r="E54" s="48" t="n">
        <x:f>E10</x:f>
        <x:v>14</x:v>
      </x:c>
      <x:c r="F54" s="48" t="n">
        <x:f>F10</x:f>
        <x:v>0</x:v>
      </x:c>
      <x:c r="G54" s="48" t="n">
        <x:f>G10</x:f>
        <x:v>0</x:v>
      </x:c>
      <x:c r="H54" s="48" t="n">
        <x:f>H10</x:f>
        <x:v>1</x:v>
      </x:c>
      <x:c r="I54" s="48" t="n">
        <x:f>I10</x:f>
        <x:v>0</x:v>
      </x:c>
      <x:c r="J54" s="48" t="n">
        <x:f>J10</x:f>
        <x:v>0</x:v>
      </x:c>
      <x:c r="K54" s="48" t="n">
        <x:f>K10</x:f>
        <x:v>1</x:v>
      </x:c>
      <x:c r="L54" s="48" t="n">
        <x:f>L10</x:f>
        <x:v>0</x:v>
      </x:c>
      <x:c r="M54" s="48" t="n">
        <x:f>M10</x:f>
        <x:v>1</x:v>
      </x:c>
      <x:c r="N54" s="48" t="n">
        <x:f>IF(F54=1,'04 Material Balance'!$G9*E54,0)</x:f>
        <x:v>0</x:v>
      </x:c>
      <x:c r="O54" s="48" t="n">
        <x:f>'02 Architectures'!$I9</x:f>
        <x:v>8750</x:v>
      </x:c>
      <x:c r="P54" s="37" t="str">
        <x:f>IF(N54&lt;=O54,"PASS","FAIL")</x:f>
        <x:v>PASS</x:v>
      </x:c>
      <x:c r="Q54" s="48" t="n">
        <x:f>IF(G54=1,'04 Material Balance'!$Q9*E54,0)</x:f>
        <x:v>0</x:v>
      </x:c>
      <x:c r="R54" s="48" t="n">
        <x:f>'02 Architectures'!$M9</x:f>
        <x:v>8.999999999999998</x:v>
      </x:c>
      <x:c r="S54" s="37" t="str">
        <x:f>IF(Q54&lt;=R54,"PASS","FAIL")</x:f>
        <x:v>PASS</x:v>
      </x:c>
      <x:c r="T54" s="41" t="n">
        <x:f>'02 Architectures'!$P9*H54</x:f>
        <x:v>2</x:v>
      </x:c>
      <x:c r="U54" s="41" t="n">
        <x:f>'04 Material Balance'!$U9</x:f>
        <x:v>1.75</x:v>
      </x:c>
      <x:c r="V54" s="37" t="str">
        <x:f>IF(T54&gt;=U54,"PASS","FAIL")</x:f>
        <x:v>PASS</x:v>
      </x:c>
      <x:c r="W54" s="37" t="str">
        <x:f>IF(OR(I54=0,'02 Architectures'!$S9=1),"PASS","FAIL")</x:f>
        <x:v>PASS</x:v>
      </x:c>
      <x:c r="X54" s="37" t="str">
        <x:f>IF(AND(J54=1,'02 Architectures'!$T9=1),"FAIL","PASS")</x:f>
        <x:v>PASS</x:v>
      </x:c>
      <x:c r="Y54" s="37" t="str">
        <x:f>IF(OR(K54=0,'02 Architectures'!$R9&gt;=1),"PASS","FAIL")</x:f>
        <x:v>PASS</x:v>
      </x:c>
      <x:c r="Z54" s="37" t="str">
        <x:f>IF(OR(L54=0,'02 Architectures'!$U9=1),"PASS","FAIL")</x:f>
        <x:v>PASS</x:v>
      </x:c>
      <x:c r="AA54" s="37" t="str">
        <x:f>IF(OR(M54=1,'02 Architectures'!$V9=1),"PASS","FAIL")</x:f>
        <x:v>PASS</x:v>
      </x:c>
      <x:c r="AB54" s="37" t="str">
        <x:f>IF(M54=0,AA54,IF(AND(P54="PASS",S54="PASS",V54="PASS",W54="PASS",X54="PASS",Y54="PASS",Z54="PASS"),"PASS","FAIL"))</x:f>
        <x:v>PASS</x:v>
      </x:c>
      <x:c r="AC54" s="38" t="n">
        <x:f>IF(AND(M54=1,AB54="PASS"),1,0)</x:f>
        <x:v>1</x:v>
      </x:c>
      <x:c r="AD54" s="37" t="str">
        <x:f>'02 Architectures'!$AH9</x:f>
        <x:v>DENIED</x:v>
      </x:c>
    </x:row>
    <x:row r="55" ht="26" customHeight="1">
      <x:c r="C55" s="37" t="str">
        <x:v>E4</x:v>
      </x:c>
      <x:c r="D55" s="37" t="str">
        <x:v>S6</x:v>
      </x:c>
      <x:c r="E55" s="48" t="n">
        <x:f>E11</x:f>
        <x:v>14</x:v>
      </x:c>
      <x:c r="F55" s="48" t="n">
        <x:f>F11</x:f>
        <x:v>0</x:v>
      </x:c>
      <x:c r="G55" s="48" t="n">
        <x:f>G11</x:f>
        <x:v>0</x:v>
      </x:c>
      <x:c r="H55" s="48" t="n">
        <x:f>H11</x:f>
        <x:v>0.75</x:v>
      </x:c>
      <x:c r="I55" s="48" t="n">
        <x:f>I11</x:f>
        <x:v>0</x:v>
      </x:c>
      <x:c r="J55" s="48" t="n">
        <x:f>J11</x:f>
        <x:v>0</x:v>
      </x:c>
      <x:c r="K55" s="48" t="n">
        <x:f>K11</x:f>
        <x:v>0</x:v>
      </x:c>
      <x:c r="L55" s="48" t="n">
        <x:f>L11</x:f>
        <x:v>0</x:v>
      </x:c>
      <x:c r="M55" s="48" t="n">
        <x:f>M11</x:f>
        <x:v>1</x:v>
      </x:c>
      <x:c r="N55" s="48" t="n">
        <x:f>IF(F55=1,'04 Material Balance'!$G9*E55,0)</x:f>
        <x:v>0</x:v>
      </x:c>
      <x:c r="O55" s="48" t="n">
        <x:f>'02 Architectures'!$I9</x:f>
        <x:v>8750</x:v>
      </x:c>
      <x:c r="P55" s="37" t="str">
        <x:f>IF(N55&lt;=O55,"PASS","FAIL")</x:f>
        <x:v>PASS</x:v>
      </x:c>
      <x:c r="Q55" s="48" t="n">
        <x:f>IF(G55=1,'04 Material Balance'!$Q9*E55,0)</x:f>
        <x:v>0</x:v>
      </x:c>
      <x:c r="R55" s="48" t="n">
        <x:f>'02 Architectures'!$M9</x:f>
        <x:v>8.999999999999998</x:v>
      </x:c>
      <x:c r="S55" s="37" t="str">
        <x:f>IF(Q55&lt;=R55,"PASS","FAIL")</x:f>
        <x:v>PASS</x:v>
      </x:c>
      <x:c r="T55" s="41" t="n">
        <x:f>'02 Architectures'!$P9*H55</x:f>
        <x:v>1.5</x:v>
      </x:c>
      <x:c r="U55" s="41" t="n">
        <x:f>'04 Material Balance'!$U9</x:f>
        <x:v>1.75</x:v>
      </x:c>
      <x:c r="V55" s="37" t="str">
        <x:f>IF(T55&gt;=U55,"PASS","FAIL")</x:f>
        <x:v>FAIL</x:v>
      </x:c>
      <x:c r="W55" s="37" t="str">
        <x:f>IF(OR(I55=0,'02 Architectures'!$S9=1),"PASS","FAIL")</x:f>
        <x:v>PASS</x:v>
      </x:c>
      <x:c r="X55" s="37" t="str">
        <x:f>IF(AND(J55=1,'02 Architectures'!$T9=1),"FAIL","PASS")</x:f>
        <x:v>PASS</x:v>
      </x:c>
      <x:c r="Y55" s="37" t="str">
        <x:f>IF(OR(K55=0,'02 Architectures'!$R9&gt;=1),"PASS","FAIL")</x:f>
        <x:v>PASS</x:v>
      </x:c>
      <x:c r="Z55" s="37" t="str">
        <x:f>IF(OR(L55=0,'02 Architectures'!$U9=1),"PASS","FAIL")</x:f>
        <x:v>PASS</x:v>
      </x:c>
      <x:c r="AA55" s="37" t="str">
        <x:f>IF(OR(M55=1,'02 Architectures'!$V9=1),"PASS","FAIL")</x:f>
        <x:v>PASS</x:v>
      </x:c>
      <x:c r="AB55" s="37" t="str">
        <x:f>IF(M55=0,AA55,IF(AND(P55="PASS",S55="PASS",V55="PASS",W55="PASS",X55="PASS",Y55="PASS",Z55="PASS"),"PASS","FAIL"))</x:f>
        <x:v>FAIL</x:v>
      </x:c>
      <x:c r="AC55" s="38" t="n">
        <x:f>IF(AND(M55=1,AB55="PASS"),1,0)</x:f>
        <x:v>0</x:v>
      </x:c>
      <x:c r="AD55" s="37" t="str">
        <x:f>'02 Architectures'!$AH9</x:f>
        <x:v>DENIED</x:v>
      </x:c>
    </x:row>
    <x:row r="56" ht="26" customHeight="1">
      <x:c r="C56" s="37" t="str">
        <x:v>E4</x:v>
      </x:c>
      <x:c r="D56" s="37" t="str">
        <x:v>S7</x:v>
      </x:c>
      <x:c r="E56" s="48" t="n">
        <x:f>E12</x:f>
        <x:v>14</x:v>
      </x:c>
      <x:c r="F56" s="48" t="n">
        <x:f>F12</x:f>
        <x:v>1</x:v>
      </x:c>
      <x:c r="G56" s="48" t="n">
        <x:f>G12</x:f>
        <x:v>0</x:v>
      </x:c>
      <x:c r="H56" s="48" t="n">
        <x:f>H12</x:f>
        <x:v>1</x:v>
      </x:c>
      <x:c r="I56" s="48" t="n">
        <x:f>I12</x:f>
        <x:v>0</x:v>
      </x:c>
      <x:c r="J56" s="48" t="n">
        <x:f>J12</x:f>
        <x:v>0</x:v>
      </x:c>
      <x:c r="K56" s="48" t="n">
        <x:f>K12</x:f>
        <x:v>0</x:v>
      </x:c>
      <x:c r="L56" s="48" t="n">
        <x:f>L12</x:f>
        <x:v>0</x:v>
      </x:c>
      <x:c r="M56" s="48" t="n">
        <x:f>M12</x:f>
        <x:v>1</x:v>
      </x:c>
      <x:c r="N56" s="48" t="n">
        <x:f>IF(F56=1,'04 Material Balance'!$G9*E56,0)</x:f>
        <x:v>700</x:v>
      </x:c>
      <x:c r="O56" s="48" t="n">
        <x:f>'02 Architectures'!$I9</x:f>
        <x:v>8750</x:v>
      </x:c>
      <x:c r="P56" s="37" t="str">
        <x:f>IF(N56&lt;=O56,"PASS","FAIL")</x:f>
        <x:v>PASS</x:v>
      </x:c>
      <x:c r="Q56" s="48" t="n">
        <x:f>IF(G56=1,'04 Material Balance'!$Q9*E56,0)</x:f>
        <x:v>0</x:v>
      </x:c>
      <x:c r="R56" s="48" t="n">
        <x:f>'02 Architectures'!$M9</x:f>
        <x:v>8.999999999999998</x:v>
      </x:c>
      <x:c r="S56" s="37" t="str">
        <x:f>IF(Q56&lt;=R56,"PASS","FAIL")</x:f>
        <x:v>PASS</x:v>
      </x:c>
      <x:c r="T56" s="41" t="n">
        <x:f>'02 Architectures'!$P9*H56</x:f>
        <x:v>2</x:v>
      </x:c>
      <x:c r="U56" s="41" t="n">
        <x:f>'04 Material Balance'!$U9</x:f>
        <x:v>1.75</x:v>
      </x:c>
      <x:c r="V56" s="37" t="str">
        <x:f>IF(T56&gt;=U56,"PASS","FAIL")</x:f>
        <x:v>PASS</x:v>
      </x:c>
      <x:c r="W56" s="37" t="str">
        <x:f>IF(OR(I56=0,'02 Architectures'!$S9=1),"PASS","FAIL")</x:f>
        <x:v>PASS</x:v>
      </x:c>
      <x:c r="X56" s="37" t="str">
        <x:f>IF(AND(J56=1,'02 Architectures'!$T9=1),"FAIL","PASS")</x:f>
        <x:v>PASS</x:v>
      </x:c>
      <x:c r="Y56" s="37" t="str">
        <x:f>IF(OR(K56=0,'02 Architectures'!$R9&gt;=1),"PASS","FAIL")</x:f>
        <x:v>PASS</x:v>
      </x:c>
      <x:c r="Z56" s="37" t="str">
        <x:f>IF(OR(L56=0,'02 Architectures'!$U9=1),"PASS","FAIL")</x:f>
        <x:v>PASS</x:v>
      </x:c>
      <x:c r="AA56" s="37" t="str">
        <x:f>IF(OR(M56=1,'02 Architectures'!$V9=1),"PASS","FAIL")</x:f>
        <x:v>PASS</x:v>
      </x:c>
      <x:c r="AB56" s="37" t="str">
        <x:f>IF(M56=0,AA56,IF(AND(P56="PASS",S56="PASS",V56="PASS",W56="PASS",X56="PASS",Y56="PASS",Z56="PASS"),"PASS","FAIL"))</x:f>
        <x:v>PASS</x:v>
      </x:c>
      <x:c r="AC56" s="38" t="n">
        <x:f>IF(AND(M56=1,AB56="PASS"),1,0)</x:f>
        <x:v>1</x:v>
      </x:c>
      <x:c r="AD56" s="37" t="str">
        <x:f>'02 Architectures'!$AH9</x:f>
        <x:v>DENIED</x:v>
      </x:c>
    </x:row>
    <x:row r="57" ht="26" customHeight="1">
      <x:c r="C57" s="37" t="str">
        <x:v>E4</x:v>
      </x:c>
      <x:c r="D57" s="37" t="str">
        <x:v>S8</x:v>
      </x:c>
      <x:c r="E57" s="48" t="n">
        <x:f>E13</x:f>
        <x:v>30</x:v>
      </x:c>
      <x:c r="F57" s="48" t="n">
        <x:f>F13</x:f>
        <x:v>0</x:v>
      </x:c>
      <x:c r="G57" s="48" t="n">
        <x:f>G13</x:f>
        <x:v>0</x:v>
      </x:c>
      <x:c r="H57" s="48" t="n">
        <x:f>H13</x:f>
        <x:v>1</x:v>
      </x:c>
      <x:c r="I57" s="48" t="n">
        <x:f>I13</x:f>
        <x:v>1</x:v>
      </x:c>
      <x:c r="J57" s="48" t="n">
        <x:f>J13</x:f>
        <x:v>0</x:v>
      </x:c>
      <x:c r="K57" s="48" t="n">
        <x:f>K13</x:f>
        <x:v>0</x:v>
      </x:c>
      <x:c r="L57" s="48" t="n">
        <x:f>L13</x:f>
        <x:v>0</x:v>
      </x:c>
      <x:c r="M57" s="48" t="n">
        <x:f>M13</x:f>
        <x:v>1</x:v>
      </x:c>
      <x:c r="N57" s="48" t="n">
        <x:f>IF(F57=1,'04 Material Balance'!$G9*E57,0)</x:f>
        <x:v>0</x:v>
      </x:c>
      <x:c r="O57" s="48" t="n">
        <x:f>'02 Architectures'!$I9</x:f>
        <x:v>8750</x:v>
      </x:c>
      <x:c r="P57" s="37" t="str">
        <x:f>IF(N57&lt;=O57,"PASS","FAIL")</x:f>
        <x:v>PASS</x:v>
      </x:c>
      <x:c r="Q57" s="48" t="n">
        <x:f>IF(G57=1,'04 Material Balance'!$Q9*E57,0)</x:f>
        <x:v>0</x:v>
      </x:c>
      <x:c r="R57" s="48" t="n">
        <x:f>'02 Architectures'!$M9</x:f>
        <x:v>8.999999999999998</x:v>
      </x:c>
      <x:c r="S57" s="37" t="str">
        <x:f>IF(Q57&lt;=R57,"PASS","FAIL")</x:f>
        <x:v>PASS</x:v>
      </x:c>
      <x:c r="T57" s="41" t="n">
        <x:f>'02 Architectures'!$P9*H57</x:f>
        <x:v>2</x:v>
      </x:c>
      <x:c r="U57" s="41" t="n">
        <x:f>'04 Material Balance'!$U9</x:f>
        <x:v>1.75</x:v>
      </x:c>
      <x:c r="V57" s="37" t="str">
        <x:f>IF(T57&gt;=U57,"PASS","FAIL")</x:f>
        <x:v>PASS</x:v>
      </x:c>
      <x:c r="W57" s="37" t="str">
        <x:f>IF(OR(I57=0,'02 Architectures'!$S9=1),"PASS","FAIL")</x:f>
        <x:v>FAIL</x:v>
      </x:c>
      <x:c r="X57" s="37" t="str">
        <x:f>IF(AND(J57=1,'02 Architectures'!$T9=1),"FAIL","PASS")</x:f>
        <x:v>PASS</x:v>
      </x:c>
      <x:c r="Y57" s="37" t="str">
        <x:f>IF(OR(K57=0,'02 Architectures'!$R9&gt;=1),"PASS","FAIL")</x:f>
        <x:v>PASS</x:v>
      </x:c>
      <x:c r="Z57" s="37" t="str">
        <x:f>IF(OR(L57=0,'02 Architectures'!$U9=1),"PASS","FAIL")</x:f>
        <x:v>PASS</x:v>
      </x:c>
      <x:c r="AA57" s="37" t="str">
        <x:f>IF(OR(M57=1,'02 Architectures'!$V9=1),"PASS","FAIL")</x:f>
        <x:v>PASS</x:v>
      </x:c>
      <x:c r="AB57" s="37" t="str">
        <x:f>IF(M57=0,AA57,IF(AND(P57="PASS",S57="PASS",V57="PASS",W57="PASS",X57="PASS",Y57="PASS",Z57="PASS"),"PASS","FAIL"))</x:f>
        <x:v>FAIL</x:v>
      </x:c>
      <x:c r="AC57" s="38" t="n">
        <x:f>IF(AND(M57=1,AB57="PASS"),1,0)</x:f>
        <x:v>0</x:v>
      </x:c>
      <x:c r="AD57" s="37" t="str">
        <x:f>'02 Architectures'!$AH9</x:f>
        <x:v>DENIED</x:v>
      </x:c>
    </x:row>
    <x:row r="58" ht="26" customHeight="1">
      <x:c r="C58" s="37" t="str">
        <x:v>E4</x:v>
      </x:c>
      <x:c r="D58" s="37" t="str">
        <x:v>S9</x:v>
      </x:c>
      <x:c r="E58" s="48" t="n">
        <x:f>E14</x:f>
        <x:v>14</x:v>
      </x:c>
      <x:c r="F58" s="48" t="n">
        <x:f>F14</x:f>
        <x:v>0</x:v>
      </x:c>
      <x:c r="G58" s="48" t="n">
        <x:f>G14</x:f>
        <x:v>0</x:v>
      </x:c>
      <x:c r="H58" s="48" t="n">
        <x:f>H14</x:f>
        <x:v>1</x:v>
      </x:c>
      <x:c r="I58" s="48" t="n">
        <x:f>I14</x:f>
        <x:v>0</x:v>
      </x:c>
      <x:c r="J58" s="48" t="n">
        <x:f>J14</x:f>
        <x:v>1</x:v>
      </x:c>
      <x:c r="K58" s="48" t="n">
        <x:f>K14</x:f>
        <x:v>0</x:v>
      </x:c>
      <x:c r="L58" s="48" t="n">
        <x:f>L14</x:f>
        <x:v>0</x:v>
      </x:c>
      <x:c r="M58" s="48" t="n">
        <x:f>M14</x:f>
        <x:v>1</x:v>
      </x:c>
      <x:c r="N58" s="48" t="n">
        <x:f>IF(F58=1,'04 Material Balance'!$G9*E58,0)</x:f>
        <x:v>0</x:v>
      </x:c>
      <x:c r="O58" s="48" t="n">
        <x:f>'02 Architectures'!$I9</x:f>
        <x:v>8750</x:v>
      </x:c>
      <x:c r="P58" s="37" t="str">
        <x:f>IF(N58&lt;=O58,"PASS","FAIL")</x:f>
        <x:v>PASS</x:v>
      </x:c>
      <x:c r="Q58" s="48" t="n">
        <x:f>IF(G58=1,'04 Material Balance'!$Q9*E58,0)</x:f>
        <x:v>0</x:v>
      </x:c>
      <x:c r="R58" s="48" t="n">
        <x:f>'02 Architectures'!$M9</x:f>
        <x:v>8.999999999999998</x:v>
      </x:c>
      <x:c r="S58" s="37" t="str">
        <x:f>IF(Q58&lt;=R58,"PASS","FAIL")</x:f>
        <x:v>PASS</x:v>
      </x:c>
      <x:c r="T58" s="41" t="n">
        <x:f>'02 Architectures'!$P9*H58</x:f>
        <x:v>2</x:v>
      </x:c>
      <x:c r="U58" s="41" t="n">
        <x:f>'04 Material Balance'!$U9</x:f>
        <x:v>1.75</x:v>
      </x:c>
      <x:c r="V58" s="37" t="str">
        <x:f>IF(T58&gt;=U58,"PASS","FAIL")</x:f>
        <x:v>PASS</x:v>
      </x:c>
      <x:c r="W58" s="37" t="str">
        <x:f>IF(OR(I58=0,'02 Architectures'!$S9=1),"PASS","FAIL")</x:f>
        <x:v>PASS</x:v>
      </x:c>
      <x:c r="X58" s="37" t="str">
        <x:f>IF(AND(J58=1,'02 Architectures'!$T9=1),"FAIL","PASS")</x:f>
        <x:v>PASS</x:v>
      </x:c>
      <x:c r="Y58" s="37" t="str">
        <x:f>IF(OR(K58=0,'02 Architectures'!$R9&gt;=1),"PASS","FAIL")</x:f>
        <x:v>PASS</x:v>
      </x:c>
      <x:c r="Z58" s="37" t="str">
        <x:f>IF(OR(L58=0,'02 Architectures'!$U9=1),"PASS","FAIL")</x:f>
        <x:v>PASS</x:v>
      </x:c>
      <x:c r="AA58" s="37" t="str">
        <x:f>IF(OR(M58=1,'02 Architectures'!$V9=1),"PASS","FAIL")</x:f>
        <x:v>PASS</x:v>
      </x:c>
      <x:c r="AB58" s="37" t="str">
        <x:f>IF(M58=0,AA58,IF(AND(P58="PASS",S58="PASS",V58="PASS",W58="PASS",X58="PASS",Y58="PASS",Z58="PASS"),"PASS","FAIL"))</x:f>
        <x:v>PASS</x:v>
      </x:c>
      <x:c r="AC58" s="38" t="n">
        <x:f>IF(AND(M58=1,AB58="PASS"),1,0)</x:f>
        <x:v>1</x:v>
      </x:c>
      <x:c r="AD58" s="37" t="str">
        <x:f>'02 Architectures'!$AH9</x:f>
        <x:v>DENIED</x:v>
      </x:c>
    </x:row>
    <x:row r="59" ht="26" customHeight="1">
      <x:c r="C59" s="37" t="str">
        <x:v>E4</x:v>
      </x:c>
      <x:c r="D59" s="37" t="str">
        <x:v>S10</x:v>
      </x:c>
      <x:c r="E59" s="48" t="n">
        <x:f>E15</x:f>
        <x:v>14</x:v>
      </x:c>
      <x:c r="F59" s="48" t="n">
        <x:f>F15</x:f>
        <x:v>1</x:v>
      </x:c>
      <x:c r="G59" s="48" t="n">
        <x:f>G15</x:f>
        <x:v>0</x:v>
      </x:c>
      <x:c r="H59" s="48" t="n">
        <x:f>H15</x:f>
        <x:v>1</x:v>
      </x:c>
      <x:c r="I59" s="48" t="n">
        <x:f>I15</x:f>
        <x:v>0</x:v>
      </x:c>
      <x:c r="J59" s="48" t="n">
        <x:f>J15</x:f>
        <x:v>0</x:v>
      </x:c>
      <x:c r="K59" s="48" t="n">
        <x:f>K15</x:f>
        <x:v>0</x:v>
      </x:c>
      <x:c r="L59" s="48" t="n">
        <x:f>L15</x:f>
        <x:v>1</x:v>
      </x:c>
      <x:c r="M59" s="48" t="n">
        <x:f>M15</x:f>
        <x:v>1</x:v>
      </x:c>
      <x:c r="N59" s="48" t="n">
        <x:f>IF(F59=1,'04 Material Balance'!$G9*E59,0)</x:f>
        <x:v>700</x:v>
      </x:c>
      <x:c r="O59" s="48" t="n">
        <x:f>'02 Architectures'!$I9</x:f>
        <x:v>8750</x:v>
      </x:c>
      <x:c r="P59" s="37" t="str">
        <x:f>IF(N59&lt;=O59,"PASS","FAIL")</x:f>
        <x:v>PASS</x:v>
      </x:c>
      <x:c r="Q59" s="48" t="n">
        <x:f>IF(G59=1,'04 Material Balance'!$Q9*E59,0)</x:f>
        <x:v>0</x:v>
      </x:c>
      <x:c r="R59" s="48" t="n">
        <x:f>'02 Architectures'!$M9</x:f>
        <x:v>8.999999999999998</x:v>
      </x:c>
      <x:c r="S59" s="37" t="str">
        <x:f>IF(Q59&lt;=R59,"PASS","FAIL")</x:f>
        <x:v>PASS</x:v>
      </x:c>
      <x:c r="T59" s="41" t="n">
        <x:f>'02 Architectures'!$P9*H59</x:f>
        <x:v>2</x:v>
      </x:c>
      <x:c r="U59" s="41" t="n">
        <x:f>'04 Material Balance'!$U9</x:f>
        <x:v>1.75</x:v>
      </x:c>
      <x:c r="V59" s="37" t="str">
        <x:f>IF(T59&gt;=U59,"PASS","FAIL")</x:f>
        <x:v>PASS</x:v>
      </x:c>
      <x:c r="W59" s="37" t="str">
        <x:f>IF(OR(I59=0,'02 Architectures'!$S9=1),"PASS","FAIL")</x:f>
        <x:v>PASS</x:v>
      </x:c>
      <x:c r="X59" s="37" t="str">
        <x:f>IF(AND(J59=1,'02 Architectures'!$T9=1),"FAIL","PASS")</x:f>
        <x:v>PASS</x:v>
      </x:c>
      <x:c r="Y59" s="37" t="str">
        <x:f>IF(OR(K59=0,'02 Architectures'!$R9&gt;=1),"PASS","FAIL")</x:f>
        <x:v>PASS</x:v>
      </x:c>
      <x:c r="Z59" s="37" t="str">
        <x:f>IF(OR(L59=0,'02 Architectures'!$U9=1),"PASS","FAIL")</x:f>
        <x:v>PASS</x:v>
      </x:c>
      <x:c r="AA59" s="37" t="str">
        <x:f>IF(OR(M59=1,'02 Architectures'!$V9=1),"PASS","FAIL")</x:f>
        <x:v>PASS</x:v>
      </x:c>
      <x:c r="AB59" s="37" t="str">
        <x:f>IF(M59=0,AA59,IF(AND(P59="PASS",S59="PASS",V59="PASS",W59="PASS",X59="PASS",Y59="PASS",Z59="PASS"),"PASS","FAIL"))</x:f>
        <x:v>PASS</x:v>
      </x:c>
      <x:c r="AC59" s="38" t="n">
        <x:f>IF(AND(M59=1,AB59="PASS"),1,0)</x:f>
        <x:v>1</x:v>
      </x:c>
      <x:c r="AD59" s="37" t="str">
        <x:f>'02 Architectures'!$AH9</x:f>
        <x:v>DENIED</x:v>
      </x:c>
    </x:row>
  </x:sheetData>
  <x:conditionalFormatting sqref="P20:AD59">
    <x:cfRule type="containsText" dxfId="21" priority="1" operator="containsText" text="FAIL"/>
    <x:cfRule type="containsText" dxfId="22" priority="2" operator="containsText" text="DENIED"/>
    <x:cfRule type="containsText" dxfId="23" priority="3" operator="containsText" text="BLOCKED"/>
    <x:cfRule type="containsText" dxfId="24" priority="4" operator="containsText" text="OPEN"/>
    <x:cfRule type="containsText" dxfId="25" priority="5" operator="containsText" text="UNTESTED"/>
    <x:cfRule type="containsText" dxfId="26" priority="6" operator="containsText" text="DECLARED"/>
    <x:cfRule type="containsText" dxfId="27" priority="7" operator="containsText" text="PASS"/>
  </x:conditionalFormatting>
  <x:pageMargins left="0.7" right="0.7" top="0.75" bottom="0.75" header="0.3" footer="0.3"/>
  <x:tableParts count="2">
    <x:tablePart xmlns:r="http://schemas.openxmlformats.org/officeDocument/2006/relationships" r:id="R8eadbab5da0d4187"/>
    <x:tablePart xmlns:r="http://schemas.openxmlformats.org/officeDocument/2006/relationships" r:id="R38d1e91ac5654b41"/>
  </x:tableParts>
</x:worksheet>
</file>

<file path=xl/worksheets/sheet5.xml><?xml version="1.0" encoding="utf-8"?>
<x:worksheet xmlns:x="http://schemas.openxmlformats.org/spreadsheetml/2006/main">
  <x:sheetPr>
    <x:tabColor rgb="FFCBD5D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8" hidden="0" customWidth="1"/>
    <x:col min="4" max="4" width="20" hidden="0" customWidth="1"/>
    <x:col min="5" max="5" width="20" hidden="0" customWidth="1"/>
    <x:col min="6" max="6" width="22" hidden="0" customWidth="1"/>
    <x:col min="7" max="7" width="22" hidden="0" customWidth="1"/>
    <x:col min="8" max="8" width="20" hidden="0" customWidth="1"/>
    <x:col min="9" max="9" width="20" hidden="0" customWidth="1"/>
    <x:col min="10" max="10" width="20" hidden="0" customWidth="1"/>
    <x:col min="11" max="11" width="23" hidden="0" customWidth="1"/>
    <x:col min="12" max="12" width="23" hidden="0" customWidth="1"/>
    <x:col min="13" max="13" width="20" hidden="0" customWidth="1"/>
    <x:col min="14" max="14" width="19" hidden="0" customWidth="1"/>
    <x:col min="15" max="15" width="19" hidden="0" customWidth="1"/>
    <x:col min="16" max="16" width="18" hidden="0" customWidth="1"/>
    <x:col min="17" max="17" width="19" hidden="0" customWidth="1"/>
    <x:col min="18" max="18" width="22" hidden="0" customWidth="1"/>
    <x:col min="19" max="19" width="20" hidden="0" customWidth="1"/>
    <x:col min="20" max="20" width="22" hidden="0" customWidth="1"/>
    <x:col min="21" max="21" width="18" hidden="0" customWidth="1"/>
    <x:col min="22" max="22" width="22" hidden="0" customWidth="1"/>
  </x:cols>
  <x:sheetData>
    <x:row r="2">
      <x:c r="C2" s="33" t="str">
        <x:v>Material and energy balance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</x:row>
    <x:row r="3">
      <x:c r="C3" s="35" t="str">
        <x:v>The calculation keeps potable service, use-specific service, liquid residual, solid residual, consumables and power as separate physical accounts.</x:v>
      </x:c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</x:row>
    <x:row r="4"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  <x:c r="R4" s="36"/>
      <x:c r="S4" s="36"/>
      <x:c r="T4" s="36"/>
      <x:c r="U4" s="36"/>
      <x:c r="V4" s="36"/>
    </x:row>
    <x:row r="5">
      <x:c r="C5" s="9" t="str">
        <x:v>ID</x:v>
      </x:c>
      <x:c r="D5" s="9" t="str">
        <x:v>Total service m³/day</x:v>
      </x:c>
      <x:c r="E5" s="9" t="str">
        <x:v>High-grade m³/day</x:v>
      </x:c>
      <x:c r="F5" s="9" t="str">
        <x:v>Use-specific m³/day</x:v>
      </x:c>
      <x:c r="G5" s="9" t="str">
        <x:v>Liquid residual m³/day</x:v>
      </x:c>
      <x:c r="H5" s="9" t="str">
        <x:v>14-day liquid m³</x:v>
      </x:c>
      <x:c r="I5" s="9" t="str">
        <x:v>30-day liquid m³</x:v>
      </x:c>
      <x:c r="J5" s="9" t="str">
        <x:v>Liquid custody m³</x:v>
      </x:c>
      <x:c r="K5" s="9" t="str">
        <x:v>14-day liquid margin m³</x:v>
      </x:c>
      <x:c r="L5" s="9" t="str">
        <x:v>30-day liquid margin m³</x:v>
      </x:c>
      <x:c r="M5" s="9" t="str">
        <x:v>Solid residual t/day</x:v>
      </x:c>
      <x:c r="N5" s="9" t="str">
        <x:v>14-day solids t</x:v>
      </x:c>
      <x:c r="O5" s="9" t="str">
        <x:v>30-day solids t</x:v>
      </x:c>
      <x:c r="P5" s="9" t="str">
        <x:v>Solid custody t</x:v>
      </x:c>
      <x:c r="Q5" s="9" t="str">
        <x:v>Consumables t/day</x:v>
      </x:c>
      <x:c r="R5" s="9" t="str">
        <x:v>30-day consumables t</x:v>
      </x:c>
      <x:c r="S5" s="9" t="str">
        <x:v>Consumable stock t</x:v>
      </x:c>
      <x:c r="T5" s="9" t="str">
        <x:v>30-day stock margin t</x:v>
      </x:c>
      <x:c r="U5" s="9" t="str">
        <x:v>Total critical MW</x:v>
      </x:c>
      <x:c r="V5" s="9" t="str">
        <x:v>Installed-power margin MW</x:v>
      </x:c>
    </x:row>
    <x:row r="6" ht="43" customHeight="1">
      <x:c r="C6" s="37" t="str">
        <x:v>E1</x:v>
      </x:c>
      <x:c r="D6" s="48" t="n">
        <x:f>'02 Architectures'!F6+'02 Architectures'!G6</x:f>
        <x:v>5000</x:v>
      </x:c>
      <x:c r="E6" s="48" t="n">
        <x:f>'02 Architectures'!F6</x:f>
        <x:v>5000</x:v>
      </x:c>
      <x:c r="F6" s="48" t="n">
        <x:f>'02 Architectures'!G6</x:f>
        <x:v>0</x:v>
      </x:c>
      <x:c r="G6" s="48" t="n">
        <x:f>D6*'02 Architectures'!H6</x:f>
        <x:v>1250</x:v>
      </x:c>
      <x:c r="H6" s="48" t="n">
        <x:f>G6*'01 Controls'!$D$7</x:f>
        <x:v>17500</x:v>
      </x:c>
      <x:c r="I6" s="48" t="n">
        <x:f>G6*'01 Controls'!$D$8</x:f>
        <x:v>37500</x:v>
      </x:c>
      <x:c r="J6" s="48" t="n">
        <x:f>'02 Architectures'!I6</x:f>
        <x:v>17500</x:v>
      </x:c>
      <x:c r="K6" s="48" t="n">
        <x:f>J6-H6</x:f>
        <x:v>0</x:v>
      </x:c>
      <x:c r="L6" s="48" t="n">
        <x:f>J6-I6</x:f>
        <x:v>-20000</x:v>
      </x:c>
      <x:c r="M6" s="48" t="n">
        <x:f>'02 Architectures'!J6</x:f>
        <x:v>0.05</x:v>
      </x:c>
      <x:c r="N6" s="48" t="n">
        <x:f>M6*'01 Controls'!$D$7</x:f>
        <x:v>0.7000000000000001</x:v>
      </x:c>
      <x:c r="O6" s="48" t="n">
        <x:f>M6*'01 Controls'!$D$8</x:f>
        <x:v>1.5</x:v>
      </x:c>
      <x:c r="P6" s="48" t="n">
        <x:f>'02 Architectures'!K6</x:f>
        <x:v>5</x:v>
      </x:c>
      <x:c r="Q6" s="48" t="n">
        <x:f>D6*'02 Architectures'!L6/1000</x:f>
        <x:v>2</x:v>
      </x:c>
      <x:c r="R6" s="48" t="n">
        <x:f>Q6*'01 Controls'!$D$8</x:f>
        <x:v>60</x:v>
      </x:c>
      <x:c r="S6" s="48" t="n">
        <x:f>'02 Architectures'!M6</x:f>
        <x:v>60</x:v>
      </x:c>
      <x:c r="T6" s="48" t="n">
        <x:f>ROUND(S6-R6,6)</x:f>
        <x:v>0</x:v>
      </x:c>
      <x:c r="U6" s="48" t="n">
        <x:f>'01 Controls'!$D$6*('01 Controls'!$D$13+'02 Architectures'!N6)/24/1000+'01 Controls'!$D$14+'02 Architectures'!O6</x:f>
        <x:v>1.125</x:v>
      </x:c>
      <x:c r="V6" s="48" t="n">
        <x:f>'02 Architectures'!P6-U6</x:f>
        <x:v>0.875</x:v>
      </x:c>
    </x:row>
    <x:row r="7" ht="43" customHeight="1">
      <x:c r="C7" s="37" t="str">
        <x:v>E2</x:v>
      </x:c>
      <x:c r="D7" s="48" t="n">
        <x:f>'02 Architectures'!F7+'02 Architectures'!G7</x:f>
        <x:v>5000</x:v>
      </x:c>
      <x:c r="E7" s="48" t="n">
        <x:f>'02 Architectures'!F7</x:f>
        <x:v>5000</x:v>
      </x:c>
      <x:c r="F7" s="48" t="n">
        <x:f>'02 Architectures'!G7</x:f>
        <x:v>0</x:v>
      </x:c>
      <x:c r="G7" s="48" t="n">
        <x:f>D7*'02 Architectures'!H7</x:f>
        <x:v>187.50000000000003</x:v>
      </x:c>
      <x:c r="H7" s="48" t="n">
        <x:f>G7*'01 Controls'!$D$7</x:f>
        <x:v>2625.0000000000005</x:v>
      </x:c>
      <x:c r="I7" s="48" t="n">
        <x:f>G7*'01 Controls'!$D$8</x:f>
        <x:v>5625.000000000001</x:v>
      </x:c>
      <x:c r="J7" s="48" t="n">
        <x:f>'02 Architectures'!I7</x:f>
        <x:v>8750</x:v>
      </x:c>
      <x:c r="K7" s="48" t="n">
        <x:f>J7-H7</x:f>
        <x:v>6125</x:v>
      </x:c>
      <x:c r="L7" s="48" t="n">
        <x:f>J7-I7</x:f>
        <x:v>3124.999999999999</x:v>
      </x:c>
      <x:c r="M7" s="48" t="n">
        <x:f>'02 Architectures'!J7</x:f>
        <x:v>5</x:v>
      </x:c>
      <x:c r="N7" s="48" t="n">
        <x:f>M7*'01 Controls'!$D$7</x:f>
        <x:v>70</x:v>
      </x:c>
      <x:c r="O7" s="48" t="n">
        <x:f>M7*'01 Controls'!$D$8</x:f>
        <x:v>150</x:v>
      </x:c>
      <x:c r="P7" s="48" t="n">
        <x:f>'02 Architectures'!K7</x:f>
        <x:v>150</x:v>
      </x:c>
      <x:c r="Q7" s="48" t="n">
        <x:f>D7*'02 Architectures'!L7/1000</x:f>
        <x:v>0.39999999999999997</x:v>
      </x:c>
      <x:c r="R7" s="48" t="n">
        <x:f>Q7*'01 Controls'!$D$8</x:f>
        <x:v>11.999999999999998</x:v>
      </x:c>
      <x:c r="S7" s="48" t="n">
        <x:f>'02 Architectures'!M7</x:f>
        <x:v>11.999999999999998</x:v>
      </x:c>
      <x:c r="T7" s="48" t="n">
        <x:f>ROUND(S7-R7,6)</x:f>
        <x:v>0</x:v>
      </x:c>
      <x:c r="U7" s="48" t="n">
        <x:f>'01 Controls'!$D$6*('01 Controls'!$D$13+'02 Architectures'!N7)/24/1000+'01 Controls'!$D$14+'02 Architectures'!O7</x:f>
        <x:v>1.5750000000000002</x:v>
      </x:c>
      <x:c r="V7" s="48" t="n">
        <x:f>'02 Architectures'!P7-U7</x:f>
        <x:v>0.4249999999999998</x:v>
      </x:c>
    </x:row>
    <x:row r="8" ht="43" customHeight="1">
      <x:c r="C8" s="37" t="str">
        <x:v>E3</x:v>
      </x:c>
      <x:c r="D8" s="48" t="n">
        <x:f>'02 Architectures'!F8+'02 Architectures'!G8</x:f>
        <x:v>5000</x:v>
      </x:c>
      <x:c r="E8" s="48" t="n">
        <x:f>'02 Architectures'!F8</x:f>
        <x:v>3000</x:v>
      </x:c>
      <x:c r="F8" s="48" t="n">
        <x:f>'02 Architectures'!G8</x:f>
        <x:v>2000</x:v>
      </x:c>
      <x:c r="G8" s="48" t="n">
        <x:f>D8*'02 Architectures'!H8</x:f>
        <x:v>810</x:v>
      </x:c>
      <x:c r="H8" s="48" t="n">
        <x:f>G8*'01 Controls'!$D$7</x:f>
        <x:v>11340</x:v>
      </x:c>
      <x:c r="I8" s="48" t="n">
        <x:f>G8*'01 Controls'!$D$8</x:f>
        <x:v>24300</x:v>
      </x:c>
      <x:c r="J8" s="48" t="n">
        <x:f>'02 Architectures'!I8</x:f>
        <x:v>11340</x:v>
      </x:c>
      <x:c r="K8" s="48" t="n">
        <x:f>J8-H8</x:f>
        <x:v>0</x:v>
      </x:c>
      <x:c r="L8" s="48" t="n">
        <x:f>J8-I8</x:f>
        <x:v>-12960</x:v>
      </x:c>
      <x:c r="M8" s="48" t="n">
        <x:f>'02 Architectures'!J8</x:f>
        <x:v>0.2</x:v>
      </x:c>
      <x:c r="N8" s="48" t="n">
        <x:f>M8*'01 Controls'!$D$7</x:f>
        <x:v>2.8000000000000003</x:v>
      </x:c>
      <x:c r="O8" s="48" t="n">
        <x:f>M8*'01 Controls'!$D$8</x:f>
        <x:v>6</x:v>
      </x:c>
      <x:c r="P8" s="48" t="n">
        <x:f>'02 Architectures'!K8</x:f>
        <x:v>6</x:v>
      </x:c>
      <x:c r="Q8" s="48" t="n">
        <x:f>D8*'02 Architectures'!L8/1000</x:f>
        <x:v>1.36</x:v>
      </x:c>
      <x:c r="R8" s="48" t="n">
        <x:f>Q8*'01 Controls'!$D$8</x:f>
        <x:v>40.800000000000004</x:v>
      </x:c>
      <x:c r="S8" s="48" t="n">
        <x:f>'02 Architectures'!M8</x:f>
        <x:v>40.8</x:v>
      </x:c>
      <x:c r="T8" s="48" t="n">
        <x:f>ROUND(S8-R8,6)</x:f>
        <x:v>0</x:v>
      </x:c>
      <x:c r="U8" s="48" t="n">
        <x:f>'01 Controls'!$D$6*('01 Controls'!$D$13+'02 Architectures'!N8)/24/1000+'01 Controls'!$D$14+'02 Architectures'!O8</x:f>
        <x:v>1.2716666666666665</x:v>
      </x:c>
      <x:c r="V8" s="48" t="n">
        <x:f>'02 Architectures'!P8-U8</x:f>
        <x:v>0.7283333333333335</x:v>
      </x:c>
    </x:row>
    <x:row r="9" ht="43" customHeight="1">
      <x:c r="C9" s="37" t="str">
        <x:v>E4</x:v>
      </x:c>
      <x:c r="D9" s="48" t="n">
        <x:f>'02 Architectures'!F9+'02 Architectures'!G9</x:f>
        <x:v>5000</x:v>
      </x:c>
      <x:c r="E9" s="48" t="n">
        <x:f>'02 Architectures'!F9</x:f>
        <x:v>5000</x:v>
      </x:c>
      <x:c r="F9" s="48" t="n">
        <x:f>'02 Architectures'!G9</x:f>
        <x:v>0</x:v>
      </x:c>
      <x:c r="G9" s="48" t="n">
        <x:f>D9*'02 Architectures'!H9</x:f>
        <x:v>50</x:v>
      </x:c>
      <x:c r="H9" s="48" t="n">
        <x:f>G9*'01 Controls'!$D$7</x:f>
        <x:v>700</x:v>
      </x:c>
      <x:c r="I9" s="48" t="n">
        <x:f>G9*'01 Controls'!$D$8</x:f>
        <x:v>1500</x:v>
      </x:c>
      <x:c r="J9" s="48" t="n">
        <x:f>'02 Architectures'!I9</x:f>
        <x:v>8750</x:v>
      </x:c>
      <x:c r="K9" s="48" t="n">
        <x:f>J9-H9</x:f>
        <x:v>8050</x:v>
      </x:c>
      <x:c r="L9" s="48" t="n">
        <x:f>J9-I9</x:f>
        <x:v>7250</x:v>
      </x:c>
      <x:c r="M9" s="48" t="n">
        <x:f>'02 Architectures'!J9</x:f>
        <x:v>15</x:v>
      </x:c>
      <x:c r="N9" s="48" t="n">
        <x:f>M9*'01 Controls'!$D$7</x:f>
        <x:v>210</x:v>
      </x:c>
      <x:c r="O9" s="48" t="n">
        <x:f>M9*'01 Controls'!$D$8</x:f>
        <x:v>450</x:v>
      </x:c>
      <x:c r="P9" s="48" t="n">
        <x:f>'02 Architectures'!K9</x:f>
        <x:v>450</x:v>
      </x:c>
      <x:c r="Q9" s="48" t="n">
        <x:f>D9*'02 Architectures'!L9/1000</x:f>
        <x:v>0.19999999999999998</x:v>
      </x:c>
      <x:c r="R9" s="48" t="n">
        <x:f>Q9*'01 Controls'!$D$8</x:f>
        <x:v>5.999999999999999</x:v>
      </x:c>
      <x:c r="S9" s="48" t="n">
        <x:f>'02 Architectures'!M9</x:f>
        <x:v>8.999999999999998</x:v>
      </x:c>
      <x:c r="T9" s="48" t="n">
        <x:f>ROUND(S9-R9,6)</x:f>
        <x:v>3</x:v>
      </x:c>
      <x:c r="U9" s="48" t="n">
        <x:f>'01 Controls'!$D$6*('01 Controls'!$D$13+'02 Architectures'!N9)/24/1000+'01 Controls'!$D$14+'02 Architectures'!O9</x:f>
        <x:v>1.75</x:v>
      </x:c>
      <x:c r="V9" s="48" t="n">
        <x:f>'02 Architectures'!P9-U9</x:f>
        <x:v>0.25</x:v>
      </x:c>
    </x:row>
    <x:row r="10"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  <x:c r="S10" s="36"/>
      <x:c r="T10" s="36"/>
      <x:c r="U10" s="36"/>
      <x:c r="V10" s="36"/>
    </x:row>
    <x:row r="11"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36"/>
      <x:c r="T11" s="36"/>
      <x:c r="U11" s="36"/>
      <x:c r="V11" s="36"/>
    </x:row>
    <x:row r="12"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36"/>
      <x:c r="T12" s="36"/>
      <x:c r="U12" s="36"/>
      <x:c r="V12" s="36"/>
    </x:row>
    <x:row r="13">
      <x:c r="C13" s="9" t="str">
        <x:v>E1 liquid-custody sensitivity</x:v>
      </x:c>
      <x:c r="D13" s="9" t="str">
        <x:v>Custody days</x:v>
      </x:c>
      <x:c r="E13" s="9" t="str">
        <x:v>Required liquid m³</x:v>
      </x:c>
      <x:c r="F13" s="9" t="str">
        <x:v>Added hardware t</x:v>
      </x:c>
      <x:c r="G13" s="36"/>
      <x:c r="H13" s="9" t="str">
        <x:v>E2 residual-reduction sensitivity</x:v>
      </x:c>
      <x:c r="I13" s="9" t="str">
        <x:v>Reduction</x:v>
      </x:c>
      <x:c r="J13" s="9" t="str">
        <x:v>30-day liquid m³</x:v>
      </x:c>
      <x:c r="K13" s="9" t="str">
        <x:v>Custody margin m³</x:v>
      </x:c>
      <x:c r="L13" s="36"/>
      <x:c r="M13" s="9" t="str">
        <x:v>E3 service-share sensitivity</x:v>
      </x:c>
      <x:c r="N13" s="9" t="str">
        <x:v>High-grade share</x:v>
      </x:c>
      <x:c r="O13" s="9" t="str">
        <x:v>High-grade m³/day</x:v>
      </x:c>
      <x:c r="P13" s="9" t="str">
        <x:v>14-day liquid m³</x:v>
      </x:c>
      <x:c r="Q13" s="36"/>
      <x:c r="R13" s="9" t="str">
        <x:v>E4 energy sensitivity</x:v>
      </x:c>
      <x:c r="S13" s="9" t="str">
        <x:v>Extra process kWh/m³</x:v>
      </x:c>
      <x:c r="T13" s="9" t="str">
        <x:v>Total critical MW</x:v>
      </x:c>
      <x:c r="U13" s="9" t="str">
        <x:v>75% power margin MW</x:v>
      </x:c>
      <x:c r="V13" s="36"/>
    </x:row>
    <x:row r="14">
      <x:c r="C14" s="37" t="str">
        <x:v>Carry and contain</x:v>
      </x:c>
      <x:c r="D14" s="47" t="n">
        <x:v>7</x:v>
      </x:c>
      <x:c r="E14" s="40" t="n">
        <x:f>$G$6*D14</x:f>
        <x:v>8750</x:v>
      </x:c>
      <x:c r="F14" s="40" t="n">
        <x:f>MAX(0,E14-'01 Controls'!$D$6*'01 Controls'!$D$10*'01 Controls'!$D$9)*'01 Controls'!$D$19/1000</x:f>
        <x:v>0</x:v>
      </x:c>
      <x:c r="G14" s="36"/>
      <x:c r="H14" s="37" t="str">
        <x:v>Regenerate and dewater</x:v>
      </x:c>
      <x:c r="I14" s="44" t="n">
        <x:v>0.7</x:v>
      </x:c>
      <x:c r="J14" s="40" t="n">
        <x:f>'01 Controls'!$D$6*'01 Controls'!$D$9*(1-I14)*'01 Controls'!$D$8</x:f>
        <x:v>11250.000000000002</x:v>
      </x:c>
      <x:c r="K14" s="40" t="n">
        <x:f>'02 Architectures'!$I$7-J14</x:f>
        <x:v>-2500.000000000002</x:v>
      </x:c>
      <x:c r="L14" s="36"/>
      <x:c r="M14" s="37" t="str">
        <x:v>Quality-segmented service</x:v>
      </x:c>
      <x:c r="N14" s="44" t="n">
        <x:v>0.4</x:v>
      </x:c>
      <x:c r="O14" s="40" t="n">
        <x:f>'01 Controls'!$D$6*N14</x:f>
        <x:v>2000</x:v>
      </x:c>
      <x:c r="P14" s="40" t="n">
        <x:f>(O14*'01 Controls'!$D$9+('01 Controls'!$D$6-O14)*'01 Controls'!$D$27)*'01 Controls'!$D$7</x:f>
        <x:v>8260</x:v>
      </x:c>
      <x:c r="Q14" s="36"/>
      <x:c r="R14" s="37" t="str">
        <x:v>Circular source cell</x:v>
      </x:c>
      <x:c r="S14" s="43" t="n">
        <x:v>2</x:v>
      </x:c>
      <x:c r="T14" s="48" t="n">
        <x:f>'01 Controls'!$D$6*('01 Controls'!$D$13+S14)/24/1000+'01 Controls'!$D$14+'02 Architectures'!$O$9</x:f>
        <x:v>1.5416666666666665</x:v>
      </x:c>
      <x:c r="U14" s="48" t="n">
        <x:f>'02 Architectures'!$P$9*'01 Controls'!$D$32-T14</x:f>
        <x:v>-0.04166666666666652</x:v>
      </x:c>
      <x:c r="V14" s="36"/>
    </x:row>
    <x:row r="15">
      <x:c r="C15" s="37" t="str">
        <x:v>Carry and contain</x:v>
      </x:c>
      <x:c r="D15" s="47" t="n">
        <x:v>14</x:v>
      </x:c>
      <x:c r="E15" s="40" t="n">
        <x:f>$G$6*D15</x:f>
        <x:v>17500</x:v>
      </x:c>
      <x:c r="F15" s="40" t="n">
        <x:f>MAX(0,E15-'01 Controls'!$D$6*'01 Controls'!$D$10*'01 Controls'!$D$9)*'01 Controls'!$D$19/1000</x:f>
        <x:v>315</x:v>
      </x:c>
      <x:c r="G15" s="36"/>
      <x:c r="H15" s="37" t="str">
        <x:v>Regenerate and dewater</x:v>
      </x:c>
      <x:c r="I15" s="44" t="n">
        <x:v>0.85</x:v>
      </x:c>
      <x:c r="J15" s="40" t="n">
        <x:f>'01 Controls'!$D$6*'01 Controls'!$D$9*(1-I15)*'01 Controls'!$D$8</x:f>
        <x:v>5625.000000000001</x:v>
      </x:c>
      <x:c r="K15" s="40" t="n">
        <x:f>'02 Architectures'!$I$7-J15</x:f>
        <x:v>3124.999999999999</x:v>
      </x:c>
      <x:c r="L15" s="36"/>
      <x:c r="M15" s="37" t="str">
        <x:v>Quality-segmented service</x:v>
      </x:c>
      <x:c r="N15" s="44" t="n">
        <x:v>0.6</x:v>
      </x:c>
      <x:c r="O15" s="40" t="n">
        <x:f>'01 Controls'!$D$6*N15</x:f>
        <x:v>3000</x:v>
      </x:c>
      <x:c r="P15" s="40" t="n">
        <x:f>(O15*'01 Controls'!$D$9+('01 Controls'!$D$6-O15)*'01 Controls'!$D$27)*'01 Controls'!$D$7</x:f>
        <x:v>11340</x:v>
      </x:c>
      <x:c r="Q15" s="36"/>
      <x:c r="R15" s="37" t="str">
        <x:v>Circular source cell</x:v>
      </x:c>
      <x:c r="S15" s="43" t="n">
        <x:v>3</x:v>
      </x:c>
      <x:c r="T15" s="48" t="n">
        <x:f>'01 Controls'!$D$6*('01 Controls'!$D$13+S15)/24/1000+'01 Controls'!$D$14+'02 Architectures'!$O$9</x:f>
        <x:v>1.75</x:v>
      </x:c>
      <x:c r="U15" s="48" t="n">
        <x:f>'02 Architectures'!$P$9*'01 Controls'!$D$32-T15</x:f>
        <x:v>-0.25</x:v>
      </x:c>
      <x:c r="V15" s="36"/>
    </x:row>
    <x:row r="16">
      <x:c r="C16" s="37" t="str">
        <x:v>Carry and contain</x:v>
      </x:c>
      <x:c r="D16" s="47" t="n">
        <x:v>21</x:v>
      </x:c>
      <x:c r="E16" s="40" t="n">
        <x:f>$G$6*D16</x:f>
        <x:v>26250</x:v>
      </x:c>
      <x:c r="F16" s="40" t="n">
        <x:f>MAX(0,E16-'01 Controls'!$D$6*'01 Controls'!$D$10*'01 Controls'!$D$9)*'01 Controls'!$D$19/1000</x:f>
        <x:v>630</x:v>
      </x:c>
      <x:c r="G16" s="36"/>
      <x:c r="H16" s="37" t="str">
        <x:v>Regenerate and dewater</x:v>
      </x:c>
      <x:c r="I16" s="44" t="n">
        <x:v>0.9</x:v>
      </x:c>
      <x:c r="J16" s="40" t="n">
        <x:f>'01 Controls'!$D$6*'01 Controls'!$D$9*(1-I16)*'01 Controls'!$D$8</x:f>
        <x:v>3749.999999999999</x:v>
      </x:c>
      <x:c r="K16" s="40" t="n">
        <x:f>'02 Architectures'!$I$7-J16</x:f>
        <x:v>5000.000000000001</x:v>
      </x:c>
      <x:c r="L16" s="36"/>
      <x:c r="M16" s="37" t="str">
        <x:v>Quality-segmented service</x:v>
      </x:c>
      <x:c r="N16" s="44" t="n">
        <x:v>0.8</x:v>
      </x:c>
      <x:c r="O16" s="40" t="n">
        <x:f>'01 Controls'!$D$6*N16</x:f>
        <x:v>4000</x:v>
      </x:c>
      <x:c r="P16" s="40" t="n">
        <x:f>(O16*'01 Controls'!$D$9+('01 Controls'!$D$6-O16)*'01 Controls'!$D$27)*'01 Controls'!$D$7</x:f>
        <x:v>14420</x:v>
      </x:c>
      <x:c r="Q16" s="36"/>
      <x:c r="R16" s="37" t="str">
        <x:v>Circular source cell</x:v>
      </x:c>
      <x:c r="S16" s="43" t="n">
        <x:v>4</x:v>
      </x:c>
      <x:c r="T16" s="48" t="n">
        <x:f>'01 Controls'!$D$6*('01 Controls'!$D$13+S16)/24/1000+'01 Controls'!$D$14+'02 Architectures'!$O$9</x:f>
        <x:v>1.958333333333333</x:v>
      </x:c>
      <x:c r="U16" s="48" t="n">
        <x:f>'02 Architectures'!$P$9*'01 Controls'!$D$32-T16</x:f>
        <x:v>-0.45833333333333304</x:v>
      </x:c>
      <x:c r="V16" s="36"/>
    </x:row>
    <x:row r="17">
      <x:c r="C17" s="37" t="str">
        <x:v>Carry and contain</x:v>
      </x:c>
      <x:c r="D17" s="47" t="n">
        <x:v>30</x:v>
      </x:c>
      <x:c r="E17" s="40" t="n">
        <x:f>$G$6*D17</x:f>
        <x:v>37500</x:v>
      </x:c>
      <x:c r="F17" s="40" t="n">
        <x:f>MAX(0,E17-'01 Controls'!$D$6*'01 Controls'!$D$10*'01 Controls'!$D$9)*'01 Controls'!$D$19/1000</x:f>
        <x:v>1035</x:v>
      </x:c>
      <x:c r="G17" s="36"/>
      <x:c r="H17" s="37" t="str">
        <x:v>Regenerate and dewater</x:v>
      </x:c>
      <x:c r="I17" s="44" t="n">
        <x:v>0.95</x:v>
      </x:c>
      <x:c r="J17" s="40" t="n">
        <x:f>'01 Controls'!$D$6*'01 Controls'!$D$9*(1-I17)*'01 Controls'!$D$8</x:f>
        <x:v>1875.0000000000018</x:v>
      </x:c>
      <x:c r="K17" s="40" t="n">
        <x:f>'02 Architectures'!$I$7-J17</x:f>
        <x:v>6874.999999999998</x:v>
      </x:c>
      <x:c r="L17" s="36"/>
      <x:c r="M17" s="37" t="str">
        <x:v>Quality-segmented service</x:v>
      </x:c>
      <x:c r="N17" s="44" t="n">
        <x:v>1</x:v>
      </x:c>
      <x:c r="O17" s="40" t="n">
        <x:f>'01 Controls'!$D$6*N17</x:f>
        <x:v>5000</x:v>
      </x:c>
      <x:c r="P17" s="40" t="n">
        <x:f>(O17*'01 Controls'!$D$9+('01 Controls'!$D$6-O17)*'01 Controls'!$D$27)*'01 Controls'!$D$7</x:f>
        <x:v>17500</x:v>
      </x:c>
      <x:c r="Q17" s="36"/>
      <x:c r="R17" s="37" t="str">
        <x:v>Circular source cell</x:v>
      </x:c>
      <x:c r="S17" s="43" t="n">
        <x:v>5</x:v>
      </x:c>
      <x:c r="T17" s="48" t="n">
        <x:f>'01 Controls'!$D$6*('01 Controls'!$D$13+S17)/24/1000+'01 Controls'!$D$14+'02 Architectures'!$O$9</x:f>
        <x:v>2.1666666666666665</x:v>
      </x:c>
      <x:c r="U17" s="48" t="n">
        <x:f>'02 Architectures'!$P$9*'01 Controls'!$D$32-T17</x:f>
        <x:v>-0.6666666666666665</x:v>
      </x:c>
      <x:c r="V17" s="36"/>
    </x:row>
  </x:sheetData>
  <x:pageMargins left="0.7" right="0.7" top="0.75" bottom="0.75" header="0.3" footer="0.3"/>
  <x:tableParts count="1">
    <x:tablePart xmlns:r="http://schemas.openxmlformats.org/officeDocument/2006/relationships" r:id="Rd885c4c0e4754734"/>
  </x:tableParts>
</x:worksheet>
</file>

<file path=xl/worksheets/sheet6.xml><?xml version="1.0" encoding="utf-8"?>
<x:worksheet xmlns:x="http://schemas.openxmlformats.org/spreadsheetml/2006/main">
  <x:sheetPr>
    <x:tabColor rgb="FFCBD5D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5" hidden="0" customWidth="1"/>
    <x:col min="4" max="4" width="43" hidden="0" customWidth="1"/>
    <x:col min="5" max="5" width="65" hidden="0" customWidth="1"/>
    <x:col min="6" max="6" width="18" hidden="0" customWidth="1"/>
    <x:col min="7" max="7" width="18" hidden="0" customWidth="1"/>
    <x:col min="8" max="8" width="22" hidden="0" customWidth="1"/>
  </x:cols>
  <x:sheetData>
    <x:row r="2">
      <x:c r="C2" s="33" t="str">
        <x:v>Incremental endurance configuration</x:v>
      </x:c>
      <x:c r="D2" s="34"/>
      <x:c r="E2" s="34"/>
      <x:c r="F2" s="34"/>
      <x:c r="G2" s="34"/>
      <x:c r="H2" s="34"/>
      <x:c r="I2" s="34"/>
      <x:c r="J2" s="34"/>
    </x:row>
    <x:row r="3">
      <x:c r="C3" s="35" t="str">
        <x:v>Mass and equipment cost are incremental to the Pass 68 C3 source chain. Liquid and solid contents remain separate wet inventories.</x:v>
      </x:c>
      <x:c r="D3" s="35"/>
      <x:c r="E3" s="35"/>
      <x:c r="F3" s="35"/>
      <x:c r="G3" s="35"/>
      <x:c r="H3" s="35"/>
      <x:c r="I3" s="35"/>
      <x:c r="J3" s="35"/>
    </x:row>
    <x:row r="4">
      <x:c r="C4" s="36"/>
      <x:c r="D4" s="36"/>
      <x:c r="E4" s="36"/>
      <x:c r="F4" s="36"/>
      <x:c r="G4" s="36"/>
      <x:c r="H4" s="36"/>
      <x:c r="I4" s="36"/>
      <x:c r="J4" s="36"/>
    </x:row>
    <x:row r="5">
      <x:c r="C5" s="9" t="str">
        <x:v>Architecture</x:v>
      </x:c>
      <x:c r="D5" s="9" t="str">
        <x:v>Element</x:v>
      </x:c>
      <x:c r="E5" s="9" t="str">
        <x:v>Function</x:v>
      </x:c>
      <x:c r="F5" s="9" t="str">
        <x:v>Added dry t</x:v>
      </x:c>
      <x:c r="G5" s="9" t="str">
        <x:v>Added crew</x:v>
      </x:c>
      <x:c r="H5" s="9" t="str">
        <x:v>Equipment $B</x:v>
      </x:c>
      <x:c r="I5" s="36"/>
      <x:c r="J5" s="36"/>
    </x:row>
    <x:row r="6" ht="38" customHeight="1">
      <x:c r="C6" s="37" t="str">
        <x:v>E1</x:v>
      </x:c>
      <x:c r="D6" s="39" t="str">
        <x:v>Additional liquid-residual containment</x:v>
      </x:c>
      <x:c r="E6" s="39" t="str">
        <x:v>8,750 m³ of added custody at 36 t per 1,000 m³</x:v>
      </x:c>
      <x:c r="F6" s="40" t="n">
        <x:v>315</x:v>
      </x:c>
      <x:c r="G6" s="40" t="n">
        <x:v>5</x:v>
      </x:c>
      <x:c r="H6" s="42" t="n">
        <x:v>0.2</x:v>
      </x:c>
      <x:c r="I6" s="36"/>
      <x:c r="J6" s="36"/>
    </x:row>
    <x:row r="7" ht="38" customHeight="1">
      <x:c r="C7" s="37" t="str">
        <x:v>E1</x:v>
      </x:c>
      <x:c r="D7" s="39" t="str">
        <x:v>Hazardous handling and isolation</x:v>
      </x:c>
      <x:c r="E7" s="39" t="str">
        <x:v>Liners, transfer, inspection, sampling and protected work</x:v>
      </x:c>
      <x:c r="F7" s="40" t="n">
        <x:v>85</x:v>
      </x:c>
      <x:c r="G7" s="40" t="n">
        <x:v>7</x:v>
      </x:c>
      <x:c r="H7" s="42" t="n">
        <x:v>0.12</x:v>
      </x:c>
      <x:c r="I7" s="36"/>
      <x:c r="J7" s="36"/>
    </x:row>
    <x:row r="8" ht="38" customHeight="1">
      <x:c r="C8" s="37" t="str">
        <x:v>E2</x:v>
      </x:c>
      <x:c r="D8" s="39" t="str">
        <x:v>Residual dewatering train</x:v>
      </x:c>
      <x:c r="E8" s="39" t="str">
        <x:v>Separate liquid for reuse while retaining solids</x:v>
      </x:c>
      <x:c r="F8" s="40" t="n">
        <x:v>320</x:v>
      </x:c>
      <x:c r="G8" s="40" t="n">
        <x:v>6</x:v>
      </x:c>
      <x:c r="H8" s="42" t="n">
        <x:v>0.22</x:v>
      </x:c>
      <x:c r="I8" s="36"/>
      <x:c r="J8" s="36"/>
    </x:row>
    <x:row r="9" ht="38" customHeight="1">
      <x:c r="C9" s="37" t="str">
        <x:v>E2</x:v>
      </x:c>
      <x:c r="D9" s="39" t="str">
        <x:v>Endogenous chemistry plant</x:v>
      </x:c>
      <x:c r="E9" s="39" t="str">
        <x:v>Electrochemical or precursor-based reagent production</x:v>
      </x:c>
      <x:c r="F9" s="40" t="n">
        <x:v>280</x:v>
      </x:c>
      <x:c r="G9" s="40" t="n">
        <x:v>5</x:v>
      </x:c>
      <x:c r="H9" s="42" t="n">
        <x:v>0.18</x:v>
      </x:c>
      <x:c r="I9" s="36"/>
      <x:c r="J9" s="36"/>
    </x:row>
    <x:row r="10" ht="38" customHeight="1">
      <x:c r="C10" s="37" t="str">
        <x:v>E2</x:v>
      </x:c>
      <x:c r="D10" s="39" t="str">
        <x:v>Media regeneration plant</x:v>
      </x:c>
      <x:c r="E10" s="39" t="str">
        <x:v>Clean, restore, verify and return media to service</x:v>
      </x:c>
      <x:c r="F10" s="40" t="n">
        <x:v>200</x:v>
      </x:c>
      <x:c r="G10" s="40" t="n">
        <x:v>5</x:v>
      </x:c>
      <x:c r="H10" s="42" t="n">
        <x:v>0.13</x:v>
      </x:c>
      <x:c r="I10" s="36"/>
      <x:c r="J10" s="36"/>
    </x:row>
    <x:row r="11" ht="38" customHeight="1">
      <x:c r="C11" s="37" t="str">
        <x:v>E2</x:v>
      </x:c>
      <x:c r="D11" s="39" t="str">
        <x:v>Power and thermal integration</x:v>
      </x:c>
      <x:c r="E11" s="39" t="str">
        <x:v>Additional conversion, heat rejection and controls</x:v>
      </x:c>
      <x:c r="F11" s="40" t="n">
        <x:v>160</x:v>
      </x:c>
      <x:c r="G11" s="40" t="n">
        <x:v>4</x:v>
      </x:c>
      <x:c r="H11" s="42" t="n">
        <x:v>0.12</x:v>
      </x:c>
      <x:c r="I11" s="36"/>
      <x:c r="J11" s="36"/>
    </x:row>
    <x:row r="12" ht="38" customHeight="1">
      <x:c r="C12" s="37" t="str">
        <x:v>E3</x:v>
      </x:c>
      <x:c r="D12" s="39" t="str">
        <x:v>High-grade/use-specific process split</x:v>
      </x:c>
      <x:c r="E12" s="39" t="str">
        <x:v>Independently valved process and product boundaries</x:v>
      </x:c>
      <x:c r="F12" s="40" t="n">
        <x:v>150</x:v>
      </x:c>
      <x:c r="G12" s="40" t="n">
        <x:v>5</x:v>
      </x:c>
      <x:c r="H12" s="42" t="n">
        <x:v>0.13</x:v>
      </x:c>
      <x:c r="I12" s="36"/>
      <x:c r="J12" s="36"/>
    </x:row>
    <x:row r="13" ht="38" customHeight="1">
      <x:c r="C13" s="37" t="str">
        <x:v>E3</x:v>
      </x:c>
      <x:c r="D13" s="39" t="str">
        <x:v>Dual distribution and backflow isolation</x:v>
      </x:c>
      <x:c r="E13" s="39" t="str">
        <x:v>Dedicated manifolds, marking, sensors and connectors</x:v>
      </x:c>
      <x:c r="F13" s="40" t="n">
        <x:v>200</x:v>
      </x:c>
      <x:c r="G13" s="40" t="n">
        <x:v>7</x:v>
      </x:c>
      <x:c r="H13" s="42" t="n">
        <x:v>0.16</x:v>
      </x:c>
      <x:c r="I13" s="36"/>
      <x:c r="J13" s="36"/>
    </x:row>
    <x:row r="14" ht="38" customHeight="1">
      <x:c r="C14" s="37" t="str">
        <x:v>E3</x:v>
      </x:c>
      <x:c r="D14" s="39" t="str">
        <x:v>Additional liquid custody</x:v>
      </x:c>
      <x:c r="E14" s="39" t="str">
        <x:v>2,590 m³ beyond the inherited seven-day buffer</x:v>
      </x:c>
      <x:c r="F14" s="40" t="n">
        <x:v>93</x:v>
      </x:c>
      <x:c r="G14" s="40" t="n">
        <x:v>3</x:v>
      </x:c>
      <x:c r="H14" s="42" t="n">
        <x:v>0.07</x:v>
      </x:c>
      <x:c r="I14" s="36"/>
      <x:c r="J14" s="36"/>
    </x:row>
    <x:row r="15" ht="38" customHeight="1">
      <x:c r="C15" s="37" t="str">
        <x:v>E3</x:v>
      </x:c>
      <x:c r="D15" s="39" t="str">
        <x:v>Quality authority and connection control</x:v>
      </x:c>
      <x:c r="E15" s="39" t="str">
        <x:v>Release logic and cross-connection surveillance</x:v>
      </x:c>
      <x:c r="F15" s="40" t="n">
        <x:v>7</x:v>
      </x:c>
      <x:c r="G15" s="40" t="n">
        <x:v>3</x:v>
      </x:c>
      <x:c r="H15" s="42" t="n">
        <x:v>0.04</x:v>
      </x:c>
      <x:c r="I15" s="36"/>
      <x:c r="J15" s="36"/>
    </x:row>
    <x:row r="16" ht="38" customHeight="1">
      <x:c r="C16" s="37" t="str">
        <x:v>E4</x:v>
      </x:c>
      <x:c r="D16" s="39" t="str">
        <x:v>High-recovery separation stack</x:v>
      </x:c>
      <x:c r="E16" s="39" t="str">
        <x:v>Serial separation and internal water recovery</x:v>
      </x:c>
      <x:c r="F16" s="40" t="n">
        <x:v>520</x:v>
      </x:c>
      <x:c r="G16" s="40" t="n">
        <x:v>12</x:v>
      </x:c>
      <x:c r="H16" s="42" t="n">
        <x:v>0.38</x:v>
      </x:c>
      <x:c r="I16" s="36"/>
      <x:c r="J16" s="36"/>
    </x:row>
    <x:row r="17" ht="38" customHeight="1">
      <x:c r="C17" s="37" t="str">
        <x:v>E4</x:v>
      </x:c>
      <x:c r="D17" s="39" t="str">
        <x:v>Endogenous chemistry and media regeneration</x:v>
      </x:c>
      <x:c r="E17" s="39" t="str">
        <x:v>Generate, recover and qualify process materials</x:v>
      </x:c>
      <x:c r="F17" s="40" t="n">
        <x:v>260</x:v>
      </x:c>
      <x:c r="G17" s="40" t="n">
        <x:v>8</x:v>
      </x:c>
      <x:c r="H17" s="42" t="n">
        <x:v>0.22</x:v>
      </x:c>
      <x:c r="I17" s="36"/>
      <x:c r="J17" s="36"/>
    </x:row>
    <x:row r="18" ht="38" customHeight="1">
      <x:c r="C18" s="37" t="str">
        <x:v>E4</x:v>
      </x:c>
      <x:c r="D18" s="39" t="str">
        <x:v>Solid-residual conditioning and custody</x:v>
      </x:c>
      <x:c r="E18" s="39" t="str">
        <x:v>Dewater, stabilize, package and retain 450 t</x:v>
      </x:c>
      <x:c r="F18" s="40" t="n">
        <x:v>250</x:v>
      </x:c>
      <x:c r="G18" s="40" t="n">
        <x:v>7</x:v>
      </x:c>
      <x:c r="H18" s="42" t="n">
        <x:v>0.18</x:v>
      </x:c>
      <x:c r="I18" s="36"/>
      <x:c r="J18" s="36"/>
    </x:row>
    <x:row r="19" ht="38" customHeight="1">
      <x:c r="C19" s="37" t="str">
        <x:v>E4</x:v>
      </x:c>
      <x:c r="D19" s="39" t="str">
        <x:v>Additional power and heat rejection</x:v>
      </x:c>
      <x:c r="E19" s="39" t="str">
        <x:v>Electrical conversion, cooling and transient margin</x:v>
      </x:c>
      <x:c r="F19" s="40" t="n">
        <x:v>280</x:v>
      </x:c>
      <x:c r="G19" s="40" t="n">
        <x:v>7</x:v>
      </x:c>
      <x:c r="H19" s="42" t="n">
        <x:v>0.22</x:v>
      </x:c>
      <x:c r="I19" s="36"/>
      <x:c r="J19" s="36"/>
    </x:row>
    <x:row r="20" ht="38" customHeight="1">
      <x:c r="C20" s="37" t="str">
        <x:v>E4</x:v>
      </x:c>
      <x:c r="D20" s="39" t="str">
        <x:v>Control and independent quality cell</x:v>
      </x:c>
      <x:c r="E20" s="39" t="str">
        <x:v>Mass-balance surveillance, safe stop and release</x:v>
      </x:c>
      <x:c r="F20" s="40" t="n">
        <x:v>90</x:v>
      </x:c>
      <x:c r="G20" s="40" t="n">
        <x:v>4</x:v>
      </x:c>
      <x:c r="H20" s="42" t="n">
        <x:v>0.1</x:v>
      </x:c>
      <x:c r="I20" s="36"/>
      <x:c r="J20" s="36"/>
    </x:row>
    <x:row r="21" ht="38" customHeight="1">
      <x:c r="C21" s="37" t="str">
        <x:v>E1</x:v>
      </x:c>
      <x:c r="D21" s="39" t="str">
        <x:v>Consumable custody expansion</x:v>
      </x:c>
      <x:c r="E21" s="39" t="str">
        <x:v>Protected storage and issue control for thirty-day stocks</x:v>
      </x:c>
      <x:c r="F21" s="40" t="n">
        <x:v>0</x:v>
      </x:c>
      <x:c r="G21" s="40" t="n">
        <x:v>0</x:v>
      </x:c>
      <x:c r="H21" s="42" t="n">
        <x:v>0</x:v>
      </x:c>
      <x:c r="I21" s="36"/>
      <x:c r="J21" s="36"/>
    </x:row>
  </x:sheetData>
  <x:pageMargins left="0.7" right="0.7" top="0.75" bottom="0.75" header="0.3" footer="0.3"/>
  <x:tableParts count="1">
    <x:tablePart xmlns:r="http://schemas.openxmlformats.org/officeDocument/2006/relationships" r:id="R1333a8e5d0ff4a28"/>
  </x:tableParts>
</x:worksheet>
</file>

<file path=xl/worksheets/sheet7.xml><?xml version="1.0" encoding="utf-8"?>
<x:worksheet xmlns:x="http://schemas.openxmlformats.org/spreadsheetml/2006/main">
  <x:sheetPr>
    <x:tabColor rgb="FFCBD5D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34" hidden="0" customWidth="1"/>
    <x:col min="4" max="4" width="38" hidden="0" customWidth="1"/>
    <x:col min="5" max="5" width="13" hidden="0" customWidth="1"/>
    <x:col min="6" max="6" width="22" hidden="0" customWidth="1"/>
    <x:col min="7" max="7" width="20" hidden="0" customWidth="1"/>
    <x:col min="8" max="8" width="18" hidden="0" customWidth="1"/>
    <x:col min="9" max="9" width="18" hidden="0" customWidth="1"/>
    <x:col min="10" max="10" width="22" hidden="0" customWidth="1"/>
    <x:col min="11" max="11" width="13" hidden="0" customWidth="1"/>
    <x:col min="12" max="12" width="23" hidden="0" customWidth="1"/>
    <x:col min="13" max="13" width="22" hidden="0" customWidth="1"/>
    <x:col min="14" max="14" width="23" hidden="0" customWidth="1"/>
    <x:col min="15" max="15" width="13" hidden="0" customWidth="1"/>
    <x:col min="16" max="16" width="22" hidden="0" customWidth="1"/>
  </x:cols>
  <x:sheetData>
    <x:row r="2">
      <x:c r="C2" s="33" t="str">
        <x:v>Incremental endurance program comparators</x:v>
      </x:c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</x:row>
    <x:row r="3">
      <x:c r="C3" s="35" t="str">
        <x:v>These are declared twenty-five-year acquisition comparators for twenty-four chains, not estimates or additions to a recommended program.</x:v>
      </x:c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</x:row>
    <x:row r="4"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6"/>
      <x:c r="O4" s="36"/>
      <x:c r="P4" s="36"/>
      <x:c r="Q4" s="36"/>
    </x:row>
    <x:row r="5">
      <x:c r="C5" s="9" t="str">
        <x:v>ID</x:v>
      </x:c>
      <x:c r="D5" s="9" t="str">
        <x:v>Program line</x:v>
      </x:c>
      <x:c r="E5" s="9" t="str">
        <x:v>Chains</x:v>
      </x:c>
      <x:c r="F5" s="9" t="str">
        <x:v>Equipment $B/chain</x:v>
      </x:c>
      <x:c r="G5" s="9" t="str">
        <x:v>Equipment $B</x:v>
      </x:c>
      <x:c r="H5" s="9" t="str">
        <x:v>RDT&amp;E $B</x:v>
      </x:c>
      <x:c r="I5" s="9" t="str">
        <x:v>Proving $B</x:v>
      </x:c>
      <x:c r="J5" s="9" t="str">
        <x:v>Industrialization $B</x:v>
      </x:c>
      <x:c r="K5" s="9" t="str">
        <x:v>Nodes</x:v>
      </x:c>
      <x:c r="L5" s="9" t="str">
        <x:v>Node adaptation $B</x:v>
      </x:c>
      <x:c r="M5" s="9" t="str">
        <x:v>Common systems $B</x:v>
      </x:c>
      <x:c r="N5" s="9" t="str">
        <x:v>Annual O&amp;S $B/chain</x:v>
      </x:c>
      <x:c r="O5" s="9" t="str">
        <x:v>Years</x:v>
      </x:c>
      <x:c r="P5" s="9" t="str">
        <x:v>25-year total $B</x:v>
      </x:c>
      <x:c r="Q5" s="36"/>
    </x:row>
    <x:row r="6" ht="42" customHeight="1">
      <x:c r="C6" s="37" t="str">
        <x:v>E1</x:v>
      </x:c>
      <x:c r="D6" s="39" t="str">
        <x:v>Carry-and-contain overlay</x:v>
      </x:c>
      <x:c r="E6" s="49" t="n">
        <x:v>24</x:v>
      </x:c>
      <x:c r="F6" s="42" t="n">
        <x:f>INDEX('02 Architectures'!$AC$6:$AC$9,MATCH(C6,'02 Architectures'!$C$6:$C$9,0))</x:f>
        <x:v>0.32</x:v>
      </x:c>
      <x:c r="G6" s="42" t="n">
        <x:f>E6*F6</x:f>
        <x:v>7.68</x:v>
      </x:c>
      <x:c r="H6" s="50" t="n">
        <x:v>4</x:v>
      </x:c>
      <x:c r="I6" s="50" t="n">
        <x:v>3</x:v>
      </x:c>
      <x:c r="J6" s="50" t="n">
        <x:v>4</x:v>
      </x:c>
      <x:c r="K6" s="49" t="n">
        <x:v>12</x:v>
      </x:c>
      <x:c r="L6" s="50" t="n">
        <x:v>0.1</x:v>
      </x:c>
      <x:c r="M6" s="50" t="n">
        <x:v>6</x:v>
      </x:c>
      <x:c r="N6" s="50" t="n">
        <x:v>0.035</x:v>
      </x:c>
      <x:c r="O6" s="51" t="n">
        <x:v>25</x:v>
      </x:c>
      <x:c r="P6" s="42" t="n">
        <x:f>SUM(G6:J6)+K6*L6+M6+N6*E6*O6</x:f>
        <x:v>46.88</x:v>
      </x:c>
      <x:c r="Q6" s="36"/>
    </x:row>
    <x:row r="7" ht="42" customHeight="1">
      <x:c r="C7" s="37" t="str">
        <x:v>E2</x:v>
      </x:c>
      <x:c r="D7" s="39" t="str">
        <x:v>Regeneration and dewatering line</x:v>
      </x:c>
      <x:c r="E7" s="49" t="n">
        <x:v>24</x:v>
      </x:c>
      <x:c r="F7" s="42" t="n">
        <x:f>INDEX('02 Architectures'!$AC$6:$AC$9,MATCH(C7,'02 Architectures'!$C$6:$C$9,0))</x:f>
        <x:v>0.65</x:v>
      </x:c>
      <x:c r="G7" s="42" t="n">
        <x:f>E7*F7</x:f>
        <x:v>15.600000000000001</x:v>
      </x:c>
      <x:c r="H7" s="50" t="n">
        <x:v>12</x:v>
      </x:c>
      <x:c r="I7" s="50" t="n">
        <x:v>6</x:v>
      </x:c>
      <x:c r="J7" s="50" t="n">
        <x:v>8</x:v>
      </x:c>
      <x:c r="K7" s="49" t="n">
        <x:v>12</x:v>
      </x:c>
      <x:c r="L7" s="50" t="n">
        <x:v>0.15</x:v>
      </x:c>
      <x:c r="M7" s="50" t="n">
        <x:v>6</x:v>
      </x:c>
      <x:c r="N7" s="50" t="n">
        <x:v>0.05</x:v>
      </x:c>
      <x:c r="O7" s="51" t="n">
        <x:v>25</x:v>
      </x:c>
      <x:c r="P7" s="42" t="n">
        <x:f>SUM(G7:J7)+K7*L7+M7+N7*E7*O7</x:f>
        <x:v>79.4</x:v>
      </x:c>
      <x:c r="Q7" s="36"/>
    </x:row>
    <x:row r="8" ht="42" customHeight="1">
      <x:c r="C8" s="37" t="str">
        <x:v>E3</x:v>
      </x:c>
      <x:c r="D8" s="39" t="str">
        <x:v>Quality-segmented service line</x:v>
      </x:c>
      <x:c r="E8" s="49" t="n">
        <x:v>24</x:v>
      </x:c>
      <x:c r="F8" s="42" t="n">
        <x:f>INDEX('02 Architectures'!$AC$6:$AC$9,MATCH(C8,'02 Architectures'!$C$6:$C$9,0))</x:f>
        <x:v>0.4</x:v>
      </x:c>
      <x:c r="G8" s="42" t="n">
        <x:f>E8*F8</x:f>
        <x:v>9.600000000000001</x:v>
      </x:c>
      <x:c r="H8" s="50" t="n">
        <x:v>6</x:v>
      </x:c>
      <x:c r="I8" s="50" t="n">
        <x:v>5</x:v>
      </x:c>
      <x:c r="J8" s="50" t="n">
        <x:v>5</x:v>
      </x:c>
      <x:c r="K8" s="49" t="n">
        <x:v>12</x:v>
      </x:c>
      <x:c r="L8" s="50" t="n">
        <x:v>0.2</x:v>
      </x:c>
      <x:c r="M8" s="50" t="n">
        <x:v>8</x:v>
      </x:c>
      <x:c r="N8" s="50" t="n">
        <x:v>0.04</x:v>
      </x:c>
      <x:c r="O8" s="51" t="n">
        <x:v>25</x:v>
      </x:c>
      <x:c r="P8" s="42" t="n">
        <x:f>SUM(G8:J8)+K8*L8+M8+N8*E8*O8</x:f>
        <x:v>60</x:v>
      </x:c>
      <x:c r="Q8" s="36"/>
    </x:row>
    <x:row r="9" ht="42" customHeight="1">
      <x:c r="C9" s="37" t="str">
        <x:v>E4</x:v>
      </x:c>
      <x:c r="D9" s="39" t="str">
        <x:v>Circular source-cell line</x:v>
      </x:c>
      <x:c r="E9" s="49" t="n">
        <x:v>24</x:v>
      </x:c>
      <x:c r="F9" s="42" t="n">
        <x:f>INDEX('02 Architectures'!$AC$6:$AC$9,MATCH(C9,'02 Architectures'!$C$6:$C$9,0))</x:f>
        <x:v>1.1</x:v>
      </x:c>
      <x:c r="G9" s="42" t="n">
        <x:f>E9*F9</x:f>
        <x:v>26.400000000000002</x:v>
      </x:c>
      <x:c r="H9" s="50" t="n">
        <x:v>30</x:v>
      </x:c>
      <x:c r="I9" s="50" t="n">
        <x:v>12</x:v>
      </x:c>
      <x:c r="J9" s="50" t="n">
        <x:v>15</x:v>
      </x:c>
      <x:c r="K9" s="49" t="n">
        <x:v>12</x:v>
      </x:c>
      <x:c r="L9" s="50" t="n">
        <x:v>0.3</x:v>
      </x:c>
      <x:c r="M9" s="50" t="n">
        <x:v>10</x:v>
      </x:c>
      <x:c r="N9" s="50" t="n">
        <x:v>0.08</x:v>
      </x:c>
      <x:c r="O9" s="51" t="n">
        <x:v>25</x:v>
      </x:c>
      <x:c r="P9" s="42" t="n">
        <x:f>SUM(G9:J9)+K9*L9+M9+N9*E9*O9</x:f>
        <x:v>145</x:v>
      </x:c>
      <x:c r="Q9" s="36"/>
    </x:row>
    <x:row r="10"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</x:row>
    <x:row r="11"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</x:row>
    <x:row r="12">
      <x:c r="C12" s="9" t="str">
        <x:v>Program result</x:v>
      </x:c>
      <x:c r="D12" s="9" t="str">
        <x:v>Value</x:v>
      </x:c>
      <x:c r="E12" s="9" t="str">
        <x:v>Unit</x:v>
      </x:c>
      <x:c r="F12" s="9" t="str">
        <x:v>Interpretation</x:v>
      </x:c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</x:row>
    <x:row r="13">
      <x:c r="C13" s="37" t="str">
        <x:v>Lowest incremental comparator</x:v>
      </x:c>
      <x:c r="D13" s="48" t="n">
        <x:f>MIN(P6:P9)</x:f>
        <x:v>46.88</x:v>
      </x:c>
      <x:c r="E13" s="37" t="str">
        <x:v>$B</x:v>
      </x:c>
      <x:c r="F13" s="37" t="str">
        <x:v>Declared incremental cost, not estimate</x:v>
      </x:c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</x:row>
    <x:row r="14">
      <x:c r="C14" s="37" t="str">
        <x:v>Highest incremental comparator</x:v>
      </x:c>
      <x:c r="D14" s="48" t="n">
        <x:f>MAX(P6:P9)</x:f>
        <x:v>145</x:v>
      </x:c>
      <x:c r="E14" s="37" t="str">
        <x:v>$B</x:v>
      </x:c>
      <x:c r="F14" s="37" t="str">
        <x:v>Highest technology and industrial burden</x:v>
      </x:c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</x:row>
    <x:row r="15">
      <x:c r="C15" s="37" t="str">
        <x:v>Four-line sum</x:v>
      </x:c>
      <x:c r="D15" s="48" t="n">
        <x:f>SUM(P6:P9)</x:f>
        <x:v>331.28</x:v>
      </x:c>
      <x:c r="E15" s="37" t="str">
        <x:v>$B</x:v>
      </x:c>
      <x:c r="F15" s="37" t="str">
        <x:v>Not a portfolio recommendation</x:v>
      </x:c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</x:row>
    <x:row r="16">
      <x:c r="C16" s="37" t="str">
        <x:v>Procurement selection</x:v>
      </x:c>
      <x:c r="D16" s="37" t="str">
        <x:v>NONE</x:v>
      </x:c>
      <x:c r="E16" s="37" t="str">
        <x:v>decision</x:v>
      </x:c>
      <x:c r="F16" s="37" t="str">
        <x:v>Proof precedes procurement</x:v>
      </x:c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</x:row>
  </x:sheetData>
  <x:pageMargins left="0.7" right="0.7" top="0.75" bottom="0.75" header="0.3" footer="0.3"/>
  <x:tableParts count="1">
    <x:tablePart xmlns:r="http://schemas.openxmlformats.org/officeDocument/2006/relationships" r:id="R073e0da6ff504fdc"/>
  </x:tableParts>
</x:worksheet>
</file>

<file path=xl/worksheets/sheet8.xml><?xml version="1.0" encoding="utf-8"?>
<x:worksheet xmlns:x="http://schemas.openxmlformats.org/spreadsheetml/2006/main">
  <x:sheetPr>
    <x:tabColor rgb="FFCBD5D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1" hidden="0" customWidth="1"/>
    <x:col min="4" max="4" width="37" hidden="0" customWidth="1"/>
    <x:col min="5" max="5" width="49" hidden="0" customWidth="1"/>
    <x:col min="6" max="6" width="54" hidden="0" customWidth="1"/>
    <x:col min="7" max="7" width="38" hidden="0" customWidth="1"/>
    <x:col min="8" max="8" width="16" hidden="0" customWidth="1"/>
    <x:col min="9" max="9" width="18" hidden="0" customWidth="1"/>
  </x:cols>
  <x:sheetData>
    <x:row r="2">
      <x:c r="C2" s="33" t="str">
        <x:v>Closed-loop endurance test contract</x:v>
      </x:c>
      <x:c r="D2" s="34"/>
      <x:c r="E2" s="34"/>
      <x:c r="F2" s="34"/>
      <x:c r="G2" s="34"/>
      <x:c r="H2" s="34"/>
      <x:c r="I2" s="34"/>
      <x:c r="J2" s="34"/>
    </x:row>
    <x:row r="3">
      <x:c r="C3" s="35" t="str">
        <x:v>No architecture enters procurement until full-scale balances, failure behavior, public-health separation and repeatability are demonstrated.</x:v>
      </x:c>
      <x:c r="D3" s="35"/>
      <x:c r="E3" s="35"/>
      <x:c r="F3" s="35"/>
      <x:c r="G3" s="35"/>
      <x:c r="H3" s="35"/>
      <x:c r="I3" s="35"/>
      <x:c r="J3" s="35"/>
    </x:row>
    <x:row r="4">
      <x:c r="C4" s="36"/>
      <x:c r="D4" s="36"/>
      <x:c r="E4" s="36"/>
      <x:c r="F4" s="36"/>
      <x:c r="G4" s="36"/>
      <x:c r="H4" s="36"/>
      <x:c r="I4" s="36"/>
      <x:c r="J4" s="36"/>
    </x:row>
    <x:row r="5">
      <x:c r="C5" s="9" t="str">
        <x:v>Gate</x:v>
      </x:c>
      <x:c r="D5" s="9" t="str">
        <x:v>Test article</x:v>
      </x:c>
      <x:c r="E5" s="9" t="str">
        <x:v>Measured output</x:v>
      </x:c>
      <x:c r="F5" s="9" t="str">
        <x:v>Pass condition</x:v>
      </x:c>
      <x:c r="G5" s="9" t="str">
        <x:v>Failure consequence</x:v>
      </x:c>
      <x:c r="H5" s="9" t="str">
        <x:v>State</x:v>
      </x:c>
      <x:c r="I5" s="9" t="str">
        <x:v>Applies to</x:v>
      </x:c>
      <x:c r="J5" s="36"/>
    </x:row>
    <x:row r="6" ht="49" customHeight="1">
      <x:c r="C6" s="37" t="str">
        <x:v>T1</x:v>
      </x:c>
      <x:c r="D6" s="39" t="str">
        <x:v>Full-scale 5,000 m³/day train</x:v>
      </x:c>
      <x:c r="E6" s="39" t="str">
        <x:v>Hourly product, liquid residual, solids and unaccounted water</x:v>
      </x:c>
      <x:c r="F6" s="39" t="str">
        <x:v>Thirty-day mass balance closes inside declared tolerance</x:v>
      </x:c>
      <x:c r="G6" s="39" t="str">
        <x:v>No endurance credit</x:v>
      </x:c>
      <x:c r="H6" s="37" t="str">
        <x:v>OPEN</x:v>
      </x:c>
      <x:c r="I6" s="37" t="str">
        <x:v>E1-E4</x:v>
      </x:c>
      <x:c r="J6" s="36"/>
    </x:row>
    <x:row r="7" ht="49" customHeight="1">
      <x:c r="C7" s="37" t="str">
        <x:v>T2</x:v>
      </x:c>
      <x:c r="D7" s="39" t="str">
        <x:v>Fourteen-day sealed custody</x:v>
      </x:c>
      <x:c r="E7" s="39" t="str">
        <x:v>Volume, leakage, vapor, secondary containment and transfer loss</x:v>
      </x:c>
      <x:c r="F7" s="39" t="str">
        <x:v>All residual retained and recoverable</x:v>
      </x:c>
      <x:c r="G7" s="39" t="str">
        <x:v>W7 credit denied</x:v>
      </x:c>
      <x:c r="H7" s="37" t="str">
        <x:v>OPEN</x:v>
      </x:c>
      <x:c r="I7" s="37" t="str">
        <x:v>E1,E3</x:v>
      </x:c>
      <x:c r="J7" s="36"/>
    </x:row>
    <x:row r="8" ht="49" customHeight="1">
      <x:c r="C8" s="37" t="str">
        <x:v>T3</x:v>
      </x:c>
      <x:c r="D8" s="39" t="str">
        <x:v>Regeneration campaign</x:v>
      </x:c>
      <x:c r="E8" s="39" t="str">
        <x:v>Media performance, chemical yield, byproducts and make-up demand</x:v>
      </x:c>
      <x:c r="F8" s="39" t="str">
        <x:v>Thirty days without external process consumables</x:v>
      </x:c>
      <x:c r="G8" s="39" t="str">
        <x:v>W11 credit denied</x:v>
      </x:c>
      <x:c r="H8" s="37" t="str">
        <x:v>OPEN</x:v>
      </x:c>
      <x:c r="I8" s="37" t="str">
        <x:v>E2,E4</x:v>
      </x:c>
      <x:c r="J8" s="36"/>
    </x:row>
    <x:row r="9" ht="49" customHeight="1">
      <x:c r="C9" s="37" t="str">
        <x:v>T4</x:v>
      </x:c>
      <x:c r="D9" s="39" t="str">
        <x:v>Residual dewatering</x:v>
      </x:c>
      <x:c r="E9" s="39" t="str">
        <x:v>Liquid recovery, solids mass, hazardous classification and energy</x:v>
      </x:c>
      <x:c r="F9" s="39" t="str">
        <x:v>Declared reduction holds across feed envelope</x:v>
      </x:c>
      <x:c r="G9" s="39" t="str">
        <x:v>No reduced-residual credit</x:v>
      </x:c>
      <x:c r="H9" s="37" t="str">
        <x:v>OPEN</x:v>
      </x:c>
      <x:c r="I9" s="37" t="str">
        <x:v>E2,E4</x:v>
      </x:c>
      <x:c r="J9" s="36"/>
    </x:row>
    <x:row r="10" ht="49" customHeight="1">
      <x:c r="C10" s="37" t="str">
        <x:v>T5</x:v>
      </x:c>
      <x:c r="D10" s="39" t="str">
        <x:v>Dual-quality field network</x:v>
      </x:c>
      <x:c r="E10" s="39" t="str">
        <x:v>Pressure, tracer, backflow and connection state</x:v>
      </x:c>
      <x:c r="F10" s="39" t="str">
        <x:v>No cross-connection through faults and operator error</x:v>
      </x:c>
      <x:c r="G10" s="39" t="str">
        <x:v>No public deployment</x:v>
      </x:c>
      <x:c r="H10" s="37" t="str">
        <x:v>OPEN</x:v>
      </x:c>
      <x:c r="I10" s="37" t="str">
        <x:v>E3</x:v>
      </x:c>
      <x:c r="J10" s="36"/>
    </x:row>
    <x:row r="11" ht="49" customHeight="1">
      <x:c r="C11" s="37" t="str">
        <x:v>T6</x:v>
      </x:c>
      <x:c r="D11" s="39" t="str">
        <x:v>Safe-stop challenge</x:v>
      </x:c>
      <x:c r="E11" s="39" t="str">
        <x:v>Product isolation and public issue state</x:v>
      </x:c>
      <x:c r="F11" s="39" t="str">
        <x:v>Out-of-envelope feed causes verified hold</x:v>
      </x:c>
      <x:c r="G11" s="39" t="str">
        <x:v>Architecture rejected</x:v>
      </x:c>
      <x:c r="H11" s="37" t="str">
        <x:v>OPEN</x:v>
      </x:c>
      <x:c r="I11" s="37" t="str">
        <x:v>E1-E4</x:v>
      </x:c>
      <x:c r="J11" s="36"/>
    </x:row>
    <x:row r="12" ht="49" customHeight="1">
      <x:c r="C12" s="37" t="str">
        <x:v>T7</x:v>
      </x:c>
      <x:c r="D12" s="39" t="str">
        <x:v>Power-derated operation</x:v>
      </x:c>
      <x:c r="E12" s="39" t="str">
        <x:v>Net product, critical load, transient and restart</x:v>
      </x:c>
      <x:c r="F12" s="39" t="str">
        <x:v>Required service closes at declared available power</x:v>
      </x:c>
      <x:c r="G12" s="39" t="str">
        <x:v>Stress credit denied</x:v>
      </x:c>
      <x:c r="H12" s="37" t="str">
        <x:v>OPEN</x:v>
      </x:c>
      <x:c r="I12" s="37" t="str">
        <x:v>E1-E4</x:v>
      </x:c>
      <x:c r="J12" s="36"/>
    </x:row>
    <x:row r="13" ht="49" customHeight="1">
      <x:c r="C13" s="37" t="str">
        <x:v>T8</x:v>
      </x:c>
      <x:c r="D13" s="39" t="str">
        <x:v>Regeneration train loss</x:v>
      </x:c>
      <x:c r="E13" s="39" t="str">
        <x:v>Capacity and product quality after isolation</x:v>
      </x:c>
      <x:c r="F13" s="39" t="str">
        <x:v>Required service retained without common-mode contamination</x:v>
      </x:c>
      <x:c r="G13" s="39" t="str">
        <x:v>N+1 claim denied</x:v>
      </x:c>
      <x:c r="H13" s="37" t="str">
        <x:v>OPEN</x:v>
      </x:c>
      <x:c r="I13" s="37" t="str">
        <x:v>E2,E4</x:v>
      </x:c>
      <x:c r="J13" s="36"/>
    </x:row>
    <x:row r="14" ht="49" customHeight="1">
      <x:c r="C14" s="37" t="str">
        <x:v>T9</x:v>
      </x:c>
      <x:c r="D14" s="39" t="str">
        <x:v>Cold-soak mission</x:v>
      </x:c>
      <x:c r="E14" s="39" t="str">
        <x:v>Startup, flow, chemical state, sensors and containment</x:v>
      </x:c>
      <x:c r="F14" s="39" t="str">
        <x:v>Thirty days across qualification envelope</x:v>
      </x:c>
      <x:c r="G14" s="39" t="str">
        <x:v>Cold credit denied</x:v>
      </x:c>
      <x:c r="H14" s="37" t="str">
        <x:v>OPEN</x:v>
      </x:c>
      <x:c r="I14" s="37" t="str">
        <x:v>E1-E4</x:v>
      </x:c>
      <x:c r="J14" s="36"/>
    </x:row>
    <x:row r="15" ht="49" customHeight="1">
      <x:c r="C15" s="37" t="str">
        <x:v>T10</x:v>
      </x:c>
      <x:c r="D15" s="39" t="str">
        <x:v>Immediate repeat mission</x:v>
      </x:c>
      <x:c r="E15" s="39" t="str">
        <x:v>Availability, retained waste, fouling and replacement inventory</x:v>
      </x:c>
      <x:c r="F15" s="39" t="str">
        <x:v>Second fourteen-day mission starts without depot reset</x:v>
      </x:c>
      <x:c r="G15" s="39" t="str">
        <x:v>Repeat credit denied</x:v>
      </x:c>
      <x:c r="H15" s="37" t="str">
        <x:v>OPEN</x:v>
      </x:c>
      <x:c r="I15" s="37" t="str">
        <x:v>E1-E4</x:v>
      </x:c>
      <x:c r="J15" s="36"/>
    </x:row>
    <x:row r="16" ht="49" customHeight="1">
      <x:c r="C16" s="37" t="str">
        <x:v>T11</x:v>
      </x:c>
      <x:c r="D16" s="39" t="str">
        <x:v>Independent quality release</x:v>
      </x:c>
      <x:c r="E16" s="39" t="str">
        <x:v>Blind samples, false release and false hold</x:v>
      </x:c>
      <x:c r="F16" s="39" t="str">
        <x:v>Authority isolates unsafe product and releases valid product</x:v>
      </x:c>
      <x:c r="G16" s="39" t="str">
        <x:v>Service credit denied</x:v>
      </x:c>
      <x:c r="H16" s="37" t="str">
        <x:v>OPEN</x:v>
      </x:c>
      <x:c r="I16" s="37" t="str">
        <x:v>E1-E4</x:v>
      </x:c>
      <x:c r="J16" s="36"/>
    </x:row>
    <x:row r="17" ht="49" customHeight="1">
      <x:c r="C17" s="37" t="str">
        <x:v>T12</x:v>
      </x:c>
      <x:c r="D17" s="39" t="str">
        <x:v>Hazardous-residual custody</x:v>
      </x:c>
      <x:c r="E17" s="39" t="str">
        <x:v>Package integrity, worker exposure, records and final disposition</x:v>
      </x:c>
      <x:c r="F17" s="39" t="str">
        <x:v>All mass remains traced to lawful destination</x:v>
      </x:c>
      <x:c r="G17" s="39" t="str">
        <x:v>Residual credit denied</x:v>
      </x:c>
      <x:c r="H17" s="37" t="str">
        <x:v>OPEN</x:v>
      </x:c>
      <x:c r="I17" s="37" t="str">
        <x:v>E1-E4</x:v>
      </x:c>
      <x:c r="J17" s="36"/>
    </x:row>
    <x:row r="18" ht="49" customHeight="1">
      <x:c r="C18" s="37" t="str">
        <x:v>T13</x:v>
      </x:c>
      <x:c r="D18" s="39" t="str">
        <x:v>Maintenance and repair</x:v>
      </x:c>
      <x:c r="E18" s="39" t="str">
        <x:v>Mean restore time and configuration record</x:v>
      </x:c>
      <x:c r="F18" s="39" t="str">
        <x:v>Declared availability survives representative faults</x:v>
      </x:c>
      <x:c r="G18" s="39" t="str">
        <x:v>Fleet quantity unresolved</x:v>
      </x:c>
      <x:c r="H18" s="37" t="str">
        <x:v>OPEN</x:v>
      </x:c>
      <x:c r="I18" s="37" t="str">
        <x:v>E1-E4</x:v>
      </x:c>
      <x:c r="J18" s="36"/>
    </x:row>
    <x:row r="19" ht="49" customHeight="1">
      <x:c r="C19" s="37" t="str">
        <x:v>T14</x:v>
      </x:c>
      <x:c r="D19" s="39" t="str">
        <x:v>Theater deployment</x:v>
      </x:c>
      <x:c r="E19" s="39" t="str">
        <x:v>Chargeable mass, setup hours and site burden</x:v>
      </x:c>
      <x:c r="F19" s="39" t="str">
        <x:v>Complete chain arrives and starts inside mission target</x:v>
      </x:c>
      <x:c r="G19" s="39" t="str">
        <x:v>Force design unresolved</x:v>
      </x:c>
      <x:c r="H19" s="37" t="str">
        <x:v>OPEN</x:v>
      </x:c>
      <x:c r="I19" s="37" t="str">
        <x:v>E1-E4</x:v>
      </x:c>
      <x:c r="J19" s="36"/>
    </x:row>
    <x:row r="20" ht="49" customHeight="1">
      <x:c r="C20" s="37" t="str">
        <x:v>T15</x:v>
      </x:c>
      <x:c r="D20" s="39" t="str">
        <x:v>Human-factors and staffing</x:v>
      </x:c>
      <x:c r="E20" s="39" t="str">
        <x:v>Workload, error rate, protective equipment and relief</x:v>
      </x:c>
      <x:c r="F20" s="39" t="str">
        <x:v>Crew model closes continuously for thirty days</x:v>
      </x:c>
      <x:c r="G20" s="39" t="str">
        <x:v>Crew model unresolved</x:v>
      </x:c>
      <x:c r="H20" s="37" t="str">
        <x:v>OPEN</x:v>
      </x:c>
      <x:c r="I20" s="37" t="str">
        <x:v>E1-E4</x:v>
      </x:c>
      <x:c r="J20" s="36"/>
    </x:row>
    <x:row r="21" ht="49" customHeight="1">
      <x:c r="C21" s="37" t="str">
        <x:v>T16</x:v>
      </x:c>
      <x:c r="D21" s="39" t="str">
        <x:v>Environmental receiving record</x:v>
      </x:c>
      <x:c r="E21" s="39" t="str">
        <x:v>Withdrawal, energy, solid/liquid disposition and restoration</x:v>
      </x:c>
      <x:c r="F21" s="39" t="str">
        <x:v>No unrecorded environmental transfer</x:v>
      </x:c>
      <x:c r="G21" s="39" t="str">
        <x:v>Mission not releasable</x:v>
      </x:c>
      <x:c r="H21" s="37" t="str">
        <x:v>OPEN</x:v>
      </x:c>
      <x:c r="I21" s="37" t="str">
        <x:v>E1-E4</x:v>
      </x:c>
      <x:c r="J21" s="36"/>
    </x:row>
    <x:row r="22" ht="49" customHeight="1">
      <x:c r="C22" s="37" t="str">
        <x:v>T17</x:v>
      </x:c>
      <x:c r="D22" s="39" t="str">
        <x:v>Second-source integration</x:v>
      </x:c>
      <x:c r="E22" s="39" t="str">
        <x:v>Receiver isolation, switchover and batch identity</x:v>
      </x:c>
      <x:c r="F22" s="39" t="str">
        <x:v>No common-mode quality or power path</x:v>
      </x:c>
      <x:c r="G22" s="39" t="str">
        <x:v>Assurance claim denied</x:v>
      </x:c>
      <x:c r="H22" s="37" t="str">
        <x:v>OPEN</x:v>
      </x:c>
      <x:c r="I22" s="37" t="str">
        <x:v>E1-E4</x:v>
      </x:c>
      <x:c r="J22" s="36"/>
    </x:row>
  </x:sheetData>
  <x:conditionalFormatting sqref="H6:H22">
    <x:cfRule type="containsText" dxfId="28" priority="1" operator="containsText" text="FAIL"/>
    <x:cfRule type="containsText" dxfId="29" priority="2" operator="containsText" text="DENIED"/>
    <x:cfRule type="containsText" dxfId="30" priority="3" operator="containsText" text="BLOCKED"/>
    <x:cfRule type="containsText" dxfId="31" priority="4" operator="containsText" text="OPEN"/>
    <x:cfRule type="containsText" dxfId="32" priority="5" operator="containsText" text="UNTESTED"/>
    <x:cfRule type="containsText" dxfId="33" priority="6" operator="containsText" text="DECLARED"/>
    <x:cfRule type="containsText" dxfId="34" priority="7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86bc00e257c04e2e"/>
  </x:tableParts>
</x:worksheet>
</file>

<file path=xl/worksheets/sheet9.xml><?xml version="1.0" encoding="utf-8"?>
<x:worksheet xmlns:x="http://schemas.openxmlformats.org/spreadsheetml/2006/main">
  <x:sheetPr>
    <x:tabColor rgb="FFCBD5D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5" hidden="0" customWidth="1"/>
    <x:col min="4" max="4" width="42" hidden="0" customWidth="1"/>
    <x:col min="5" max="5" width="25" hidden="0" customWidth="1"/>
    <x:col min="6" max="6" width="60" hidden="0" customWidth="1"/>
    <x:col min="7" max="7" width="18" hidden="0" customWidth="1"/>
    <x:col min="8" max="8" width="46" hidden="0" customWidth="1"/>
    <x:col min="9" max="9" width="30" hidden="0" customWidth="1"/>
    <x:col min="10" max="10" width="20" hidden="0" customWidth="1"/>
  </x:cols>
  <x:sheetData>
    <x:row r="2">
      <x:c r="C2" s="33" t="str">
        <x:v>Evidence and lineage</x:v>
      </x:c>
      <x:c r="D2" s="34"/>
      <x:c r="E2" s="34"/>
      <x:c r="F2" s="34"/>
      <x:c r="G2" s="34"/>
      <x:c r="H2" s="34"/>
      <x:c r="I2" s="34"/>
      <x:c r="J2" s="34"/>
      <x:c r="K2" s="34"/>
    </x:row>
    <x:row r="3">
      <x:c r="C3" s="35" t="str">
        <x:v>This pass uses only repository research and declared design hypotheses. It does not add external web sources.</x:v>
      </x:c>
      <x:c r="D3" s="35"/>
      <x:c r="E3" s="35"/>
      <x:c r="F3" s="35"/>
      <x:c r="G3" s="35"/>
      <x:c r="H3" s="35"/>
      <x:c r="I3" s="35"/>
      <x:c r="J3" s="35"/>
      <x:c r="K3" s="35"/>
    </x:row>
    <x:row r="4">
      <x:c r="C4" s="36"/>
      <x:c r="D4" s="36"/>
      <x:c r="E4" s="36"/>
      <x:c r="F4" s="36"/>
      <x:c r="G4" s="36"/>
      <x:c r="H4" s="36"/>
      <x:c r="I4" s="36"/>
      <x:c r="J4" s="36"/>
      <x:c r="K4" s="36"/>
    </x:row>
    <x:row r="5">
      <x:c r="C5" s="9" t="str">
        <x:v>Claim family</x:v>
      </x:c>
      <x:c r="D5" s="9" t="str">
        <x:v>Input or boundary</x:v>
      </x:c>
      <x:c r="E5" s="9" t="str">
        <x:v>Type</x:v>
      </x:c>
      <x:c r="F5" s="9" t="str">
        <x:v>Repository source</x:v>
      </x:c>
      <x:c r="G5" s="9" t="str">
        <x:v>Status</x:v>
      </x:c>
      <x:c r="H5" s="9" t="str">
        <x:v>Next evidence</x:v>
      </x:c>
      <x:c r="I5" s="9" t="str">
        <x:v>Owner</x:v>
      </x:c>
      <x:c r="J5" s="9" t="str">
        <x:v>Admission use</x:v>
      </x:c>
      <x:c r="K5" s="36"/>
    </x:row>
    <x:row r="6" ht="48" customHeight="1">
      <x:c r="C6" s="37" t="str">
        <x:v>Assurance mission</x:v>
      </x:c>
      <x:c r="D6" s="39" t="str">
        <x:v>5,000 m³/day by hour 72</x:v>
      </x:c>
      <x:c r="E6" s="39" t="str">
        <x:v>Inherited model output</x:v>
      </x:c>
      <x:c r="F6" s="39" t="str">
        <x:v>research/force/projection/wrg-fr10-assurance-source-family-competition.md</x:v>
      </x:c>
      <x:c r="G6" s="39" t="str">
        <x:v>DOCUMENTED</x:v>
      </x:c>
      <x:c r="H6" s="39" t="str">
        <x:v>Repeat source-world campaign</x:v>
      </x:c>
      <x:c r="I6" s="39" t="str">
        <x:v>Water test command</x:v>
      </x:c>
      <x:c r="J6" s="39" t="str">
        <x:v>Context only</x:v>
      </x:c>
      <x:c r="K6" s="36"/>
    </x:row>
    <x:row r="7" ht="48" customHeight="1">
      <x:c r="C7" s="37" t="str">
        <x:v>Unknown-agent rule</x:v>
      </x:c>
      <x:c r="D7" s="39" t="str">
        <x:v>Held provenance requires physical independence</x:v>
      </x:c>
      <x:c r="E7" s="39" t="str">
        <x:v>Inherited doctrine</x:v>
      </x:c>
      <x:c r="F7" s="39" t="str">
        <x:v>research/force/projection/wrg-fr10-unknown-agent-water-assurance.md</x:v>
      </x:c>
      <x:c r="G7" s="39" t="str">
        <x:v>DOCUMENTED</x:v>
      </x:c>
      <x:c r="H7" s="39" t="str">
        <x:v>Blind decision exercise</x:v>
      </x:c>
      <x:c r="I7" s="39" t="str">
        <x:v>Quality authority</x:v>
      </x:c>
      <x:c r="J7" s="39" t="str">
        <x:v>Context only</x:v>
      </x:c>
      <x:c r="K7" s="36"/>
    </x:row>
    <x:row r="8" ht="48" customHeight="1">
      <x:c r="C8" s="37" t="str">
        <x:v>Baseline C3</x:v>
      </x:c>
      <x:c r="D8" s="39" t="str">
        <x:v>Mass, power, residual and endurance</x:v>
      </x:c>
      <x:c r="E8" s="39" t="str">
        <x:v>Inherited configuration</x:v>
      </x:c>
      <x:c r="F8" s="39" t="str">
        <x:v>models/force/projection/wrg-fr10-assurance-source-family-competition.xlsx</x:v>
      </x:c>
      <x:c r="G8" s="39" t="str">
        <x:v>DECLARED</x:v>
      </x:c>
      <x:c r="H8" s="39" t="str">
        <x:v>Weigh and run full article</x:v>
      </x:c>
      <x:c r="I8" s="39" t="str">
        <x:v>Program office</x:v>
      </x:c>
      <x:c r="J8" s="39" t="str">
        <x:v>No</x:v>
      </x:c>
      <x:c r="K8" s="36"/>
    </x:row>
    <x:row r="9" ht="48" customHeight="1">
      <x:c r="C9" s="37" t="str">
        <x:v>E1 storage</x:v>
      </x:c>
      <x:c r="D9" s="39" t="str">
        <x:v>Fourteen-day liquid custody</x:v>
      </x:c>
      <x:c r="E9" s="39" t="str">
        <x:v>Design hypothesis</x:v>
      </x:c>
      <x:c r="F9" s="39" t="str">
        <x:v>This workbook: 04 Material Balance</x:v>
      </x:c>
      <x:c r="G9" s="39" t="str">
        <x:v>UNTESTED</x:v>
      </x:c>
      <x:c r="H9" s="39" t="str">
        <x:v>T2 custody campaign</x:v>
      </x:c>
      <x:c r="I9" s="39" t="str">
        <x:v>Residual systems laboratory</x:v>
      </x:c>
      <x:c r="J9" s="39" t="str">
        <x:v>No</x:v>
      </x:c>
      <x:c r="K9" s="36"/>
    </x:row>
    <x:row r="10" ht="48" customHeight="1">
      <x:c r="C10" s="37" t="str">
        <x:v>E2 regeneration</x:v>
      </x:c>
      <x:c r="D10" s="39" t="str">
        <x:v>85% liquid and 80% consumable reduction</x:v>
      </x:c>
      <x:c r="E10" s="39" t="str">
        <x:v>Technology target</x:v>
      </x:c>
      <x:c r="F10" s="39" t="str">
        <x:v>This workbook: 01 Controls</x:v>
      </x:c>
      <x:c r="G10" s="39" t="str">
        <x:v>UNTESTED</x:v>
      </x:c>
      <x:c r="H10" s="39" t="str">
        <x:v>T3-T4 full campaign</x:v>
      </x:c>
      <x:c r="I10" s="39" t="str">
        <x:v>Process technology directorate</x:v>
      </x:c>
      <x:c r="J10" s="39" t="str">
        <x:v>No</x:v>
      </x:c>
      <x:c r="K10" s="36"/>
    </x:row>
    <x:row r="11" ht="48" customHeight="1">
      <x:c r="C11" s="37" t="str">
        <x:v>E3 service split</x:v>
      </x:c>
      <x:c r="D11" s="39" t="str">
        <x:v>60% high-grade and isolated use-specific service</x:v>
      </x:c>
      <x:c r="E11" s="39" t="str">
        <x:v>Doctrine and system hypothesis</x:v>
      </x:c>
      <x:c r="F11" s="39" t="str">
        <x:v>This workbook: 02 Architectures</x:v>
      </x:c>
      <x:c r="G11" s="39" t="str">
        <x:v>UNTESTED</x:v>
      </x:c>
      <x:c r="H11" s="39" t="str">
        <x:v>T5 public-health network exercise</x:v>
      </x:c>
      <x:c r="I11" s="39" t="str">
        <x:v>Utility integration directorate</x:v>
      </x:c>
      <x:c r="J11" s="39" t="str">
        <x:v>No</x:v>
      </x:c>
      <x:c r="K11" s="36"/>
    </x:row>
    <x:row r="12" ht="48" customHeight="1">
      <x:c r="C12" s="37" t="str">
        <x:v>E4 circular cell</x:v>
      </x:c>
      <x:c r="D12" s="39" t="str">
        <x:v>1% liquid residual with 15 t/day solids</x:v>
      </x:c>
      <x:c r="E12" s="39" t="str">
        <x:v>Technology target</x:v>
      </x:c>
      <x:c r="F12" s="39" t="str">
        <x:v>This workbook: 02 Architectures</x:v>
      </x:c>
      <x:c r="G12" s="39" t="str">
        <x:v>UNTESTED</x:v>
      </x:c>
      <x:c r="H12" s="39" t="str">
        <x:v>T1-T4 campaign</x:v>
      </x:c>
      <x:c r="I12" s="39" t="str">
        <x:v>Process technology directorate</x:v>
      </x:c>
      <x:c r="J12" s="39" t="str">
        <x:v>No</x:v>
      </x:c>
      <x:c r="K12" s="36"/>
    </x:row>
    <x:row r="13" ht="48" customHeight="1">
      <x:c r="C13" s="37" t="str">
        <x:v>Program</x:v>
      </x:c>
      <x:c r="D13" s="39" t="str">
        <x:v>$46.88B-$145.00B incremental alternatives</x:v>
      </x:c>
      <x:c r="E13" s="39" t="str">
        <x:v>Declared comparator</x:v>
      </x:c>
      <x:c r="F13" s="39" t="str">
        <x:v>This workbook: 06 Program</x:v>
      </x:c>
      <x:c r="G13" s="39" t="str">
        <x:v>DECLARED</x:v>
      </x:c>
      <x:c r="H13" s="39" t="str">
        <x:v>Independent cost and industrial-base estimate</x:v>
      </x:c>
      <x:c r="I13" s="39" t="str">
        <x:v>Cost assessment office</x:v>
      </x:c>
      <x:c r="J13" s="39" t="str">
        <x:v>No</x:v>
      </x:c>
      <x:c r="K13" s="36"/>
    </x:row>
    <x:row r="14" ht="48" customHeight="1">
      <x:c r="C14" s="37" t="str">
        <x:v>Rendering</x:v>
      </x:c>
      <x:c r="D14" s="39" t="str">
        <x:v>Vehicle form follows physical configuration</x:v>
      </x:c>
      <x:c r="E14" s="39" t="str">
        <x:v>Design gate</x:v>
      </x:c>
      <x:c r="F14" s="39" t="str">
        <x:v>research/standards/evidence-and-uncertainty.md</x:v>
      </x:c>
      <x:c r="G14" s="39" t="str">
        <x:v>BLOCKED</x:v>
      </x:c>
      <x:c r="H14" s="39" t="str">
        <x:v>Close material and deployment geometry</x:v>
      </x:c>
      <x:c r="I14" s="39" t="str">
        <x:v>Chief engineer</x:v>
      </x:c>
      <x:c r="J14" s="39" t="str">
        <x:v>No</x:v>
      </x:c>
      <x:c r="K14" s="36"/>
    </x:row>
  </x:sheetData>
  <x:conditionalFormatting sqref="G6:G14">
    <x:cfRule type="containsText" dxfId="35" priority="1" operator="containsText" text="FAIL"/>
    <x:cfRule type="containsText" dxfId="36" priority="2" operator="containsText" text="DENIED"/>
    <x:cfRule type="containsText" dxfId="37" priority="3" operator="containsText" text="BLOCKED"/>
    <x:cfRule type="containsText" dxfId="38" priority="4" operator="containsText" text="OPEN"/>
    <x:cfRule type="containsText" dxfId="39" priority="5" operator="containsText" text="UNTESTED"/>
    <x:cfRule type="containsText" dxfId="40" priority="6" operator="containsText" text="DECLARED"/>
    <x:cfRule type="containsText" dxfId="41" priority="7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dbfbe0f48fa54c51"/>
  </x:tableParts>
</x:worksheet>
</file>

<file path=xl/worksheets/sheet10.xml><?xml version="1.0" encoding="utf-8"?>
<x:worksheet xmlns:x="http://schemas.openxmlformats.org/spreadsheetml/2006/main">
  <x:sheetPr>
    <x:tabColor rgb="FF65507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47" hidden="0" customWidth="1"/>
    <x:col min="4" max="4" width="20" hidden="0" customWidth="1"/>
    <x:col min="5" max="5" width="20" hidden="0" customWidth="1"/>
    <x:col min="6" max="6" width="17" hidden="0" customWidth="1"/>
    <x:col min="7" max="7" width="16" hidden="0" customWidth="1"/>
  </x:cols>
  <x:sheetData>
    <x:row r="2">
      <x:c r="C2" s="33" t="str">
        <x:v>Workbook integrity</x:v>
      </x:c>
      <x:c r="D2" s="34"/>
      <x:c r="E2" s="34"/>
      <x:c r="F2" s="34"/>
      <x:c r="G2" s="34"/>
      <x:c r="H2" s="34"/>
      <x:c r="I2" s="34"/>
    </x:row>
    <x:row r="3">
      <x:c r="C3" s="35" t="str">
        <x:v>Independent terminal checks read controls, builds and outputs. No model result depends on this sheet.</x:v>
      </x:c>
      <x:c r="D3" s="35"/>
      <x:c r="E3" s="35"/>
      <x:c r="F3" s="35"/>
      <x:c r="G3" s="35"/>
      <x:c r="H3" s="35"/>
      <x:c r="I3" s="35"/>
    </x:row>
    <x:row r="4">
      <x:c r="C4" s="36"/>
      <x:c r="D4" s="36"/>
      <x:c r="E4" s="36"/>
      <x:c r="F4" s="36"/>
      <x:c r="G4" s="36"/>
      <x:c r="H4" s="36"/>
      <x:c r="I4" s="36"/>
    </x:row>
    <x:row r="5">
      <x:c r="C5" s="9" t="str">
        <x:v>Check</x:v>
      </x:c>
      <x:c r="D5" s="9" t="str">
        <x:v>Actual</x:v>
      </x:c>
      <x:c r="E5" s="9" t="str">
        <x:v>Expected</x:v>
      </x:c>
      <x:c r="F5" s="9" t="str">
        <x:v>Tolerance</x:v>
      </x:c>
      <x:c r="G5" s="9" t="str">
        <x:v>Status</x:v>
      </x:c>
      <x:c r="H5" s="36"/>
      <x:c r="I5" s="36"/>
    </x:row>
    <x:row r="6" ht="27" customHeight="1">
      <x:c r="C6" s="37" t="str">
        <x:v>Architecture count</x:v>
      </x:c>
      <x:c r="D6" s="52" t="n">
        <x:f>COUNTA('02 Architectures'!$C$6:$C$9)</x:f>
        <x:v>4</x:v>
      </x:c>
      <x:c r="E6" s="52" t="n">
        <x:v>4</x:v>
      </x:c>
      <x:c r="F6" s="52" t="n">
        <x:v>0</x:v>
      </x:c>
      <x:c r="G6" s="37" t="str">
        <x:f>IF(ABS(D6-E6)&lt;=F6,"PASS","FAIL")</x:f>
        <x:v>PASS</x:v>
      </x:c>
      <x:c r="H6" s="36"/>
      <x:c r="I6" s="36"/>
    </x:row>
    <x:row r="7" ht="27" customHeight="1">
      <x:c r="C7" s="37" t="str">
        <x:v>Stress-world count</x:v>
      </x:c>
      <x:c r="D7" s="52" t="n">
        <x:f>COUNTA('03 Stress Worlds'!$C$6:$C$15)</x:f>
        <x:v>10</x:v>
      </x:c>
      <x:c r="E7" s="52" t="n">
        <x:v>10</x:v>
      </x:c>
      <x:c r="F7" s="52" t="n">
        <x:v>0</x:v>
      </x:c>
      <x:c r="G7" s="37" t="str">
        <x:f>IF(ABS(D7-E7)&lt;=F7,"PASS","FAIL")</x:f>
        <x:v>PASS</x:v>
      </x:c>
      <x:c r="H7" s="36"/>
      <x:c r="I7" s="36"/>
    </x:row>
    <x:row r="8" ht="27" customHeight="1">
      <x:c r="C8" s="37" t="str">
        <x:v>Result-row count</x:v>
      </x:c>
      <x:c r="D8" s="52" t="n">
        <x:f>COUNTA('03 Stress Worlds'!$C$20:$C$59)</x:f>
        <x:v>40</x:v>
      </x:c>
      <x:c r="E8" s="52" t="n">
        <x:v>40</x:v>
      </x:c>
      <x:c r="F8" s="52" t="n">
        <x:v>0</x:v>
      </x:c>
      <x:c r="G8" s="37" t="str">
        <x:f>IF(ABS(D8-E8)&lt;=F8,"PASS","FAIL")</x:f>
        <x:v>PASS</x:v>
      </x:c>
      <x:c r="H8" s="36"/>
      <x:c r="I8" s="36"/>
    </x:row>
    <x:row r="9" ht="27" customHeight="1">
      <x:c r="C9" s="37" t="str">
        <x:v>E1 result coverage</x:v>
      </x:c>
      <x:c r="D9" s="52" t="n">
        <x:f>COUNTIFS('03 Stress Worlds'!$C$20:$C$59,"E1")</x:f>
        <x:v>10</x:v>
      </x:c>
      <x:c r="E9" s="52" t="n">
        <x:v>10</x:v>
      </x:c>
      <x:c r="F9" s="52" t="n">
        <x:v>0</x:v>
      </x:c>
      <x:c r="G9" s="37" t="str">
        <x:f>IF(ABS(D9-E9)&lt;=F9,"PASS","FAIL")</x:f>
        <x:v>PASS</x:v>
      </x:c>
      <x:c r="H9" s="36"/>
      <x:c r="I9" s="36"/>
    </x:row>
    <x:row r="10" ht="27" customHeight="1">
      <x:c r="C10" s="37" t="str">
        <x:v>E2 result coverage</x:v>
      </x:c>
      <x:c r="D10" s="52" t="n">
        <x:f>COUNTIFS('03 Stress Worlds'!$C$20:$C$59,"E2")</x:f>
        <x:v>10</x:v>
      </x:c>
      <x:c r="E10" s="52" t="n">
        <x:v>10</x:v>
      </x:c>
      <x:c r="F10" s="52" t="n">
        <x:v>0</x:v>
      </x:c>
      <x:c r="G10" s="37" t="str">
        <x:f>IF(ABS(D10-E10)&lt;=F10,"PASS","FAIL")</x:f>
        <x:v>PASS</x:v>
      </x:c>
      <x:c r="H10" s="36"/>
      <x:c r="I10" s="36"/>
    </x:row>
    <x:row r="11" ht="27" customHeight="1">
      <x:c r="C11" s="37" t="str">
        <x:v>E3 result coverage</x:v>
      </x:c>
      <x:c r="D11" s="52" t="n">
        <x:f>COUNTIFS('03 Stress Worlds'!$C$20:$C$59,"E3")</x:f>
        <x:v>10</x:v>
      </x:c>
      <x:c r="E11" s="52" t="n">
        <x:v>10</x:v>
      </x:c>
      <x:c r="F11" s="52" t="n">
        <x:v>0</x:v>
      </x:c>
      <x:c r="G11" s="37" t="str">
        <x:f>IF(ABS(D11-E11)&lt;=F11,"PASS","FAIL")</x:f>
        <x:v>PASS</x:v>
      </x:c>
      <x:c r="H11" s="36"/>
      <x:c r="I11" s="36"/>
    </x:row>
    <x:row r="12" ht="27" customHeight="1">
      <x:c r="C12" s="37" t="str">
        <x:v>E4 result coverage</x:v>
      </x:c>
      <x:c r="D12" s="52" t="n">
        <x:f>COUNTIFS('03 Stress Worlds'!$C$20:$C$59,"E4")</x:f>
        <x:v>10</x:v>
      </x:c>
      <x:c r="E12" s="52" t="n">
        <x:v>10</x:v>
      </x:c>
      <x:c r="F12" s="52" t="n">
        <x:v>0</x:v>
      </x:c>
      <x:c r="G12" s="37" t="str">
        <x:f>IF(ABS(D12-E12)&lt;=F12,"PASS","FAIL")</x:f>
        <x:v>PASS</x:v>
      </x:c>
      <x:c r="H12" s="36"/>
      <x:c r="I12" s="36"/>
    </x:row>
    <x:row r="13" ht="27" customHeight="1">
      <x:c r="C13" s="37" t="str">
        <x:v>E1 service balance</x:v>
      </x:c>
      <x:c r="D13" s="52" t="n">
        <x:f>'04 Material Balance'!$D$6</x:f>
        <x:v>5000</x:v>
      </x:c>
      <x:c r="E13" s="52" t="n">
        <x:v>5000</x:v>
      </x:c>
      <x:c r="F13" s="52" t="n">
        <x:v>0.01</x:v>
      </x:c>
      <x:c r="G13" s="37" t="str">
        <x:f>IF(ABS(D13-E13)&lt;=F13,"PASS","FAIL")</x:f>
        <x:v>PASS</x:v>
      </x:c>
      <x:c r="H13" s="36"/>
      <x:c r="I13" s="36"/>
    </x:row>
    <x:row r="14" ht="27" customHeight="1">
      <x:c r="C14" s="37" t="str">
        <x:v>E2 service balance</x:v>
      </x:c>
      <x:c r="D14" s="52" t="n">
        <x:f>'04 Material Balance'!$D$7</x:f>
        <x:v>5000</x:v>
      </x:c>
      <x:c r="E14" s="52" t="n">
        <x:v>5000</x:v>
      </x:c>
      <x:c r="F14" s="52" t="n">
        <x:v>0.01</x:v>
      </x:c>
      <x:c r="G14" s="37" t="str">
        <x:f>IF(ABS(D14-E14)&lt;=F14,"PASS","FAIL")</x:f>
        <x:v>PASS</x:v>
      </x:c>
      <x:c r="H14" s="36"/>
      <x:c r="I14" s="36"/>
    </x:row>
    <x:row r="15" ht="27" customHeight="1">
      <x:c r="C15" s="37" t="str">
        <x:v>E3 service balance</x:v>
      </x:c>
      <x:c r="D15" s="52" t="n">
        <x:f>'04 Material Balance'!$D$8</x:f>
        <x:v>5000</x:v>
      </x:c>
      <x:c r="E15" s="52" t="n">
        <x:v>5000</x:v>
      </x:c>
      <x:c r="F15" s="52" t="n">
        <x:v>0.01</x:v>
      </x:c>
      <x:c r="G15" s="37" t="str">
        <x:f>IF(ABS(D15-E15)&lt;=F15,"PASS","FAIL")</x:f>
        <x:v>PASS</x:v>
      </x:c>
      <x:c r="H15" s="36"/>
      <x:c r="I15" s="36"/>
    </x:row>
    <x:row r="16" ht="27" customHeight="1">
      <x:c r="C16" s="37" t="str">
        <x:v>E4 service balance</x:v>
      </x:c>
      <x:c r="D16" s="52" t="n">
        <x:f>'04 Material Balance'!$D$9</x:f>
        <x:v>5000</x:v>
      </x:c>
      <x:c r="E16" s="52" t="n">
        <x:v>5000</x:v>
      </x:c>
      <x:c r="F16" s="52" t="n">
        <x:v>0.01</x:v>
      </x:c>
      <x:c r="G16" s="37" t="str">
        <x:f>IF(ABS(D16-E16)&lt;=F16,"PASS","FAIL")</x:f>
        <x:v>PASS</x:v>
      </x:c>
      <x:c r="H16" s="36"/>
      <x:c r="I16" s="36"/>
    </x:row>
    <x:row r="17" ht="27" customHeight="1">
      <x:c r="C17" s="37" t="str">
        <x:v>E1 fourteen-day liquid need</x:v>
      </x:c>
      <x:c r="D17" s="52" t="n">
        <x:f>'04 Material Balance'!$H$6</x:f>
        <x:v>17500</x:v>
      </x:c>
      <x:c r="E17" s="52" t="n">
        <x:v>17500</x:v>
      </x:c>
      <x:c r="F17" s="52" t="n">
        <x:v>0.01</x:v>
      </x:c>
      <x:c r="G17" s="37" t="str">
        <x:f>IF(ABS(D17-E17)&lt;=F17,"PASS","FAIL")</x:f>
        <x:v>PASS</x:v>
      </x:c>
      <x:c r="H17" s="36"/>
      <x:c r="I17" s="36"/>
    </x:row>
    <x:row r="18" ht="27" customHeight="1">
      <x:c r="C18" s="37" t="str">
        <x:v>E1 fourteen-day liquid margin</x:v>
      </x:c>
      <x:c r="D18" s="52" t="n">
        <x:f>'04 Material Balance'!$K$6</x:f>
        <x:v>0</x:v>
      </x:c>
      <x:c r="E18" s="52" t="n">
        <x:v>0</x:v>
      </x:c>
      <x:c r="F18" s="52" t="n">
        <x:v>0.01</x:v>
      </x:c>
      <x:c r="G18" s="37" t="str">
        <x:f>IF(ABS(D18-E18)&lt;=F18,"PASS","FAIL")</x:f>
        <x:v>PASS</x:v>
      </x:c>
      <x:c r="H18" s="36"/>
      <x:c r="I18" s="36"/>
    </x:row>
    <x:row r="19" ht="27" customHeight="1">
      <x:c r="C19" s="37" t="str">
        <x:v>E1 thirty-day liquid margin is negative</x:v>
      </x:c>
      <x:c r="D19" s="52" t="n">
        <x:f>IF('04 Material Balance'!$L$6&lt;0,1,0)</x:f>
        <x:v>1</x:v>
      </x:c>
      <x:c r="E19" s="52" t="n">
        <x:v>1</x:v>
      </x:c>
      <x:c r="F19" s="52" t="n">
        <x:v>0</x:v>
      </x:c>
      <x:c r="G19" s="37" t="str">
        <x:f>IF(ABS(D19-E19)&lt;=F19,"PASS","FAIL")</x:f>
        <x:v>PASS</x:v>
      </x:c>
      <x:c r="H19" s="36"/>
      <x:c r="I19" s="36"/>
    </x:row>
    <x:row r="20" ht="27" customHeight="1">
      <x:c r="C20" s="37" t="str">
        <x:v>E2 thirty-day liquid margin nonnegative</x:v>
      </x:c>
      <x:c r="D20" s="52" t="n">
        <x:f>IF('04 Material Balance'!$L$7&gt;=0,1,0)</x:f>
        <x:v>1</x:v>
      </x:c>
      <x:c r="E20" s="52" t="n">
        <x:v>1</x:v>
      </x:c>
      <x:c r="F20" s="52" t="n">
        <x:v>0</x:v>
      </x:c>
      <x:c r="G20" s="37" t="str">
        <x:f>IF(ABS(D20-E20)&lt;=F20,"PASS","FAIL")</x:f>
        <x:v>PASS</x:v>
      </x:c>
      <x:c r="H20" s="36"/>
      <x:c r="I20" s="36"/>
    </x:row>
    <x:row r="21" ht="27" customHeight="1">
      <x:c r="C21" s="37" t="str">
        <x:v>E3 fourteen-day liquid margin</x:v>
      </x:c>
      <x:c r="D21" s="52" t="n">
        <x:f>'04 Material Balance'!$K$8</x:f>
        <x:v>0</x:v>
      </x:c>
      <x:c r="E21" s="52" t="n">
        <x:v>0</x:v>
      </x:c>
      <x:c r="F21" s="52" t="n">
        <x:v>0.01</x:v>
      </x:c>
      <x:c r="G21" s="37" t="str">
        <x:f>IF(ABS(D21-E21)&lt;=F21,"PASS","FAIL")</x:f>
        <x:v>PASS</x:v>
      </x:c>
      <x:c r="H21" s="36"/>
      <x:c r="I21" s="36"/>
    </x:row>
    <x:row r="22" ht="27" customHeight="1">
      <x:c r="C22" s="37" t="str">
        <x:v>E3 thirty-day liquid margin is negative</x:v>
      </x:c>
      <x:c r="D22" s="52" t="n">
        <x:f>IF('04 Material Balance'!$L$8&lt;0,1,0)</x:f>
        <x:v>1</x:v>
      </x:c>
      <x:c r="E22" s="52" t="n">
        <x:v>1</x:v>
      </x:c>
      <x:c r="F22" s="52" t="n">
        <x:v>0</x:v>
      </x:c>
      <x:c r="G22" s="37" t="str">
        <x:f>IF(ABS(D22-E22)&lt;=F22,"PASS","FAIL")</x:f>
        <x:v>PASS</x:v>
      </x:c>
      <x:c r="H22" s="36"/>
      <x:c r="I22" s="36"/>
    </x:row>
    <x:row r="23" ht="27" customHeight="1">
      <x:c r="C23" s="37" t="str">
        <x:v>E4 thirty-day liquid margin nonnegative</x:v>
      </x:c>
      <x:c r="D23" s="52" t="n">
        <x:f>IF('04 Material Balance'!$L$9&gt;=0,1,0)</x:f>
        <x:v>1</x:v>
      </x:c>
      <x:c r="E23" s="52" t="n">
        <x:v>1</x:v>
      </x:c>
      <x:c r="F23" s="52" t="n">
        <x:v>0</x:v>
      </x:c>
      <x:c r="G23" s="37" t="str">
        <x:f>IF(ABS(D23-E23)&lt;=F23,"PASS","FAIL")</x:f>
        <x:v>PASS</x:v>
      </x:c>
      <x:c r="H23" s="36"/>
      <x:c r="I23" s="36"/>
    </x:row>
    <x:row r="24" ht="27" customHeight="1">
      <x:c r="C24" s="37" t="str">
        <x:v>E1 thirty-day consumable margin</x:v>
      </x:c>
      <x:c r="D24" s="52" t="n">
        <x:f>'04 Material Balance'!$T$6</x:f>
        <x:v>0</x:v>
      </x:c>
      <x:c r="E24" s="52" t="n">
        <x:v>0</x:v>
      </x:c>
      <x:c r="F24" s="52" t="n">
        <x:v>0.01</x:v>
      </x:c>
      <x:c r="G24" s="37" t="str">
        <x:f>IF(ABS(D24-E24)&lt;=F24,"PASS","FAIL")</x:f>
        <x:v>PASS</x:v>
      </x:c>
      <x:c r="H24" s="36"/>
      <x:c r="I24" s="36"/>
    </x:row>
    <x:row r="25" ht="27" customHeight="1">
      <x:c r="C25" s="37" t="str">
        <x:v>E2 thirty-day consumable margin</x:v>
      </x:c>
      <x:c r="D25" s="52" t="n">
        <x:f>'04 Material Balance'!$T$7</x:f>
        <x:v>0</x:v>
      </x:c>
      <x:c r="E25" s="52" t="n">
        <x:v>0</x:v>
      </x:c>
      <x:c r="F25" s="52" t="n">
        <x:v>0.01</x:v>
      </x:c>
      <x:c r="G25" s="37" t="str">
        <x:f>IF(ABS(D25-E25)&lt;=F25,"PASS","FAIL")</x:f>
        <x:v>PASS</x:v>
      </x:c>
      <x:c r="H25" s="36"/>
      <x:c r="I25" s="36"/>
    </x:row>
    <x:row r="26" ht="27" customHeight="1">
      <x:c r="C26" s="37" t="str">
        <x:v>E3 thirty-day consumable margin</x:v>
      </x:c>
      <x:c r="D26" s="52" t="n">
        <x:f>'04 Material Balance'!$T$8</x:f>
        <x:v>0</x:v>
      </x:c>
      <x:c r="E26" s="52" t="n">
        <x:v>0</x:v>
      </x:c>
      <x:c r="F26" s="52" t="n">
        <x:v>0.01</x:v>
      </x:c>
      <x:c r="G26" s="37" t="str">
        <x:f>IF(ABS(D26-E26)&lt;=F26,"PASS","FAIL")</x:f>
        <x:v>PASS</x:v>
      </x:c>
      <x:c r="H26" s="36"/>
      <x:c r="I26" s="36"/>
    </x:row>
    <x:row r="27" ht="27" customHeight="1">
      <x:c r="C27" s="37" t="str">
        <x:v>E4 thirty-day consumable margin</x:v>
      </x:c>
      <x:c r="D27" s="52" t="n">
        <x:f>'04 Material Balance'!$T$9</x:f>
        <x:v>3</x:v>
      </x:c>
      <x:c r="E27" s="52" t="n">
        <x:v>3</x:v>
      </x:c>
      <x:c r="F27" s="52" t="n">
        <x:v>0.01</x:v>
      </x:c>
      <x:c r="G27" s="37" t="str">
        <x:f>IF(ABS(D27-E27)&lt;=F27,"PASS","FAIL")</x:f>
        <x:v>PASS</x:v>
      </x:c>
      <x:c r="H27" s="36"/>
      <x:c r="I27" s="36"/>
    </x:row>
    <x:row r="28" ht="27" customHeight="1">
      <x:c r="C28" s="37" t="str">
        <x:v>Base C3 critical power</x:v>
      </x:c>
      <x:c r="D28" s="52" t="n">
        <x:f>'01 Controls'!$D$6*'01 Controls'!$D$13/24/1000+'01 Controls'!$D$14</x:f>
        <x:v>0.975</x:v>
      </x:c>
      <x:c r="E28" s="52" t="n">
        <x:v>0.975</x:v>
      </x:c>
      <x:c r="F28" s="52" t="n">
        <x:v>0.0001</x:v>
      </x:c>
      <x:c r="G28" s="37" t="str">
        <x:f>IF(ABS(D28-E28)&lt;=F28,"PASS","FAIL")</x:f>
        <x:v>PASS</x:v>
      </x:c>
      <x:c r="H28" s="36"/>
      <x:c r="I28" s="36"/>
    </x:row>
    <x:row r="29" ht="27" customHeight="1">
      <x:c r="C29" s="37" t="str">
        <x:v>E1 added dry mass tie</x:v>
      </x:c>
      <x:c r="D29" s="52" t="n">
        <x:f>'02 Architectures'!$Y$6</x:f>
        <x:v>400</x:v>
      </x:c>
      <x:c r="E29" s="52" t="n">
        <x:v>400</x:v>
      </x:c>
      <x:c r="F29" s="52" t="n">
        <x:v>0.01</x:v>
      </x:c>
      <x:c r="G29" s="37" t="str">
        <x:f>IF(ABS(D29-E29)&lt;=F29,"PASS","FAIL")</x:f>
        <x:v>PASS</x:v>
      </x:c>
      <x:c r="H29" s="36"/>
      <x:c r="I29" s="36"/>
    </x:row>
    <x:row r="30" ht="27" customHeight="1">
      <x:c r="C30" s="37" t="str">
        <x:v>E2 added dry mass tie</x:v>
      </x:c>
      <x:c r="D30" s="52" t="n">
        <x:f>'02 Architectures'!$Y$7</x:f>
        <x:v>960</x:v>
      </x:c>
      <x:c r="E30" s="52" t="n">
        <x:v>960</x:v>
      </x:c>
      <x:c r="F30" s="52" t="n">
        <x:v>0.01</x:v>
      </x:c>
      <x:c r="G30" s="37" t="str">
        <x:f>IF(ABS(D30-E30)&lt;=F30,"PASS","FAIL")</x:f>
        <x:v>PASS</x:v>
      </x:c>
      <x:c r="H30" s="36"/>
      <x:c r="I30" s="36"/>
    </x:row>
    <x:row r="31" ht="27" customHeight="1">
      <x:c r="C31" s="37" t="str">
        <x:v>E3 added dry mass tie</x:v>
      </x:c>
      <x:c r="D31" s="52" t="n">
        <x:f>'02 Architectures'!$Y$8</x:f>
        <x:v>450</x:v>
      </x:c>
      <x:c r="E31" s="52" t="n">
        <x:v>450</x:v>
      </x:c>
      <x:c r="F31" s="52" t="n">
        <x:v>0.01</x:v>
      </x:c>
      <x:c r="G31" s="37" t="str">
        <x:f>IF(ABS(D31-E31)&lt;=F31,"PASS","FAIL")</x:f>
        <x:v>PASS</x:v>
      </x:c>
      <x:c r="H31" s="36"/>
      <x:c r="I31" s="36"/>
    </x:row>
    <x:row r="32" ht="27" customHeight="1">
      <x:c r="C32" s="37" t="str">
        <x:v>E4 added dry mass tie</x:v>
      </x:c>
      <x:c r="D32" s="52" t="n">
        <x:f>'02 Architectures'!$Y$9</x:f>
        <x:v>1400</x:v>
      </x:c>
      <x:c r="E32" s="52" t="n">
        <x:v>1400</x:v>
      </x:c>
      <x:c r="F32" s="52" t="n">
        <x:v>0.01</x:v>
      </x:c>
      <x:c r="G32" s="37" t="str">
        <x:f>IF(ABS(D32-E32)&lt;=F32,"PASS","FAIL")</x:f>
        <x:v>PASS</x:v>
      </x:c>
      <x:c r="H32" s="36"/>
      <x:c r="I32" s="36"/>
    </x:row>
    <x:row r="33" ht="27" customHeight="1">
      <x:c r="C33" s="37" t="str">
        <x:v>E1 equipment cost tie</x:v>
      </x:c>
      <x:c r="D33" s="52" t="n">
        <x:f>'02 Architectures'!$AC$6</x:f>
        <x:v>0.32</x:v>
      </x:c>
      <x:c r="E33" s="52" t="n">
        <x:v>0.32</x:v>
      </x:c>
      <x:c r="F33" s="52" t="n">
        <x:v>0.001</x:v>
      </x:c>
      <x:c r="G33" s="37" t="str">
        <x:f>IF(ABS(D33-E33)&lt;=F33,"PASS","FAIL")</x:f>
        <x:v>PASS</x:v>
      </x:c>
      <x:c r="H33" s="36"/>
      <x:c r="I33" s="36"/>
    </x:row>
    <x:row r="34" ht="27" customHeight="1">
      <x:c r="C34" s="37" t="str">
        <x:v>E2 equipment cost tie</x:v>
      </x:c>
      <x:c r="D34" s="52" t="n">
        <x:f>'02 Architectures'!$AC$7</x:f>
        <x:v>0.65</x:v>
      </x:c>
      <x:c r="E34" s="52" t="n">
        <x:v>0.65</x:v>
      </x:c>
      <x:c r="F34" s="52" t="n">
        <x:v>0.001</x:v>
      </x:c>
      <x:c r="G34" s="37" t="str">
        <x:f>IF(ABS(D34-E34)&lt;=F34,"PASS","FAIL")</x:f>
        <x:v>PASS</x:v>
      </x:c>
      <x:c r="H34" s="36"/>
      <x:c r="I34" s="36"/>
    </x:row>
    <x:row r="35" ht="27" customHeight="1">
      <x:c r="C35" s="37" t="str">
        <x:v>E3 equipment cost tie</x:v>
      </x:c>
      <x:c r="D35" s="52" t="n">
        <x:f>'02 Architectures'!$AC$8</x:f>
        <x:v>0.4</x:v>
      </x:c>
      <x:c r="E35" s="52" t="n">
        <x:v>0.4</x:v>
      </x:c>
      <x:c r="F35" s="52" t="n">
        <x:v>0.001</x:v>
      </x:c>
      <x:c r="G35" s="37" t="str">
        <x:f>IF(ABS(D35-E35)&lt;=F35,"PASS","FAIL")</x:f>
        <x:v>PASS</x:v>
      </x:c>
      <x:c r="H35" s="36"/>
      <x:c r="I35" s="36"/>
    </x:row>
    <x:row r="36" ht="27" customHeight="1">
      <x:c r="C36" s="37" t="str">
        <x:v>E4 equipment cost tie</x:v>
      </x:c>
      <x:c r="D36" s="52" t="n">
        <x:f>'02 Architectures'!$AC$9</x:f>
        <x:v>1.1</x:v>
      </x:c>
      <x:c r="E36" s="52" t="n">
        <x:v>1.1</x:v>
      </x:c>
      <x:c r="F36" s="52" t="n">
        <x:v>0.001</x:v>
      </x:c>
      <x:c r="G36" s="37" t="str">
        <x:f>IF(ABS(D36-E36)&lt;=F36,"PASS","FAIL")</x:f>
        <x:v>PASS</x:v>
      </x:c>
      <x:c r="H36" s="36"/>
      <x:c r="I36" s="36"/>
    </x:row>
    <x:row r="37" ht="27" customHeight="1">
      <x:c r="C37" s="37" t="str">
        <x:v>W7 closure count</x:v>
      </x:c>
      <x:c r="D37" s="52" t="n">
        <x:f>'00 Decision'!$D$6</x:f>
        <x:v>4</x:v>
      </x:c>
      <x:c r="E37" s="52" t="n">
        <x:v>4</x:v>
      </x:c>
      <x:c r="F37" s="52" t="n">
        <x:v>0</x:v>
      </x:c>
      <x:c r="G37" s="37" t="str">
        <x:f>IF(ABS(D37-E37)&lt;=F37,"PASS","FAIL")</x:f>
        <x:v>PASS</x:v>
      </x:c>
      <x:c r="H37" s="36"/>
      <x:c r="I37" s="36"/>
    </x:row>
    <x:row r="38" ht="27" customHeight="1">
      <x:c r="C38" s="37" t="str">
        <x:v>W11 closure count</x:v>
      </x:c>
      <x:c r="D38" s="52" t="n">
        <x:f>'00 Decision'!$D$7</x:f>
        <x:v>4</x:v>
      </x:c>
      <x:c r="E38" s="52" t="n">
        <x:v>4</x:v>
      </x:c>
      <x:c r="F38" s="52" t="n">
        <x:v>0</x:v>
      </x:c>
      <x:c r="G38" s="37" t="str">
        <x:f>IF(ABS(D38-E38)&lt;=F38,"PASS","FAIL")</x:f>
        <x:v>PASS</x:v>
      </x:c>
      <x:c r="H38" s="36"/>
      <x:c r="I38" s="36"/>
    </x:row>
    <x:row r="39" ht="27" customHeight="1">
      <x:c r="C39" s="37" t="str">
        <x:v>Simultaneous-denial closure count</x:v>
      </x:c>
      <x:c r="D39" s="52" t="n">
        <x:f>'00 Decision'!$D$8</x:f>
        <x:v>2</x:v>
      </x:c>
      <x:c r="E39" s="52" t="n">
        <x:v>2</x:v>
      </x:c>
      <x:c r="F39" s="52" t="n">
        <x:v>0</x:v>
      </x:c>
      <x:c r="G39" s="37" t="str">
        <x:f>IF(ABS(D39-E39)&lt;=F39,"PASS","FAIL")</x:f>
        <x:v>PASS</x:v>
      </x:c>
      <x:c r="H39" s="36"/>
      <x:c r="I39" s="36"/>
    </x:row>
    <x:row r="40" ht="27" customHeight="1">
      <x:c r="C40" s="37" t="str">
        <x:v>Power-derated closure count</x:v>
      </x:c>
      <x:c r="D40" s="52" t="n">
        <x:f>'00 Decision'!$D$9</x:f>
        <x:v>2</x:v>
      </x:c>
      <x:c r="E40" s="52" t="n">
        <x:v>2</x:v>
      </x:c>
      <x:c r="F40" s="52" t="n">
        <x:v>0</x:v>
      </x:c>
      <x:c r="G40" s="37" t="str">
        <x:f>IF(ABS(D40-E40)&lt;=F40,"PASS","FAIL")</x:f>
        <x:v>PASS</x:v>
      </x:c>
      <x:c r="H40" s="36"/>
      <x:c r="I40" s="36"/>
    </x:row>
    <x:row r="41" ht="27" customHeight="1">
      <x:c r="C41" s="37" t="str">
        <x:v>Immediate-repeat closure count</x:v>
      </x:c>
      <x:c r="D41" s="52" t="n">
        <x:f>'00 Decision'!$D$10</x:f>
        <x:v>1</x:v>
      </x:c>
      <x:c r="E41" s="52" t="n">
        <x:v>1</x:v>
      </x:c>
      <x:c r="F41" s="52" t="n">
        <x:v>0</x:v>
      </x:c>
      <x:c r="G41" s="37" t="str">
        <x:f>IF(ABS(D41-E41)&lt;=F41,"PASS","FAIL")</x:f>
        <x:v>PASS</x:v>
      </x:c>
      <x:c r="H41" s="36"/>
      <x:c r="I41" s="36"/>
    </x:row>
    <x:row r="42" ht="27" customHeight="1">
      <x:c r="C42" s="37" t="str">
        <x:v>Universal behavior passes</x:v>
      </x:c>
      <x:c r="D42" s="52" t="n">
        <x:f>'00 Decision'!$D$11</x:f>
        <x:v>0</x:v>
      </x:c>
      <x:c r="E42" s="52" t="n">
        <x:v>0</x:v>
      </x:c>
      <x:c r="F42" s="52" t="n">
        <x:v>0</x:v>
      </x:c>
      <x:c r="G42" s="37" t="str">
        <x:f>IF(ABS(D42-E42)&lt;=F42,"PASS","FAIL")</x:f>
        <x:v>PASS</x:v>
      </x:c>
      <x:c r="H42" s="36"/>
      <x:c r="I42" s="36"/>
    </x:row>
    <x:row r="43" ht="27" customHeight="1">
      <x:c r="C43" s="37" t="str">
        <x:v>Strict admissions</x:v>
      </x:c>
      <x:c r="D43" s="52" t="n">
        <x:f>'00 Decision'!$D$12</x:f>
        <x:v>0</x:v>
      </x:c>
      <x:c r="E43" s="52" t="n">
        <x:v>0</x:v>
      </x:c>
      <x:c r="F43" s="52" t="n">
        <x:v>0</x:v>
      </x:c>
      <x:c r="G43" s="37" t="str">
        <x:f>IF(ABS(D43-E43)&lt;=F43,"PASS","FAIL")</x:f>
        <x:v>PASS</x:v>
      </x:c>
      <x:c r="H43" s="36"/>
      <x:c r="I43" s="36"/>
    </x:row>
    <x:row r="44" ht="27" customHeight="1">
      <x:c r="C44" s="37" t="str">
        <x:v>Rendering-eligible architectures</x:v>
      </x:c>
      <x:c r="D44" s="52" t="n">
        <x:f>'00 Decision'!$D$13</x:f>
        <x:v>0</x:v>
      </x:c>
      <x:c r="E44" s="52" t="n">
        <x:v>0</x:v>
      </x:c>
      <x:c r="F44" s="52" t="n">
        <x:v>0</x:v>
      </x:c>
      <x:c r="G44" s="37" t="str">
        <x:f>IF(ABS(D44-E44)&lt;=F44,"PASS","FAIL")</x:f>
        <x:v>PASS</x:v>
      </x:c>
      <x:c r="H44" s="36"/>
      <x:c r="I44" s="36"/>
    </x:row>
    <x:row r="45" ht="27" customHeight="1">
      <x:c r="C45" s="37" t="str">
        <x:v>E1 program total</x:v>
      </x:c>
      <x:c r="D45" s="52" t="n">
        <x:f>'06 Program'!$P$6</x:f>
        <x:v>46.88</x:v>
      </x:c>
      <x:c r="E45" s="52" t="n">
        <x:v>46.88</x:v>
      </x:c>
      <x:c r="F45" s="52" t="n">
        <x:v>0.001</x:v>
      </x:c>
      <x:c r="G45" s="37" t="str">
        <x:f>IF(ABS(D45-E45)&lt;=F45,"PASS","FAIL")</x:f>
        <x:v>PASS</x:v>
      </x:c>
      <x:c r="H45" s="36"/>
      <x:c r="I45" s="36"/>
    </x:row>
    <x:row r="46" ht="27" customHeight="1">
      <x:c r="C46" s="37" t="str">
        <x:v>E2 program total</x:v>
      </x:c>
      <x:c r="D46" s="52" t="n">
        <x:f>'06 Program'!$P$7</x:f>
        <x:v>79.4</x:v>
      </x:c>
      <x:c r="E46" s="52" t="n">
        <x:v>79.4</x:v>
      </x:c>
      <x:c r="F46" s="52" t="n">
        <x:v>0.001</x:v>
      </x:c>
      <x:c r="G46" s="37" t="str">
        <x:f>IF(ABS(D46-E46)&lt;=F46,"PASS","FAIL")</x:f>
        <x:v>PASS</x:v>
      </x:c>
      <x:c r="H46" s="36"/>
      <x:c r="I46" s="36"/>
    </x:row>
    <x:row r="47" ht="27" customHeight="1">
      <x:c r="C47" s="37" t="str">
        <x:v>E3 program total</x:v>
      </x:c>
      <x:c r="D47" s="52" t="n">
        <x:f>'06 Program'!$P$8</x:f>
        <x:v>60</x:v>
      </x:c>
      <x:c r="E47" s="52" t="n">
        <x:v>60</x:v>
      </x:c>
      <x:c r="F47" s="52" t="n">
        <x:v>0.001</x:v>
      </x:c>
      <x:c r="G47" s="37" t="str">
        <x:f>IF(ABS(D47-E47)&lt;=F47,"PASS","FAIL")</x:f>
        <x:v>PASS</x:v>
      </x:c>
      <x:c r="H47" s="36"/>
      <x:c r="I47" s="36"/>
    </x:row>
    <x:row r="48" ht="27" customHeight="1">
      <x:c r="C48" s="37" t="str">
        <x:v>E4 program total</x:v>
      </x:c>
      <x:c r="D48" s="52" t="n">
        <x:f>'06 Program'!$P$9</x:f>
        <x:v>145</x:v>
      </x:c>
      <x:c r="E48" s="52" t="n">
        <x:v>145</x:v>
      </x:c>
      <x:c r="F48" s="52" t="n">
        <x:v>0.001</x:v>
      </x:c>
      <x:c r="G48" s="37" t="str">
        <x:f>IF(ABS(D48-E48)&lt;=F48,"PASS","FAIL")</x:f>
        <x:v>PASS</x:v>
      </x:c>
      <x:c r="H48" s="36"/>
      <x:c r="I48" s="36"/>
    </x:row>
    <x:row r="49" ht="27" customHeight="1">
      <x:c r="C49" s="37" t="str">
        <x:v>Test gates remain open</x:v>
      </x:c>
      <x:c r="D49" s="52" t="n">
        <x:f>COUNTIFS('07 Test Contract'!$H$6:$H$22,"OPEN")</x:f>
        <x:v>17</x:v>
      </x:c>
      <x:c r="E49" s="52" t="n">
        <x:v>17</x:v>
      </x:c>
      <x:c r="F49" s="52" t="n">
        <x:v>0</x:v>
      </x:c>
      <x:c r="G49" s="37" t="str">
        <x:f>IF(ABS(D49-E49)&lt;=F49,"PASS","FAIL")</x:f>
        <x:v>PASS</x:v>
      </x:c>
      <x:c r="H49" s="36"/>
      <x:c r="I49" s="36"/>
    </x:row>
    <x:row r="50" ht="27" customHeight="1">
      <x:c r="C50" s="37" t="str">
        <x:v>Evidence gates closed</x:v>
      </x:c>
      <x:c r="D50" s="52" t="n">
        <x:f>SUM('02 Architectures'!$W$6:$W$9)</x:f>
        <x:v>0</x:v>
      </x:c>
      <x:c r="E50" s="52" t="n">
        <x:v>0</x:v>
      </x:c>
      <x:c r="F50" s="52" t="n">
        <x:v>0</x:v>
      </x:c>
      <x:c r="G50" s="37" t="str">
        <x:f>IF(ABS(D50-E50)&lt;=F50,"PASS","FAIL")</x:f>
        <x:v>PASS</x:v>
      </x:c>
      <x:c r="H50" s="36"/>
      <x:c r="I50" s="36"/>
    </x:row>
    <x:row r="51" ht="27" customHeight="1">
      <x:c r="C51" s="37" t="str">
        <x:v>Source-invalid safe stops</x:v>
      </x:c>
      <x:c r="D51" s="52" t="n">
        <x:f>COUNTIFS('03 Stress Worlds'!$D$20:$D$59,"S4",'03 Stress Worlds'!$AB$20:$AB$59,"PASS")</x:f>
        <x:v>4</x:v>
      </x:c>
      <x:c r="E51" s="52" t="n">
        <x:v>4</x:v>
      </x:c>
      <x:c r="F51" s="52" t="n">
        <x:v>0</x:v>
      </x:c>
      <x:c r="G51" s="37" t="str">
        <x:f>IF(ABS(D51-E51)&lt;=F51,"PASS","FAIL")</x:f>
        <x:v>PASS</x:v>
      </x:c>
      <x:c r="H51" s="36"/>
      <x:c r="I51" s="36"/>
    </x:row>
    <x:row r="52" ht="27" customHeight="1">
      <x:c r="C52" s="37" t="str">
        <x:v>Sensitivity E1 14-day requirement</x:v>
      </x:c>
      <x:c r="D52" s="52" t="n">
        <x:f>'04 Material Balance'!$E$15</x:f>
        <x:v>17500</x:v>
      </x:c>
      <x:c r="E52" s="52" t="n">
        <x:v>17500</x:v>
      </x:c>
      <x:c r="F52" s="52" t="n">
        <x:v>0.01</x:v>
      </x:c>
      <x:c r="G52" s="37" t="str">
        <x:f>IF(ABS(D52-E52)&lt;=F52,"PASS","FAIL")</x:f>
        <x:v>PASS</x:v>
      </x:c>
      <x:c r="H52" s="36"/>
      <x:c r="I52" s="36"/>
    </x:row>
    <x:row r="53" ht="27" customHeight="1">
      <x:c r="C53" s="37" t="str">
        <x:v>Sensitivity E2 85% reduction need</x:v>
      </x:c>
      <x:c r="D53" s="52" t="n">
        <x:f>'04 Material Balance'!$J$15</x:f>
        <x:v>5625.000000000001</x:v>
      </x:c>
      <x:c r="E53" s="52" t="n">
        <x:v>5625</x:v>
      </x:c>
      <x:c r="F53" s="52" t="n">
        <x:v>0.01</x:v>
      </x:c>
      <x:c r="G53" s="37" t="str">
        <x:f>IF(ABS(D53-E53)&lt;=F53,"PASS","FAIL")</x:f>
        <x:v>PASS</x:v>
      </x:c>
      <x:c r="H53" s="36"/>
      <x:c r="I53" s="36"/>
    </x:row>
    <x:row r="54" ht="27" customHeight="1">
      <x:c r="C54" s="37" t="str">
        <x:v>Sensitivity E3 60% share need</x:v>
      </x:c>
      <x:c r="D54" s="52" t="n">
        <x:f>'04 Material Balance'!$P$15</x:f>
        <x:v>11340</x:v>
      </x:c>
      <x:c r="E54" s="52" t="n">
        <x:v>11340</x:v>
      </x:c>
      <x:c r="F54" s="52" t="n">
        <x:v>0.01</x:v>
      </x:c>
      <x:c r="G54" s="37" t="str">
        <x:f>IF(ABS(D54-E54)&lt;=F54,"PASS","FAIL")</x:f>
        <x:v>PASS</x:v>
      </x:c>
      <x:c r="H54" s="36"/>
      <x:c r="I54" s="36"/>
    </x:row>
    <x:row r="55" ht="27" customHeight="1">
      <x:c r="C55" s="37" t="str">
        <x:v>Sensitivity E4 3 kWh/m³ margin</x:v>
      </x:c>
      <x:c r="D55" s="52" t="n">
        <x:f>'04 Material Balance'!$U$15</x:f>
        <x:v>-0.25</x:v>
      </x:c>
      <x:c r="E55" s="52" t="n">
        <x:v>-0.25</x:v>
      </x:c>
      <x:c r="F55" s="52" t="n">
        <x:v>0.001</x:v>
      </x:c>
      <x:c r="G55" s="37" t="str">
        <x:f>IF(ABS(D55-E55)&lt;=F55,"PASS","FAIL")</x:f>
        <x:v>PASS</x:v>
      </x:c>
      <x:c r="H55" s="36"/>
      <x:c r="I55" s="36"/>
    </x:row>
  </x:sheetData>
  <x:conditionalFormatting sqref="G6:G55">
    <x:cfRule type="containsText" dxfId="70" priority="1" operator="containsText" text="FAIL"/>
    <x:cfRule type="containsText" dxfId="71" priority="2" operator="containsText" text="DENIED"/>
    <x:cfRule type="containsText" dxfId="72" priority="3" operator="containsText" text="BLOCKED"/>
    <x:cfRule type="containsText" dxfId="73" priority="4" operator="containsText" text="OPEN"/>
    <x:cfRule type="containsText" dxfId="74" priority="5" operator="containsText" text="UNTESTED"/>
    <x:cfRule type="containsText" dxfId="75" priority="6" operator="containsText" text="DECLARED"/>
    <x:cfRule type="containsText" dxfId="76" priority="7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d3a0c17e54674b56"/>
  </x:tableParts>
</x:worksheet>
</file>