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58241916b044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e4a4cc746c54f5e"/>
    <x:sheet xmlns:r="http://schemas.openxmlformats.org/officeDocument/2006/relationships" name="Assumptions" sheetId="2" r:id="R09e20b152f854818"/>
    <x:sheet xmlns:r="http://schemas.openxmlformats.org/officeDocument/2006/relationships" name="SCA Allocation" sheetId="3" r:id="Rb4a5653beff84f9d"/>
    <x:sheet xmlns:r="http://schemas.openxmlformats.org/officeDocument/2006/relationships" name="Topology Library" sheetId="4" r:id="Rb085c9d870a146be"/>
    <x:sheet xmlns:r="http://schemas.openxmlformats.org/officeDocument/2006/relationships" name="Topology Worlds" sheetId="5" r:id="R20ab542de5db4ccd"/>
    <x:sheet xmlns:r="http://schemas.openxmlformats.org/officeDocument/2006/relationships" name="National Program" sheetId="6" r:id="R9b5b76ac9477445f"/>
    <x:sheet xmlns:r="http://schemas.openxmlformats.org/officeDocument/2006/relationships" name="Ancestry" sheetId="7" r:id="R51f685c630364858"/>
    <x:sheet xmlns:r="http://schemas.openxmlformats.org/officeDocument/2006/relationships" name="Technology" sheetId="8" r:id="R45f41e979f4f4c6b"/>
    <x:sheet xmlns:r="http://schemas.openxmlformats.org/officeDocument/2006/relationships" name="Evidence Gates" sheetId="9" r:id="Rcaf1294e31bf46e1"/>
    <x:sheet xmlns:r="http://schemas.openxmlformats.org/officeDocument/2006/relationships" name="Checks" sheetId="10" r:id="Ra8a8aaf70f324720"/>
    <x:sheet xmlns:r="http://schemas.openxmlformats.org/officeDocument/2006/relationships" name="ReadMe" sheetId="11" r:id="R647867d3d30b48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$#,##0.000"/>
    <x:numFmt numFmtId="201" formatCode="$#,##0.0"/>
    <x:numFmt numFmtId="202" formatCode="0.00x"/>
    <x:numFmt numFmtId="203" formatCode="#,##0"/>
    <x:numFmt numFmtId="204" formatCode="0.00"/>
    <x:numFmt numFmtId="205" formatCode="0.000%"/>
    <x:numFmt numFmtId="206" formatCode="0.0"/>
    <x:numFmt numFmtId="207" formatCode="0.000"/>
    <x:numFmt numFmtId="208" formatCode="#,##0.0000"/>
  </x:numFmts>
  <x:fonts count="9">
    <x:font>
      <x:sz val="11"/>
      <x:name val="Carlito"/>
    </x:font>
    <x:font>
      <x:sz val="10"/>
      <x:color rgb="FF1F2933"/>
      <x:name val="Arial"/>
    </x:font>
    <x:font>
      <x:b/>
      <x:sz val="15"/>
      <x:color rgb="FF17324D"/>
      <x:name val="Arial"/>
    </x:font>
    <x:font>
      <x:i/>
      <x:sz val="10"/>
      <x:color rgb="FF52636F"/>
      <x:name val="Arial"/>
    </x:font>
    <x:font>
      <x:b/>
      <x:sz val="10"/>
      <x:color rgb="FF17324D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sz val="10"/>
      <x:color rgb="FF008000"/>
      <x:name val="Arial"/>
    </x:font>
    <x:font>
      <x:b/>
      <x:sz val="10"/>
      <x:color rgb="FF1F2933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CEAF4"/>
      </x:patternFill>
    </x:fill>
    <x:fill>
      <x:patternFill patternType="solid">
        <x:fgColor rgb="FF17324D"/>
      </x:patternFill>
    </x:fill>
    <x:fill>
      <x:patternFill patternType="solid">
        <x:fgColor rgb="FFFFF2CC"/>
      </x:patternFill>
    </x:fill>
    <x:fill>
      <x:patternFill patternType="solid">
        <x:fgColor rgb="FFFAFBFC"/>
      </x:patternFill>
    </x:fill>
    <x:fill>
      <x:patternFill patternType="solid">
        <x:fgColor rgb="FFE5F1EA"/>
      </x:patternFill>
    </x:fill>
  </x:fills>
  <x:borders count="16">
    <x:border/>
    <x:border>
      <x:bottom style="thin">
        <x:color rgb="FF17324D"/>
      </x:bottom>
    </x:border>
    <x:border>
      <x:left style="thin">
        <x:color rgb="FFAEBBC5"/>
      </x:left>
      <x:top style="thin">
        <x:color rgb="FFAEBBC5"/>
      </x:top>
      <x:bottom style="thin">
        <x:color rgb="FFAEBBC5"/>
      </x:bottom>
    </x:border>
    <x:border>
      <x:top style="thin">
        <x:color rgb="FFAEBBC5"/>
      </x:top>
      <x:bottom style="thin">
        <x:color rgb="FFAEBBC5"/>
      </x:bottom>
    </x:border>
    <x:border>
      <x:right style="thin">
        <x:color rgb="FFAEBBC5"/>
      </x:right>
      <x:top style="thin">
        <x:color rgb="FFAEBBC5"/>
      </x:top>
      <x:bottom style="thin">
        <x:color rgb="FFAEBBC5"/>
      </x:bottom>
    </x:border>
    <x:border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bottom style="thin">
        <x:color rgb="FF17324D"/>
      </x:bottom>
    </x:border>
    <x:border>
      <x:right style="thin">
        <x:color rgb="FFFFFFFF"/>
      </x:right>
      <x:bottom style="thin">
        <x:color rgb="FFD8E0E5"/>
      </x:bottom>
    </x:border>
    <x:border>
      <x:left style="thin">
        <x:color rgb="FFFFFFFF"/>
      </x:left>
      <x:right style="thin">
        <x:color rgb="FFFFFFFF"/>
      </x:right>
      <x:bottom style="thin">
        <x:color rgb="FFD8E0E5"/>
      </x:bottom>
    </x:border>
    <x:border>
      <x:top style="thin">
        <x:color rgb="FFD8E0E5"/>
      </x:top>
      <x:bottom style="thin">
        <x:color rgb="FFD8E0E5"/>
      </x:bottom>
    </x:border>
    <x:border>
      <x:right style="thin">
        <x:color rgb="FFFFFFFF"/>
      </x:right>
      <x:top style="thin">
        <x:color rgb="FFD8E0E5"/>
      </x:top>
      <x:bottom style="thin">
        <x:color rgb="FFD8E0E5"/>
      </x:bottom>
    </x:border>
    <x:border>
      <x:top style="thin">
        <x:color rgb="FFD8E0E5"/>
      </x:top>
      <x:bottom style="thin">
        <x:color rgb="FF17324D"/>
      </x:bottom>
    </x:border>
    <x:border>
      <x:right style="thin">
        <x:color rgb="FFFFFFFF"/>
      </x:right>
      <x:top style="thin">
        <x:color rgb="FFD8E0E5"/>
      </x:top>
      <x:bottom style="thin">
        <x:color rgb="FF17324D"/>
      </x:bottom>
    </x:border>
    <x:border>
      <x:bottom style="thin">
        <x:color rgb="FFD8E0E5"/>
      </x:bottom>
    </x:border>
    <x:border>
      <x:top style="thin">
        <x:color rgb="FFD8E0E5"/>
      </x:top>
    </x:border>
  </x:borders>
  <x:cellStyleXfs count="1">
    <x:xf numFmtId="0" fontId="0" fillId="0" borderId="0"/>
  </x:cellStyleXfs>
  <x:cellXfs count="1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5" fillId="3" borderId="6" xfId="0" applyNumberFormat="1" applyFont="1" applyFill="1" applyBorder="1" applyAlignment="1">
      <x:alignment vertical="center"/>
    </x:xf>
    <x:xf numFmtId="0" fontId="5" fillId="3" borderId="7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5" fillId="3" borderId="6" xfId="0" applyNumberFormat="1" applyFont="1" applyFill="1" applyBorder="1" applyAlignment="1">
      <x:alignment horizontal="center" vertical="center" wrapText="1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5" fillId="3" borderId="8" xfId="0" applyNumberFormat="1" applyFont="1" applyFill="1" applyBorder="1" applyAlignment="1">
      <x:alignment horizontal="center" vertical="center" wrapText="1"/>
    </x:xf>
    <x:xf numFmtId="0" fontId="5" fillId="3" borderId="9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vertical="center"/>
    </x:xf>
    <x:xf numFmtId="0" fontId="6" fillId="4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6" fillId="4" borderId="12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200" fontId="6" fillId="4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0" fontId="6" fillId="4" borderId="10" xfId="0" applyNumberFormat="1" applyFont="1" applyFill="1" applyBorder="1" applyAlignment="1">
      <x:alignment vertical="center"/>
    </x:xf>
    <x:xf numFmtId="200" fontId="7" fillId="0" borderId="10" xfId="0" applyNumberFormat="1" applyFont="1" applyFill="1" applyBorder="1" applyAlignment="1">
      <x:alignment vertical="center"/>
    </x:xf>
    <x:xf numFmtId="200" fontId="6" fillId="4" borderId="12" xfId="0" applyNumberFormat="1" applyFont="1" applyFill="1" applyBorder="1" applyAlignment="1">
      <x:alignment vertical="center"/>
    </x:xf>
    <x:xf numFmtId="200" fontId="7" fillId="0" borderId="12" xfId="0" applyNumberFormat="1" applyFont="1" applyFill="1" applyBorder="1" applyAlignment="1">
      <x:alignment vertical="center"/>
    </x:xf>
    <x:xf numFmtId="201" fontId="6" fillId="4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6" fillId="4" borderId="10" xfId="0" applyNumberFormat="1" applyFont="1" applyFill="1" applyBorder="1" applyAlignment="1">
      <x:alignment vertical="center"/>
    </x:xf>
    <x:xf numFmtId="201" fontId="1" fillId="0" borderId="12" xfId="0" applyNumberFormat="1" applyFont="1" applyFill="1" applyBorder="1" applyAlignment="1">
      <x:alignment vertical="center"/>
    </x:xf>
    <x:xf numFmtId="202" fontId="6" fillId="4" borderId="0" xfId="0" applyNumberFormat="1" applyFont="1" applyFill="1" applyBorder="1" applyAlignment="1">
      <x:alignment vertical="center"/>
    </x:xf>
    <x:xf numFmtId="202" fontId="6" fillId="4" borderId="10" xfId="0" applyNumberFormat="1" applyFont="1" applyFill="1" applyBorder="1" applyAlignment="1">
      <x:alignment vertical="center"/>
    </x:xf>
    <x:xf numFmtId="202" fontId="6" fillId="4" borderId="12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7" xfId="0" applyNumberFormat="1" applyFont="1" applyFill="1" applyBorder="1"/>
    <x:xf numFmtId="0" fontId="5" fillId="3" borderId="7" xfId="0" applyNumberFormat="1" applyFont="1" applyFill="1" applyBorder="1" applyAlignment="1">
      <x:alignment wrapText="1"/>
    </x:xf>
    <x:xf numFmtId="0" fontId="5" fillId="3" borderId="7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203" fontId="6" fillId="5" borderId="0" xfId="0" applyNumberFormat="1" applyFont="1" applyFill="1" applyBorder="1" applyAlignment="1">
      <x:alignment vertical="center"/>
    </x:xf>
    <x:xf numFmtId="203" fontId="7" fillId="5" borderId="0" xfId="0" applyNumberFormat="1" applyFont="1" applyFill="1" applyBorder="1" applyAlignment="1">
      <x:alignment vertical="center"/>
    </x:xf>
    <x:xf numFmtId="204" fontId="6" fillId="5" borderId="0" xfId="0" applyNumberFormat="1" applyFont="1" applyFill="1" applyBorder="1" applyAlignment="1">
      <x:alignment vertical="center"/>
    </x:xf>
    <x:xf numFmtId="201" fontId="7" fillId="5" borderId="0" xfId="0" applyNumberFormat="1" applyFont="1" applyFill="1" applyBorder="1" applyAlignment="1">
      <x:alignment vertical="center"/>
    </x:xf>
    <x:xf numFmtId="0" fontId="6" fillId="5" borderId="10" xfId="0" applyNumberFormat="1" applyFont="1" applyFill="1" applyBorder="1" applyAlignment="1">
      <x:alignment vertical="center"/>
    </x:xf>
    <x:xf numFmtId="203" fontId="6" fillId="5" borderId="10" xfId="0" applyNumberFormat="1" applyFont="1" applyFill="1" applyBorder="1" applyAlignment="1">
      <x:alignment vertical="center"/>
    </x:xf>
    <x:xf numFmtId="203" fontId="7" fillId="5" borderId="10" xfId="0" applyNumberFormat="1" applyFont="1" applyFill="1" applyBorder="1" applyAlignment="1">
      <x:alignment vertical="center"/>
    </x:xf>
    <x:xf numFmtId="204" fontId="6" fillId="5" borderId="10" xfId="0" applyNumberFormat="1" applyFont="1" applyFill="1" applyBorder="1" applyAlignment="1">
      <x:alignment vertical="center"/>
    </x:xf>
    <x:xf numFmtId="201" fontId="7" fillId="5" borderId="10" xfId="0" applyNumberFormat="1" applyFont="1" applyFill="1" applyBorder="1" applyAlignment="1">
      <x:alignment vertical="center"/>
    </x:xf>
    <x:xf numFmtId="0" fontId="7" fillId="5" borderId="10" xfId="0" applyNumberFormat="1" applyFont="1" applyFill="1" applyBorder="1" applyAlignment="1">
      <x:alignment vertical="center"/>
    </x:xf>
    <x:xf numFmtId="0" fontId="0" fillId="5" borderId="11" xfId="0" applyNumberFormat="1" applyFont="1" applyFill="1" applyBorder="1"/>
    <x:xf numFmtId="0" fontId="6" fillId="5" borderId="12" xfId="0" applyNumberFormat="1" applyFont="1" applyFill="1" applyBorder="1" applyAlignment="1">
      <x:alignment vertical="center"/>
    </x:xf>
    <x:xf numFmtId="203" fontId="6" fillId="5" borderId="12" xfId="0" applyNumberFormat="1" applyFont="1" applyFill="1" applyBorder="1" applyAlignment="1">
      <x:alignment vertical="center"/>
    </x:xf>
    <x:xf numFmtId="203" fontId="7" fillId="5" borderId="12" xfId="0" applyNumberFormat="1" applyFont="1" applyFill="1" applyBorder="1" applyAlignment="1">
      <x:alignment vertical="center"/>
    </x:xf>
    <x:xf numFmtId="204" fontId="6" fillId="5" borderId="12" xfId="0" applyNumberFormat="1" applyFont="1" applyFill="1" applyBorder="1" applyAlignment="1">
      <x:alignment vertical="center"/>
    </x:xf>
    <x:xf numFmtId="201" fontId="7" fillId="5" borderId="12" xfId="0" applyNumberFormat="1" applyFont="1" applyFill="1" applyBorder="1" applyAlignment="1">
      <x:alignment vertical="center"/>
    </x:xf>
    <x:xf numFmtId="0" fontId="7" fillId="5" borderId="12" xfId="0" applyNumberFormat="1" applyFont="1" applyFill="1" applyBorder="1" applyAlignment="1">
      <x:alignment vertical="center"/>
    </x:xf>
    <x:xf numFmtId="0" fontId="0" fillId="5" borderId="13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205" fontId="6" fillId="5" borderId="0" xfId="0" applyNumberFormat="1" applyFont="1" applyFill="1" applyBorder="1" applyAlignment="1">
      <x:alignment vertical="center"/>
    </x:xf>
    <x:xf numFmtId="206" fontId="6" fillId="5" borderId="0" xfId="0" applyNumberFormat="1" applyFont="1" applyFill="1" applyBorder="1" applyAlignment="1">
      <x:alignment vertical="center"/>
    </x:xf>
    <x:xf numFmtId="207" fontId="7" fillId="5" borderId="0" xfId="0" applyNumberFormat="1" applyFont="1" applyFill="1" applyBorder="1" applyAlignment="1">
      <x:alignment vertical="center"/>
    </x:xf>
    <x:xf numFmtId="205" fontId="6" fillId="5" borderId="10" xfId="0" applyNumberFormat="1" applyFont="1" applyFill="1" applyBorder="1" applyAlignment="1">
      <x:alignment vertical="center"/>
    </x:xf>
    <x:xf numFmtId="206" fontId="6" fillId="5" borderId="10" xfId="0" applyNumberFormat="1" applyFont="1" applyFill="1" applyBorder="1" applyAlignment="1">
      <x:alignment vertical="center"/>
    </x:xf>
    <x:xf numFmtId="207" fontId="7" fillId="5" borderId="10" xfId="0" applyNumberFormat="1" applyFont="1" applyFill="1" applyBorder="1" applyAlignment="1">
      <x:alignment vertical="center"/>
    </x:xf>
    <x:xf numFmtId="0" fontId="1" fillId="5" borderId="11" xfId="0" applyNumberFormat="1" applyFont="1" applyFill="1" applyBorder="1" applyAlignment="1">
      <x:alignment vertical="center"/>
    </x:xf>
    <x:xf numFmtId="205" fontId="6" fillId="5" borderId="12" xfId="0" applyNumberFormat="1" applyFont="1" applyFill="1" applyBorder="1" applyAlignment="1">
      <x:alignment vertical="center"/>
    </x:xf>
    <x:xf numFmtId="206" fontId="6" fillId="5" borderId="12" xfId="0" applyNumberFormat="1" applyFont="1" applyFill="1" applyBorder="1" applyAlignment="1">
      <x:alignment vertical="center"/>
    </x:xf>
    <x:xf numFmtId="207" fontId="7" fillId="5" borderId="12" xfId="0" applyNumberFormat="1" applyFont="1" applyFill="1" applyBorder="1" applyAlignment="1">
      <x:alignment vertical="center"/>
    </x:xf>
    <x:xf numFmtId="0" fontId="1" fillId="5" borderId="13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201" fontId="8" fillId="6" borderId="0" xfId="0" applyNumberFormat="1" applyFont="1" applyFill="1" applyBorder="1" applyAlignment="1">
      <x:alignment vertical="center"/>
    </x:xf>
    <x:xf numFmtId="0" fontId="1" fillId="5" borderId="10" xfId="0" applyNumberFormat="1" applyFont="1" applyFill="1" applyBorder="1" applyAlignment="1">
      <x:alignment vertical="center"/>
    </x:xf>
    <x:xf numFmtId="201" fontId="1" fillId="5" borderId="10" xfId="0" applyNumberFormat="1" applyFont="1" applyFill="1" applyBorder="1" applyAlignment="1">
      <x:alignment vertical="center"/>
    </x:xf>
    <x:xf numFmtId="201" fontId="1" fillId="5" borderId="11" xfId="0" applyNumberFormat="1" applyFont="1" applyFill="1" applyBorder="1" applyAlignment="1">
      <x:alignment vertical="center"/>
    </x:xf>
    <x:xf numFmtId="0" fontId="8" fillId="6" borderId="12" xfId="0" applyNumberFormat="1" applyFont="1" applyFill="1" applyBorder="1" applyAlignment="1">
      <x:alignment vertical="center"/>
    </x:xf>
    <x:xf numFmtId="201" fontId="8" fillId="6" borderId="12" xfId="0" applyNumberFormat="1" applyFont="1" applyFill="1" applyBorder="1" applyAlignment="1">
      <x:alignment vertical="center"/>
    </x:xf>
    <x:xf numFmtId="201" fontId="8" fillId="6" borderId="13" xfId="0" applyNumberFormat="1" applyFont="1" applyFill="1" applyBorder="1" applyAlignment="1">
      <x:alignment vertical="center"/>
    </x:xf>
    <x:xf numFmtId="201" fontId="1" fillId="0" borderId="10" xfId="0" applyNumberFormat="1" applyFont="1" applyFill="1" applyBorder="1" applyAlignment="1">
      <x:alignment vertical="center"/>
    </x:xf>
    <x:xf numFmtId="0" fontId="1" fillId="5" borderId="12" xfId="0" applyNumberFormat="1" applyFont="1" applyFill="1" applyBorder="1" applyAlignment="1">
      <x:alignment vertical="center"/>
    </x:xf>
    <x:xf numFmtId="201" fontId="6" fillId="5" borderId="0" xfId="0" applyNumberFormat="1" applyFont="1" applyFill="1" applyBorder="1" applyAlignment="1">
      <x:alignment vertical="center"/>
    </x:xf>
    <x:xf numFmtId="201" fontId="6" fillId="5" borderId="10" xfId="0" applyNumberFormat="1" applyFont="1" applyFill="1" applyBorder="1" applyAlignment="1">
      <x:alignment vertical="center"/>
    </x:xf>
    <x:xf numFmtId="201" fontId="6" fillId="5" borderId="12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14" xfId="0" applyNumberFormat="1" applyFont="1" applyFill="1" applyBorder="1" applyAlignment="1">
      <x:alignment vertical="center" wrapText="1"/>
    </x:xf>
    <x:xf numFmtId="0" fontId="1" fillId="0" borderId="14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4" fillId="0" borderId="15" xfId="0" applyNumberFormat="1" applyFont="1" applyFill="1" applyBorder="1" applyAlignment="1">
      <x:alignment vertical="center" wrapText="1"/>
    </x:xf>
    <x:xf numFmtId="0" fontId="1" fillId="0" borderId="15" xfId="0" applyNumberFormat="1" applyFont="1" applyFill="1" applyBorder="1" applyAlignment="1">
      <x:alignment vertical="center" wrapText="1"/>
    </x:xf>
    <x:xf numFmtId="201" fontId="1" fillId="0" borderId="11" xfId="0" applyNumberFormat="1" applyFont="1" applyFill="1" applyBorder="1" applyAlignment="1">
      <x:alignment vertical="center"/>
    </x:xf>
    <x:xf numFmtId="201" fontId="1" fillId="0" borderId="13" xfId="0" applyNumberFormat="1" applyFont="1" applyFill="1" applyBorder="1" applyAlignment="1">
      <x:alignment vertical="center"/>
    </x:xf>
    <x:xf numFmtId="208" fontId="1" fillId="5" borderId="0" xfId="0" applyNumberFormat="1" applyFont="1" applyFill="1" applyBorder="1" applyAlignment="1">
      <x:alignment vertical="center"/>
    </x:xf>
    <x:xf numFmtId="208" fontId="1" fillId="5" borderId="10" xfId="0" applyNumberFormat="1" applyFont="1" applyFill="1" applyBorder="1" applyAlignment="1">
      <x:alignment vertical="center"/>
    </x:xf>
    <x:xf numFmtId="208" fontId="1" fillId="5" borderId="12" xfId="0" applyNumberFormat="1" applyFont="1" applyFill="1" applyBorder="1" applyAlignment="1">
      <x:alignment vertical="center"/>
    </x:xf>
    <x:xf numFmtId="0" fontId="1" fillId="0" borderId="14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5" borderId="11" xfId="0" applyNumberFormat="1" applyFont="1" applyFill="1" applyBorder="1" applyAlignment="1">
      <x:alignment vertical="center"/>
    </x:xf>
    <x:xf numFmtId="0" fontId="0" fillId="5" borderId="13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2d20a4ba304c16" /><Relationship Type="http://schemas.openxmlformats.org/officeDocument/2006/relationships/theme" Target="/xl/theme/theme1.xml" Id="R763858a01fde4a6d" /><Relationship Type="http://schemas.openxmlformats.org/officeDocument/2006/relationships/sharedStrings" Target="/xl/sharedStrings.xml" Id="R8b2144dd8ad247c5" /><Relationship Type="http://schemas.openxmlformats.org/officeDocument/2006/relationships/worksheet" Target="/xl/worksheets/sheet1.xml" Id="Rde4a4cc746c54f5e" /><Relationship Type="http://schemas.openxmlformats.org/officeDocument/2006/relationships/worksheet" Target="/xl/worksheets/sheet2.xml" Id="R09e20b152f854818" /><Relationship Type="http://schemas.openxmlformats.org/officeDocument/2006/relationships/worksheet" Target="/xl/worksheets/sheet3.xml" Id="Rb4a5653beff84f9d" /><Relationship Type="http://schemas.openxmlformats.org/officeDocument/2006/relationships/worksheet" Target="/xl/worksheets/sheet4.xml" Id="Rb085c9d870a146be" /><Relationship Type="http://schemas.openxmlformats.org/officeDocument/2006/relationships/worksheet" Target="/xl/worksheets/sheet5.xml" Id="R20ab542de5db4ccd" /><Relationship Type="http://schemas.openxmlformats.org/officeDocument/2006/relationships/worksheet" Target="/xl/worksheets/sheet6.xml" Id="R9b5b76ac9477445f" /><Relationship Type="http://schemas.openxmlformats.org/officeDocument/2006/relationships/worksheet" Target="/xl/worksheets/sheet7.xml" Id="R51f685c630364858" /><Relationship Type="http://schemas.openxmlformats.org/officeDocument/2006/relationships/worksheet" Target="/xl/worksheets/sheet8.xml" Id="R45f41e979f4f4c6b" /><Relationship Type="http://schemas.openxmlformats.org/officeDocument/2006/relationships/worksheet" Target="/xl/worksheets/sheet9.xml" Id="Rcaf1294e31bf46e1" /><Relationship Type="http://schemas.openxmlformats.org/officeDocument/2006/relationships/worksheet" Target="/xl/worksheets/sheet10.xml" Id="Ra8a8aaf70f324720" /><Relationship Type="http://schemas.openxmlformats.org/officeDocument/2006/relationships/worksheet" Target="/xl/worksheets/sheet11.xml" Id="R647867d3d30b48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2" max="2" width="52" hidden="0" customWidth="1"/>
    <x:col min="3" max="3" width="28" hidden="0" customWidth="1"/>
    <x:col min="4" max="4" width="22" hidden="0" customWidth="1"/>
    <x:col min="5" max="5" width="85" hidden="0" customWidth="1"/>
    <x:col min="6" max="6" width="22" hidden="0" customWidth="1"/>
    <x:col min="7" max="7" width="18" hidden="0" customWidth="1"/>
    <x:col min="8" max="8" width="19" hidden="0" customWidth="1"/>
    <x:col min="9" max="9" width="4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2">
      <x:c r="B2" s="3" t="str">
        <x:v>National readiness topology competition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</x:row>
    <x:row r="3">
      <x:c r="B3" s="4" t="str">
        <x:v>Where the Department stores readiness determines the force, its failure modes and its industrial cost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</x:row>
    <x:row r="6">
      <x:c r="B6" s="8" t="str">
        <x:v>Executive result</x:v>
      </x:c>
      <x:c r="C6" s="9" t="str">
        <x:v>Executive result</x:v>
      </x:c>
      <x:c r="D6" s="9" t="str">
        <x:v>Executive result</x:v>
      </x:c>
      <x:c r="E6" s="9" t="str">
        <x:v>Executive result</x:v>
      </x:c>
      <x:c r="F6" s="9" t="str">
        <x:v>Executive result</x:v>
      </x:c>
      <x:c r="G6" s="9" t="str">
        <x:v>Executive result</x:v>
      </x:c>
      <x:c r="H6" s="9" t="str">
        <x:v>Executive result</x:v>
      </x:c>
      <x:c r="I6" s="9" t="str">
        <x:v>Executive result</x:v>
      </x:c>
      <x:c r="J6" s="9" t="str">
        <x:v>Executive result</x:v>
      </x:c>
      <x:c r="K6" s="9" t="str">
        <x:v>Executive result</x:v>
      </x:c>
      <x:c r="L6" s="9" t="str">
        <x:v>Executive result</x:v>
      </x:c>
      <x:c r="M6" s="9" t="str">
        <x:v>Executive result</x:v>
      </x:c>
      <x:c r="N6" s="10" t="str">
        <x:v>Executive result</x:v>
      </x:c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</x:row>
    <x:row r="7">
      <x:c r="B7" s="24" t="str">
        <x:v>Decision</x:v>
      </x:c>
      <x:c r="C7" s="25" t="str">
        <x:v>Value</x:v>
      </x:c>
      <x:c r="D7" s="25" t="str">
        <x:v>Unit</x:v>
      </x:c>
      <x:c r="E7" s="25" t="str">
        <x:v>Interpretation</x:v>
      </x:c>
      <x:c r="F7" s="20"/>
      <x:c r="G7" s="20"/>
      <x:c r="H7" s="20"/>
      <x:c r="I7" s="20"/>
      <x:c r="J7" s="20"/>
      <x:c r="K7" s="20"/>
      <x:c r="L7" s="20"/>
      <x:c r="M7" s="20"/>
      <x:c r="N7" s="21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</x:row>
    <x:row r="8">
      <x:c r="B8" s="89" t="str">
        <x:v>Reference research topology</x:v>
      </x:c>
      <x:c r="C8" s="89" t="str">
        <x:v>T7 ten-island neighborhood lattice</x:v>
      </x:c>
      <x:c r="D8" s="89" t="str">
        <x:v>topology</x:v>
      </x:c>
      <x:c r="E8" s="80" t="str">
        <x:v>ten one-cell fixed islands plus one complete cell on each of three legacy access domains</x:v>
      </x:c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</x:row>
    <x:row r="9">
      <x:c r="B9" s="89" t="str">
        <x:v>Packages per T7 group</x:v>
      </x:c>
      <x:c r="C9" s="89" t="n">
        <x:f>'Topology Library'!J14</x:f>
        <x:v>13</x:v>
      </x:c>
      <x:c r="D9" s="89" t="str">
        <x:v>complete packages</x:v>
      </x:c>
      <x:c r="E9" s="80" t="str">
        <x:v>13 rather than 30 in the three-mode unprepared lower bound</x:v>
      </x:c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</x:row>
    <x:row r="10">
      <x:c r="B10" s="89" t="str">
        <x:v>T7 service after fixed island plus two modes lost</x:v>
      </x:c>
      <x:c r="C10" s="89" t="n">
        <x:f>SUMIFS('Topology Worlds'!$J$8:$J$133,'Topology Worlds'!$B$8:$B$133,"T7",'Topology Worlds'!$C$8:$C$133,"W07")</x:f>
        <x:v>10</x:v>
      </x:c>
      <x:c r="D10" s="89" t="str">
        <x:v>complete cells</x:v>
      </x:c>
      <x:c r="E10" s="80" t="str">
        <x:v>nine fixed islands and one surviving mobile cell close the contract</x:v>
      </x:c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</x:row>
    <x:row r="11">
      <x:c r="B11" s="89" t="str">
        <x:v>Geography-assigned national packages</x:v>
      </x:c>
      <x:c r="C11" s="89" t="n">
        <x:f>'National Program'!I16</x:f>
        <x:v>1088</x:v>
      </x:c>
      <x:c r="D11" s="89" t="str">
        <x:v>complete packages</x:v>
      </x:c>
      <x:c r="E11" s="80" t="str">
        <x:v>72 groups allocated across 32 service catchments</x:v>
      </x:c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</x:row>
    <x:row r="12">
      <x:c r="B12" s="89" t="str">
        <x:v>Geography-assigned lifecycle</x:v>
      </x:c>
      <x:c r="C12" s="90" t="n">
        <x:f>'National Program'!Q16</x:f>
        <x:v>5164.7482</x:v>
      </x:c>
      <x:c r="D12" s="89" t="str">
        <x:v>$B</x:v>
      </x:c>
      <x:c r="E12" s="80" t="str">
        <x:v>base constant-dollar screen</x:v>
      </x:c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</x:row>
    <x:row r="13">
      <x:c r="B13" s="89" t="str">
        <x:v>Geography-assigned uncertainty range</x:v>
      </x:c>
      <x:c r="C13" s="89" t="str">
        <x:f>TEXT('National Program'!P16,"$#,##0")&amp;" / "&amp;TEXT('National Program'!R16,"$#,##0")</x:f>
        <x:v>$4,153 / $6,936</x:v>
      </x:c>
      <x:c r="D13" s="89" t="str">
        <x:v>$B low / high</x:v>
      </x:c>
      <x:c r="E13" s="80" t="str">
        <x:v>planning range, not a confidence interval</x:v>
      </x:c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</x:row>
    <x:row r="14">
      <x:c r="B14" s="89" t="str">
        <x:v>Fourth-path maturity</x:v>
      </x:c>
      <x:c r="C14" s="89" t="n">
        <x:f>Assumptions!$C$15</x:f>
        <x:v>0</x:v>
      </x:c>
      <x:c r="D14" s="89" t="str">
        <x:v>binary</x:v>
      </x:c>
      <x:c r="E14" s="80" t="str">
        <x:v>zero: fiscal and inventory benefit is not operational credit</x:v>
      </x:c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</x:row>
    <x:row r="15">
      <x:c r="B15" s="89" t="str">
        <x:v>Open evidence gates</x:v>
      </x:c>
      <x:c r="C15" s="89" t="n">
        <x:f>COUNTIFS('Evidence Gates'!$H$8:$H$37,"OPEN")</x:f>
        <x:v>30</x:v>
      </x:c>
      <x:c r="D15" s="89" t="str">
        <x:v>gates</x:v>
      </x:c>
      <x:c r="E15" s="80" t="str">
        <x:v>no topology admitted</x:v>
      </x:c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</x:row>
    <x:row r="16">
      <x:c r="B16" s="96" t="str">
        <x:v>Rendering state</x:v>
      </x:c>
      <x:c r="C16" s="96" t="str">
        <x:v>BLOCKED</x:v>
      </x:c>
      <x:c r="D16" s="96" t="str">
        <x:v>governance</x:v>
      </x:c>
      <x:c r="E16" s="84" t="str">
        <x:v>requirements and complete-path evidence precede vehicle imagery</x:v>
      </x:c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</x:row>
    <x:row r="17"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</x:row>
    <x:row r="18"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</x:row>
    <x:row r="19">
      <x:c r="B19" s="8" t="str">
        <x:v>Governing judgments</x:v>
      </x:c>
      <x:c r="C19" s="9" t="str">
        <x:v>Governing judgments</x:v>
      </x:c>
      <x:c r="D19" s="9" t="str">
        <x:v>Governing judgments</x:v>
      </x:c>
      <x:c r="E19" s="9" t="str">
        <x:v>Governing judgments</x:v>
      </x:c>
      <x:c r="F19" s="9" t="str">
        <x:v>Governing judgments</x:v>
      </x:c>
      <x:c r="G19" s="9" t="str">
        <x:v>Governing judgments</x:v>
      </x:c>
      <x:c r="H19" s="9" t="str">
        <x:v>Governing judgments</x:v>
      </x:c>
      <x:c r="I19" s="9" t="str">
        <x:v>Governing judgments</x:v>
      </x:c>
      <x:c r="J19" s="9" t="str">
        <x:v>Governing judgments</x:v>
      </x:c>
      <x:c r="K19" s="9" t="str">
        <x:v>Governing judgments</x:v>
      </x:c>
      <x:c r="L19" s="9" t="str">
        <x:v>Governing judgments</x:v>
      </x:c>
      <x:c r="M19" s="9" t="str">
        <x:v>Governing judgments</x:v>
      </x:c>
      <x:c r="N19" s="10" t="str">
        <x:v>Governing judgments</x:v>
      </x:c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</x:row>
    <x:row r="20" ht="44" customHeight="1">
      <x:c r="B20" s="105" t="str">
        <x:v>1. The force is a topology, not an inventory list.</x:v>
      </x:c>
      <x:c r="C20" s="106" t="str">
        <x:v>A complete service cell earns credit only with source, heat destination, carrier, node, receiver, crew, control, authority and reset.</x:v>
      </x:c>
      <x:c r="D20" s="106"/>
      <x:c r="E20" s="106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</x:row>
    <x:row r="21" ht="44" customHeight="1">
      <x:c r="B21" s="107" t="str">
        <x:v>2. A fourth path changes the theorem only if it is truly independent.</x:v>
      </x:c>
      <x:c r="C21" s="108" t="str">
        <x:v>With four paths and any two lost, five complete cells per path can preserve ten. Shared bases, suppliers or receivers erase that advantage.</x:v>
      </x:c>
      <x:c r="D21" s="108"/>
      <x:c r="E21" s="108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</x:row>
    <x:row r="22" ht="44" customHeight="1">
      <x:c r="B22" s="107" t="str">
        <x:v>3. Forward readiness must be federated at service-cell scale.</x:v>
      </x:c>
      <x:c r="C22" s="108" t="str">
        <x:v>Nine cells at one anchor close transport denial but fail when the anchor is lost. T7 distributes ten cells across ten islands.</x:v>
      </x:c>
      <x:c r="D22" s="108"/>
      <x:c r="E22" s="108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</x:row>
    <x:row r="23" ht="44" customHeight="1">
      <x:c r="B23" s="107" t="str">
        <x:v>4. The lowest-package mixed-denial result uses thirteen packages per group.</x:v>
      </x:c>
      <x:c r="C23" s="108" t="str">
        <x:v>T7 loses one fixed cell and two mobile paths, leaving nine fixed cells and one complete mobile cell.</x:v>
      </x:c>
      <x:c r="D23" s="108"/>
      <x:c r="E23" s="108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</x:row>
    <x:row r="24" ht="44" customHeight="1">
      <x:c r="B24" s="107" t="str">
        <x:v>5. Geography changes composition, not public worth.</x:v>
      </x:c>
      <x:c r="C24" s="108" t="str">
        <x:v>Class rules change access engineering and fixed-mobile balance while preserving one ten-cell service contract.</x:v>
      </x:c>
      <x:c r="D24" s="108"/>
      <x:c r="E24" s="108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</x:row>
    <x:row r="25" ht="44" customHeight="1">
      <x:c r="B25" s="109" t="str">
        <x:v>6. No rendering is authorized.</x:v>
      </x:c>
      <x:c r="C25" s="110" t="str">
        <x:v>The clean-sheet fourth path, fixed islands and independence claims remain unproved, so silhouettes would freeze assumptions too early.</x:v>
      </x:c>
      <x:c r="D25" s="110"/>
      <x:c r="E25" s="110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</x:row>
    <x:row r="26"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</x:row>
    <x:row r="27"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</x:row>
    <x:row r="28">
      <x:c r="B28" s="8" t="str">
        <x:v>Architecture comparison</x:v>
      </x:c>
      <x:c r="C28" s="9" t="str">
        <x:v>Architecture comparison</x:v>
      </x:c>
      <x:c r="D28" s="9" t="str">
        <x:v>Architecture comparison</x:v>
      </x:c>
      <x:c r="E28" s="9" t="str">
        <x:v>Architecture comparison</x:v>
      </x:c>
      <x:c r="F28" s="9" t="str">
        <x:v>Architecture comparison</x:v>
      </x:c>
      <x:c r="G28" s="9" t="str">
        <x:v>Architecture comparison</x:v>
      </x:c>
      <x:c r="H28" s="10" t="str">
        <x:v>Architecture comparison</x:v>
      </x:c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</x:row>
    <x:row r="29">
      <x:c r="B29" s="24" t="str">
        <x:v>Topology</x:v>
      </x:c>
      <x:c r="C29" s="25" t="str">
        <x:v>Packages / group</x:v>
      </x:c>
      <x:c r="D29" s="25" t="str">
        <x:v>After any two modes</x:v>
      </x:c>
      <x:c r="E29" s="25" t="str">
        <x:v>After fixed + one</x:v>
      </x:c>
      <x:c r="F29" s="25" t="str">
        <x:v>After fixed + two</x:v>
      </x:c>
      <x:c r="G29" s="25" t="str">
        <x:v>Worlds passed</x:v>
      </x:c>
      <x:c r="H29" s="25" t="str">
        <x:v>National lifecycle $B</x:v>
      </x:c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</x:row>
    <x:row r="30">
      <x:c r="B30" s="26" t="str">
        <x:f>'Topology Library'!B8</x:f>
        <x:v>T1</x:v>
      </x:c>
      <x:c r="C30" s="26" t="n">
        <x:f>'Topology Library'!J8</x:f>
        <x:v>30</x:v>
      </x:c>
      <x:c r="D30" s="26" t="n">
        <x:f>'Topology Library'!M8</x:f>
        <x:v>10</x:v>
      </x:c>
      <x:c r="E30" s="26" t="n">
        <x:f>'Topology Library'!O8</x:f>
        <x:v>20</x:v>
      </x:c>
      <x:c r="F30" s="26" t="n">
        <x:f>'Topology Library'!P8</x:f>
        <x:v>10</x:v>
      </x:c>
      <x:c r="G30" s="26" t="n">
        <x:f>'Topology Library'!AE8</x:f>
        <x:v>16</x:v>
      </x:c>
      <x:c r="H30" s="111" t="n">
        <x:f>'National Program'!Q8</x:f>
        <x:v>8401.6672</x:v>
      </x:c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</x:row>
    <x:row r="31">
      <x:c r="B31" s="26" t="str">
        <x:f>'Topology Library'!B9</x:f>
        <x:v>T2</x:v>
      </x:c>
      <x:c r="C31" s="26" t="n">
        <x:f>'Topology Library'!J9</x:f>
        <x:v>12</x:v>
      </x:c>
      <x:c r="D31" s="26" t="n">
        <x:f>'Topology Library'!M9</x:f>
        <x:v>10</x:v>
      </x:c>
      <x:c r="E31" s="26" t="n">
        <x:f>'Topology Library'!O9</x:f>
        <x:v>2</x:v>
      </x:c>
      <x:c r="F31" s="26" t="n">
        <x:f>'Topology Library'!P9</x:f>
        <x:v>1</x:v>
      </x:c>
      <x:c r="G31" s="26" t="n">
        <x:f>'Topology Library'!AE9</x:f>
        <x:v>3</x:v>
      </x:c>
      <x:c r="H31" s="111" t="n">
        <x:f>'National Program'!Q9</x:f>
        <x:v>4476.7312</x:v>
      </x:c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</x:row>
    <x:row r="32">
      <x:c r="B32" s="26" t="str">
        <x:f>'Topology Library'!B10</x:f>
        <x:v>T3</x:v>
      </x:c>
      <x:c r="C32" s="26" t="n">
        <x:f>'Topology Library'!J10</x:f>
        <x:v>15</x:v>
      </x:c>
      <x:c r="D32" s="26" t="n">
        <x:f>'Topology Library'!M10</x:f>
        <x:v>11</x:v>
      </x:c>
      <x:c r="E32" s="26" t="n">
        <x:f>'Topology Library'!O10</x:f>
        <x:v>10</x:v>
      </x:c>
      <x:c r="F32" s="26" t="n">
        <x:f>'Topology Library'!P10</x:f>
        <x:v>8</x:v>
      </x:c>
      <x:c r="G32" s="26" t="n">
        <x:f>'Topology Library'!AE10</x:f>
        <x:v>12</x:v>
      </x:c>
      <x:c r="H32" s="111" t="n">
        <x:f>'National Program'!Q10</x:f>
        <x:v>5089.9552</x:v>
      </x:c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</x:row>
    <x:row r="33">
      <x:c r="B33" s="26" t="str">
        <x:f>'Topology Library'!B11</x:f>
        <x:v>T4</x:v>
      </x:c>
      <x:c r="C33" s="26" t="n">
        <x:f>'Topology Library'!J11</x:f>
        <x:v>18</x:v>
      </x:c>
      <x:c r="D33" s="26" t="n">
        <x:f>'Topology Library'!M11</x:f>
        <x:v>10</x:v>
      </x:c>
      <x:c r="E33" s="26" t="n">
        <x:f>'Topology Library'!O11</x:f>
        <x:v>12</x:v>
      </x:c>
      <x:c r="F33" s="26" t="n">
        <x:f>'Topology Library'!P11</x:f>
        <x:v>8</x:v>
      </x:c>
      <x:c r="G33" s="26" t="n">
        <x:f>'Topology Library'!AE11</x:f>
        <x:v>12</x:v>
      </x:c>
      <x:c r="H33" s="111" t="n">
        <x:f>'National Program'!Q11</x:f>
        <x:v>5785.0432</x:v>
      </x:c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</x:row>
    <x:row r="34">
      <x:c r="B34" s="26" t="str">
        <x:f>'Topology Library'!B12</x:f>
        <x:v>T5</x:v>
      </x:c>
      <x:c r="C34" s="26" t="n">
        <x:f>'Topology Library'!J12</x:f>
        <x:v>20</x:v>
      </x:c>
      <x:c r="D34" s="26" t="n">
        <x:f>'Topology Library'!M12</x:f>
        <x:v>10</x:v>
      </x:c>
      <x:c r="E34" s="26" t="n">
        <x:f>'Topology Library'!O12</x:f>
        <x:v>15</x:v>
      </x:c>
      <x:c r="F34" s="26" t="n">
        <x:f>'Topology Library'!P12</x:f>
        <x:v>10</x:v>
      </x:c>
      <x:c r="G34" s="26" t="n">
        <x:f>'Topology Library'!AE12</x:f>
        <x:v>16</x:v>
      </x:c>
      <x:c r="H34" s="111" t="n">
        <x:f>'National Program'!Q12</x:f>
        <x:v>6955.5472</x:v>
      </x:c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</x:row>
    <x:row r="35">
      <x:c r="B35" s="26" t="str">
        <x:f>'Topology Library'!B13</x:f>
        <x:v>T6</x:v>
      </x:c>
      <x:c r="C35" s="26" t="n">
        <x:f>'Topology Library'!J13</x:f>
        <x:v>16</x:v>
      </x:c>
      <x:c r="D35" s="26" t="n">
        <x:f>'Topology Library'!M13</x:f>
        <x:v>12</x:v>
      </x:c>
      <x:c r="E35" s="26" t="n">
        <x:f>'Topology Library'!O13</x:f>
        <x:v>12</x:v>
      </x:c>
      <x:c r="F35" s="26" t="n">
        <x:f>'Topology Library'!P13</x:f>
        <x:v>10</x:v>
      </x:c>
      <x:c r="G35" s="26" t="n">
        <x:f>'Topology Library'!AE13</x:f>
        <x:v>17</x:v>
      </x:c>
      <x:c r="H35" s="111" t="n">
        <x:f>'National Program'!Q13</x:f>
        <x:v>5560.8351999999995</x:v>
      </x:c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</x:row>
    <x:row r="36">
      <x:c r="B36" s="29" t="str">
        <x:f>'Topology Library'!B14</x:f>
        <x:v>T7</x:v>
      </x:c>
      <x:c r="C36" s="29" t="n">
        <x:f>'Topology Library'!J14</x:f>
        <x:v>13</x:v>
      </x:c>
      <x:c r="D36" s="29" t="n">
        <x:f>'Topology Library'!M14</x:f>
        <x:v>11</x:v>
      </x:c>
      <x:c r="E36" s="29" t="n">
        <x:f>'Topology Library'!O14</x:f>
        <x:v>11</x:v>
      </x:c>
      <x:c r="F36" s="29" t="n">
        <x:f>'Topology Library'!P14</x:f>
        <x:v>10</x:v>
      </x:c>
      <x:c r="G36" s="29" t="n">
        <x:f>'Topology Library'!AE14</x:f>
        <x:v>16</x:v>
      </x:c>
      <x:c r="H36" s="112" t="n">
        <x:f>'National Program'!Q14</x:f>
        <x:v>4653.8512</x:v>
      </x:c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</x:row>
    <x:row r="37"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</x:row>
    <x:row r="38"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</x:row>
    <x:row r="39"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</x:row>
    <x:row r="40"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</x:row>
    <x:row r="41"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</x:row>
    <x:row r="42"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</x:row>
    <x:row r="43"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</x:row>
    <x:row r="44"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</x:row>
    <x:row r="45"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</x:row>
    <x:row r="46"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</x:row>
    <x:row r="47"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</x:row>
    <x:row r="48"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</x:row>
    <x:row r="49"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</x:row>
    <x:row r="50"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</x:row>
    <x:row r="51"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</x:row>
    <x:row r="52"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</x:row>
    <x:row r="53"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</x:row>
    <x:row r="54"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</x:row>
    <x:row r="55"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</x:row>
    <x:row r="56"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</x:row>
    <x:row r="57"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</x:row>
    <x:row r="58"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</x:row>
    <x:row r="59"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</x:row>
    <x:row r="60"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</x:row>
    <x:row r="61"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</x:row>
    <x:row r="62"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</x:row>
    <x:row r="63"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</x:row>
    <x:row r="64"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</x:row>
    <x:row r="65"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</x:row>
    <x:row r="66"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</x:row>
    <x:row r="67"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</x:row>
    <x:row r="68"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</x:row>
    <x:row r="69"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</x:row>
    <x:row r="70"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</x:row>
    <x:row r="71"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</x:row>
    <x:row r="72"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</x:row>
    <x:row r="73"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</x:row>
    <x:row r="74"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</x:row>
    <x:row r="75"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</x:row>
    <x:row r="76"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</x:row>
    <x:row r="77"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</x:row>
    <x:row r="78"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</x:row>
    <x:row r="79"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</x:row>
    <x:row r="80"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</x:row>
    <x:row r="81"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</x:row>
    <x:row r="82"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</x:row>
    <x:row r="83"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</x:row>
    <x:row r="84"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</x:row>
    <x:row r="85"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</x:row>
    <x:row r="86"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</x:row>
    <x:row r="87"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</x:row>
    <x:row r="88"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</x:row>
    <x:row r="89"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</x:row>
    <x:row r="90"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</x:row>
    <x:row r="91"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</x:row>
    <x:row r="92"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</x:row>
    <x:row r="93"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</x:row>
    <x:row r="94"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</x:row>
    <x:row r="95"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</x:row>
    <x:row r="96"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</x:row>
    <x:row r="97"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</x:row>
    <x:row r="98"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</x:row>
    <x:row r="99"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</x:row>
    <x:row r="100"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</x:row>
    <x:row r="101"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</x:row>
    <x:row r="102"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</x:row>
    <x:row r="103"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</x:row>
    <x:row r="104"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</x:row>
    <x:row r="105"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</x:row>
    <x:row r="106"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</x:row>
    <x:row r="107"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</x:row>
    <x:row r="108"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</x:row>
    <x:row r="109"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</x:row>
    <x:row r="110"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</x:row>
    <x:row r="111"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</x:row>
    <x:row r="112"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</x:row>
    <x:row r="113"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</x:row>
    <x:row r="114"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</x:row>
    <x:row r="115"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</x:row>
    <x:row r="116"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</x:row>
    <x:row r="117"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</x:row>
    <x:row r="118"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</x:row>
    <x:row r="119"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</x:row>
    <x:row r="120"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</x:row>
    <x:row r="121"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</x:row>
    <x:row r="122"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</x:row>
    <x:row r="123"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</x:row>
    <x:row r="124"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</x:row>
    <x:row r="125"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</x:row>
    <x:row r="126"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</x:row>
    <x:row r="127"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</x:row>
    <x:row r="128"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</x:row>
    <x:row r="129"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</x:row>
    <x:row r="130"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</x:row>
    <x:row r="131"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</x:row>
    <x:row r="132"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</x:row>
    <x:row r="133"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</x:row>
    <x:row r="134"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</x:row>
    <x:row r="135"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</x:row>
    <x:row r="136"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</x:row>
    <x:row r="137"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</x:row>
    <x:row r="138"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</x:row>
    <x:row r="139"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</x:row>
    <x:row r="140"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</x:row>
    <x:row r="141"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</x:row>
    <x:row r="142"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</x:row>
    <x:row r="143"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</x:row>
    <x:row r="144"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</x:row>
    <x:row r="145"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</x:row>
    <x:row r="146"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</x:row>
    <x:row r="147"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</x:row>
    <x:row r="148"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</x:row>
    <x:row r="149"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</x:row>
    <x:row r="150"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</x:row>
    <x:row r="151"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</x:row>
    <x:row r="152"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</x:row>
    <x:row r="153"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</x:row>
    <x:row r="154"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</x:row>
    <x:row r="155"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</x:row>
    <x:row r="156"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</x:row>
    <x:row r="157"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</x:row>
    <x:row r="158"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</x:row>
    <x:row r="159"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</x:row>
    <x:row r="160"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</x:row>
    <x:row r="161"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</x:row>
    <x:row r="162"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</x:row>
    <x:row r="163"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</x:row>
    <x:row r="164"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</x:row>
    <x:row r="165"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</x:row>
    <x:row r="166"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</x:row>
    <x:row r="167"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</x:row>
    <x:row r="168"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</x:row>
    <x:row r="169"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</x:row>
    <x:row r="170"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</x:row>
    <x:row r="171"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</x:row>
    <x:row r="172"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</x:row>
    <x:row r="173"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</x:row>
    <x:row r="174"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</x:row>
    <x:row r="175"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</x:row>
    <x:row r="176"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</x:row>
    <x:row r="177"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</x:row>
    <x:row r="178"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</x:row>
    <x:row r="179"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</x:row>
    <x:row r="180"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</x:row>
    <x:row r="181"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</x:row>
    <x:row r="182"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</x:row>
    <x:row r="183"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</x:row>
    <x:row r="184"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</x:row>
    <x:row r="185"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</x:row>
    <x:row r="186"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</x:row>
    <x:row r="187"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</x:row>
    <x:row r="188"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</x:row>
    <x:row r="189"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</x:row>
    <x:row r="190"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</x:row>
    <x:row r="191"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</x:row>
    <x:row r="192"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</x:row>
    <x:row r="193"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</x:row>
    <x:row r="194"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</x:row>
    <x:row r="195"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</x:row>
    <x:row r="196"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</x:row>
    <x:row r="197"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</x:row>
    <x:row r="198"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</x:row>
    <x:row r="199"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</x:row>
    <x:row r="200"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</x:row>
    <x:row r="201"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</x:row>
    <x:row r="202"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</x:row>
    <x:row r="203"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</x:row>
    <x:row r="204"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</x:row>
    <x:row r="205"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</x:row>
    <x:row r="206"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</x:row>
    <x:row r="207"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</x:row>
    <x:row r="208"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</x:row>
    <x:row r="209"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</x:row>
    <x:row r="210"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</x:row>
    <x:row r="211"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</x:row>
    <x:row r="212"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</x:row>
    <x:row r="213"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</x:row>
    <x:row r="214"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</x:row>
    <x:row r="215"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</x:row>
    <x:row r="216"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</x:row>
    <x:row r="217"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</x:row>
    <x:row r="218"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</x:row>
    <x:row r="219"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</x:row>
    <x:row r="220"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</x:row>
    <x:row r="221"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</x:row>
    <x:row r="222"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</x:row>
    <x:row r="223"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</x:row>
    <x:row r="224"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</x:row>
    <x:row r="225"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</x:row>
    <x:row r="226"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</x:row>
    <x:row r="227"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</x:row>
    <x:row r="228"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</x:row>
    <x:row r="229"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</x:row>
    <x:row r="230"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</x:row>
    <x:row r="231"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</x:row>
    <x:row r="232"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</x:row>
    <x:row r="233"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</x:row>
    <x:row r="234"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</x:row>
    <x:row r="235"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</x:row>
    <x:row r="236"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</x:row>
    <x:row r="237"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</x:row>
    <x:row r="238"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</x:row>
    <x:row r="239"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</x:row>
    <x:row r="240"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</x:row>
    <x:row r="241"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</x:row>
    <x:row r="242"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</x:row>
    <x:row r="243"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</x:row>
    <x:row r="244"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</x:row>
    <x:row r="245"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</x:row>
    <x:row r="246"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</x:row>
    <x:row r="247"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</x:row>
    <x:row r="248"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</x:row>
    <x:row r="249"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</x:row>
    <x:row r="250"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</x:row>
    <x:row r="251"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</x:row>
    <x:row r="252"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</x:row>
    <x:row r="253"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</x:row>
    <x:row r="254"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</x:row>
    <x:row r="255"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</x:row>
    <x:row r="256"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</x:row>
    <x:row r="257"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</x:row>
    <x:row r="258"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</x:row>
    <x:row r="259"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</x:row>
    <x:row r="260"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</x:row>
    <x:row r="261"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</x:row>
    <x:row r="262"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</x:row>
    <x:row r="263"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</x:row>
    <x:row r="264"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</x:row>
    <x:row r="265"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</x:row>
    <x:row r="266"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</x:row>
    <x:row r="267"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</x:row>
    <x:row r="268"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</x:row>
    <x:row r="269"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</x:row>
    <x:row r="270"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</x:row>
    <x:row r="271"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</x:row>
    <x:row r="272"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</x:row>
    <x:row r="273"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</x:row>
    <x:row r="274"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</x:row>
    <x:row r="275"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</x:row>
    <x:row r="276"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</x:row>
    <x:row r="277"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</x:row>
    <x:row r="278"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</x:row>
    <x:row r="279"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</x:row>
    <x:row r="280"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</x:row>
    <x:row r="281"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</x:row>
    <x:row r="282"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</x:row>
    <x:row r="283"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</x:row>
    <x:row r="284"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</x:row>
    <x:row r="285"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</x:row>
    <x:row r="286"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</x:row>
    <x:row r="287"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</x:row>
    <x:row r="288"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</x:row>
    <x:row r="289"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</x:row>
    <x:row r="290"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</x:row>
    <x:row r="291"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</x:row>
    <x:row r="292"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</x:row>
    <x:row r="293"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</x:row>
    <x:row r="294"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</x:row>
    <x:row r="295"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</x:row>
    <x:row r="296"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</x:row>
    <x:row r="297"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</x:row>
    <x:row r="298"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</x:row>
    <x:row r="299"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</x:row>
    <x:row r="300"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</x:row>
    <x:row r="301"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</x:row>
    <x:row r="302"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</x:row>
    <x:row r="303"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</x:row>
    <x:row r="304"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</x:row>
    <x:row r="305"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</x:row>
    <x:row r="306"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</x:row>
    <x:row r="307"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</x:row>
    <x:row r="308"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</x:row>
    <x:row r="309"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</x:row>
    <x:row r="310"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</x:row>
    <x:row r="311"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</x:row>
    <x:row r="312"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</x:row>
    <x:row r="313"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</x:row>
    <x:row r="314"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</x:row>
    <x:row r="315"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</x:row>
    <x:row r="316"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</x:row>
    <x:row r="317"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</x:row>
    <x:row r="318"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</x:row>
    <x:row r="319"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</x:row>
    <x:row r="320"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</x:row>
  </x:sheetData>
  <x:mergeCells>
    <x:mergeCell ref="B6:N6"/>
    <x:mergeCell ref="B19:N19"/>
    <x:mergeCell ref="C20:E20"/>
    <x:mergeCell ref="C21:E21"/>
    <x:mergeCell ref="C22:E22"/>
    <x:mergeCell ref="C23:E23"/>
    <x:mergeCell ref="C24:E24"/>
    <x:mergeCell ref="C25:E25"/>
    <x:mergeCell ref="B28:H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5D7C"/>
  </x:sheetPr>
  <x:sheetViews>
    <x:sheetView showGridLines="0" workbookViewId="0"/>
  </x:sheetViews>
  <x:sheetFormatPr defaultRowHeight="15"/>
  <x:cols>
    <x:col min="2" max="2" width="34" hidden="0" customWidth="1"/>
    <x:col min="3" max="3" width="17" hidden="0" customWidth="1"/>
    <x:col min="4" max="4" width="20" hidden="0" customWidth="1"/>
    <x:col min="5" max="5" width="48" hidden="0" customWidth="1"/>
    <x:col min="6" max="6" width="48" hidden="0" customWidth="1"/>
    <x:col min="7" max="7" width="31" hidden="0" customWidth="1"/>
    <x:col min="8" max="8" width="33" hidden="0" customWidth="1"/>
    <x:col min="9" max="9" width="18" hidden="0" customWidth="1"/>
    <x:col min="10" max="10" width="46" hidden="0" customWidth="1"/>
    <x:col min="11" max="11" width="44" hidden="0" customWidth="1"/>
  </x:cols>
  <x:sheetData>
    <x:row r="2">
      <x:c r="B2" s="3" t="str">
        <x:v>National readiness topology assumptions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</x:row>
    <x:row r="3">
      <x:c r="B3" s="4" t="str">
        <x:v>Editable force guarantees, inherited balances, unit economics and receiver-class rules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</x:row>
    <x:row r="6">
      <x:c r="B6" s="8" t="str">
        <x:v>Mission and national force</x:v>
      </x:c>
      <x:c r="C6" s="9" t="str">
        <x:v>Mission and national force</x:v>
      </x:c>
      <x:c r="D6" s="9" t="str">
        <x:v>Mission and national force</x:v>
      </x:c>
      <x:c r="E6" s="10" t="str">
        <x:v>Mission and national force</x:v>
      </x:c>
      <x:c r="F6" s="2"/>
      <x:c r="G6" s="8" t="str">
        <x:v>Receiver-class assignment</x:v>
      </x:c>
      <x:c r="H6" s="9" t="str">
        <x:v>Receiver-class assignment</x:v>
      </x:c>
      <x:c r="I6" s="9" t="str">
        <x:v>Receiver-class assignment</x:v>
      </x:c>
      <x:c r="J6" s="10" t="str">
        <x:v>Receiver-class assignment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</x:row>
    <x:row r="7">
      <x:c r="B7" s="24" t="str">
        <x:v>Input</x:v>
      </x:c>
      <x:c r="C7" s="25" t="str">
        <x:v>Value</x:v>
      </x:c>
      <x:c r="D7" s="25" t="str">
        <x:v>Unit</x:v>
      </x:c>
      <x:c r="E7" s="25" t="str">
        <x:v>Meaning</x:v>
      </x:c>
      <x:c r="F7" s="2"/>
      <x:c r="G7" s="24" t="str">
        <x:v>Receiver class</x:v>
      </x:c>
      <x:c r="H7" s="25" t="str">
        <x:v>Reference topology</x:v>
      </x:c>
      <x:c r="I7" s="25" t="str">
        <x:v>Rule</x:v>
      </x:c>
      <x:c r="J7" s="25" t="str">
        <x:v>Research meaning</x:v>
      </x:c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</x:row>
    <x:row r="8">
      <x:c r="B8" s="26" t="str">
        <x:v>Required complete cells per group</x:v>
      </x:c>
      <x:c r="C8" s="27" t="n">
        <x:v>10</x:v>
      </x:c>
      <x:c r="D8" s="26" t="str">
        <x:v>cell-equivalents</x:v>
      </x:c>
      <x:c r="E8" s="28" t="str">
        <x:v>PTS-50 public-service contract</x:v>
      </x:c>
      <x:c r="F8" s="2"/>
      <x:c r="G8" s="26" t="str">
        <x:v>C1 ISLAND / TERRITORIAL</x:v>
      </x:c>
      <x:c r="H8" s="27" t="str">
        <x:v>T6</x:v>
      </x:c>
      <x:c r="I8" s="26" t="str">
        <x:v>Non-CONUS = YES</x:v>
      </x:c>
      <x:c r="J8" s="28" t="str">
        <x:v>four access domains must be redefined as sea, air, prepared stock and local conversion</x:v>
      </x:c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</x:row>
    <x:row r="9">
      <x:c r="B9" s="26" t="str">
        <x:v>National PTS-50 groups</x:v>
      </x:c>
      <x:c r="C9" s="27" t="n">
        <x:v>72</x:v>
      </x:c>
      <x:c r="D9" s="26" t="str">
        <x:v>groups</x:v>
      </x:c>
      <x:c r="E9" s="28" t="str">
        <x:v>provisional Pass 72–75 comparator</x:v>
      </x:c>
      <x:c r="F9" s="2"/>
      <x:c r="G9" s="26" t="str">
        <x:v>C2 INLAND HARD-ACCESS</x:v>
      </x:c>
      <x:c r="H9" s="27" t="str">
        <x:v>T6</x:v>
      </x:c>
      <x:c r="I9" s="26" t="str">
        <x:v>Water access = NO</x:v>
      </x:c>
      <x:c r="J9" s="28" t="str">
        <x:v>fourth path must replace unavailable water rather than merely rename it</x:v>
      </x:c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</x:row>
    <x:row r="10">
      <x:c r="B10" s="26" t="str">
        <x:v>Service catchment areas</x:v>
      </x:c>
      <x:c r="C10" s="27" t="n">
        <x:v>32</x:v>
      </x:c>
      <x:c r="D10" s="26" t="str">
        <x:v>SCA</x:v>
      </x:c>
      <x:c r="E10" s="28" t="str">
        <x:v>Pass 32 national planning geography</x:v>
      </x:c>
      <x:c r="F10" s="2"/>
      <x:c r="G10" s="26" t="str">
        <x:v>C3 DENSE / COMPOUND</x:v>
      </x:c>
      <x:c r="H10" s="27" t="str">
        <x:v>T7</x:v>
      </x:c>
      <x:c r="I10" s="26" t="str">
        <x:v>Population &gt;= 15m or NRI composite &gt;= 95</x:v>
      </x:c>
      <x:c r="J10" s="28" t="str">
        <x:v>ten neighborhood-scale islands preserve service without depending on the unproved fourth path</x:v>
      </x:c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</x:row>
    <x:row r="11">
      <x:c r="B11" s="26" t="str">
        <x:v>Minimum group per SCA</x:v>
      </x:c>
      <x:c r="C11" s="27" t="n">
        <x:v>1</x:v>
      </x:c>
      <x:c r="D11" s="26" t="str">
        <x:v>group</x:v>
      </x:c>
      <x:c r="E11" s="28" t="str">
        <x:v>territorial and geographic floor</x:v>
      </x:c>
      <x:c r="F11" s="2"/>
      <x:c r="G11" s="26" t="str">
        <x:v>C4 MULTIMODAL HIGH-EXPOSURE</x:v>
      </x:c>
      <x:c r="H11" s="27" t="str">
        <x:v>T3</x:v>
      </x:c>
      <x:c r="I11" s="26" t="str">
        <x:v>NRI composite &gt;= 90</x:v>
      </x:c>
      <x:c r="J11" s="28" t="str">
        <x:v>federated forward capacity with two cells per legacy mode</x:v>
      </x:c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</x:row>
    <x:row r="12">
      <x:c r="B12" s="26" t="str">
        <x:v>Program duration</x:v>
      </x:c>
      <x:c r="C12" s="27" t="n">
        <x:v>25</x:v>
      </x:c>
      <x:c r="D12" s="26" t="str">
        <x:v>years</x:v>
      </x:c>
      <x:c r="E12" s="28" t="str">
        <x:v>constant 2026-dollar screen</x:v>
      </x:c>
      <x:c r="F12" s="2"/>
      <x:c r="G12" s="29" t="str">
        <x:v>C5 REGIONAL MULTIMODAL</x:v>
      </x:c>
      <x:c r="H12" s="30" t="str">
        <x:v>T4</x:v>
      </x:c>
      <x:c r="I12" s="29" t="str">
        <x:v>remaining SCA</x:v>
      </x:c>
      <x:c r="J12" s="31" t="str">
        <x:v>less fixed capacity and four cells per legacy mode</x:v>
      </x:c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</x:row>
    <x:row r="13">
      <x:c r="B13" s="26" t="str">
        <x:v>Mature operations factor</x:v>
      </x:c>
      <x:c r="C13" s="27" t="n">
        <x:v>15.81</x:v>
      </x:c>
      <x:c r="D13" s="26" t="str">
        <x:v>years</x:v>
      </x:c>
      <x:c r="E13" s="28" t="str">
        <x:v>inherited ramp-weighted operations</x:v>
      </x:c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</x:row>
    <x:row r="14">
      <x:c r="B14" s="26" t="str">
        <x:v>Legacy mobile access modes</x:v>
      </x:c>
      <x:c r="C14" s="27" t="n">
        <x:v>3</x:v>
      </x:c>
      <x:c r="D14" s="26" t="str">
        <x:v>modes</x:v>
      </x:c>
      <x:c r="E14" s="28" t="str">
        <x:v>road, rail and navigable water</x:v>
      </x:c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</x:row>
    <x:row r="15">
      <x:c r="B15" s="26" t="str">
        <x:v>Fourth-path technology maturity</x:v>
      </x:c>
      <x:c r="C15" s="27" t="n">
        <x:v>0</x:v>
      </x:c>
      <x:c r="D15" s="26" t="str">
        <x:v>binary</x:v>
      </x:c>
      <x:c r="E15" s="28" t="str">
        <x:v>no operational credit before complete-path trial</x:v>
      </x:c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</x:row>
    <x:row r="16">
      <x:c r="B16" s="29" t="str">
        <x:v>Rendering authorization</x:v>
      </x:c>
      <x:c r="C16" s="30" t="n">
        <x:v>0</x:v>
      </x:c>
      <x:c r="D16" s="29" t="str">
        <x:v>binary</x:v>
      </x:c>
      <x:c r="E16" s="31" t="str">
        <x:v>blocked while topology evidence is open</x:v>
      </x:c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</x:row>
    <x:row r="17"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</x:row>
    <x:row r="18"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</x:row>
    <x:row r="19"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</x:row>
    <x:row r="20">
      <x:c r="B20" s="8" t="str">
        <x:v>Complete-cell unit economics</x:v>
      </x:c>
      <x:c r="C20" s="9" t="str">
        <x:v>Complete-cell unit economics</x:v>
      </x:c>
      <x:c r="D20" s="9" t="str">
        <x:v>Complete-cell unit economics</x:v>
      </x:c>
      <x:c r="E20" s="9" t="str">
        <x:v>Complete-cell unit economics</x:v>
      </x:c>
      <x:c r="F20" s="10" t="str">
        <x:v>Complete-cell unit economics</x:v>
      </x:c>
      <x:c r="G20" s="2"/>
      <x:c r="H20" s="8" t="str">
        <x:v>Inherited program boundary</x:v>
      </x:c>
      <x:c r="I20" s="9" t="str">
        <x:v>Inherited program boundary</x:v>
      </x:c>
      <x:c r="J20" s="9" t="str">
        <x:v>Inherited program boundary</x:v>
      </x:c>
      <x:c r="K20" s="10" t="str">
        <x:v>Inherited program boundary</x:v>
      </x:c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</x:row>
    <x:row r="21">
      <x:c r="B21" s="24" t="str">
        <x:v>Position</x:v>
      </x:c>
      <x:c r="C21" s="25" t="str">
        <x:v>Configured capital $B</x:v>
      </x:c>
      <x:c r="D21" s="25" t="str">
        <x:v>Mature O&amp;S $B/year</x:v>
      </x:c>
      <x:c r="E21" s="25" t="str">
        <x:v>25-year lifecycle $B</x:v>
      </x:c>
      <x:c r="F21" s="25" t="str">
        <x:v>Boundary</x:v>
      </x:c>
      <x:c r="G21" s="2"/>
      <x:c r="H21" s="24" t="str">
        <x:v>Input</x:v>
      </x:c>
      <x:c r="I21" s="25" t="str">
        <x:v>Value $B</x:v>
      </x:c>
      <x:c r="J21" s="25" t="str">
        <x:v>Source</x:v>
      </x:c>
      <x:c r="K21" s="25" t="str">
        <x:v>Treatment</x:v>
      </x:c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</x:row>
    <x:row r="22">
      <x:c r="B22" s="26" t="str">
        <x:v>Fixed prepared cell</x:v>
      </x:c>
      <x:c r="C22" s="35" t="n">
        <x:v>1.1</x:v>
      </x:c>
      <x:c r="D22" s="35" t="n">
        <x:v>0.08602150537634408</x:v>
      </x:c>
      <x:c r="E22" s="36" t="n">
        <x:f>C22+D22*$C$13</x:f>
        <x:v>2.46</x:v>
      </x:c>
      <x:c r="F22" s="28" t="str">
        <x:v>land, hardening and local staffing still provisional</x:v>
      </x:c>
      <x:c r="G22" s="2"/>
      <x:c r="H22" s="26" t="str">
        <x:v>Pass 74 national comparator</x:v>
      </x:c>
      <x:c r="I22" s="41" t="n">
        <x:v>4693.3952</x:v>
      </x:c>
      <x:c r="J22" s="26" t="str">
        <x:v>Pass 74</x:v>
      </x:c>
      <x:c r="K22" s="28" t="str">
        <x:v>control</x:v>
      </x:c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</x:row>
    <x:row r="23">
      <x:c r="B23" s="26" t="str">
        <x:v>Road complete cell</x:v>
      </x:c>
      <x:c r="C23" s="35" t="n">
        <x:v>1.2</x:v>
      </x:c>
      <x:c r="D23" s="35" t="n">
        <x:v>0.08089816571790007</x:v>
      </x:c>
      <x:c r="E23" s="36" t="n">
        <x:f>C23+D23*$C$13</x:f>
        <x:v>2.479</x:v>
      </x:c>
      <x:c r="F23" s="28" t="str">
        <x:v>complete road source-host package</x:v>
      </x:c>
      <x:c r="G23" s="2"/>
      <x:c r="H23" s="26" t="str">
        <x:v>Pass 75 cell layer</x:v>
      </x:c>
      <x:c r="I23" s="41" t="n">
        <x:v>2563.968</x:v>
      </x:c>
      <x:c r="J23" s="26" t="str">
        <x:v>Pass 75</x:v>
      </x:c>
      <x:c r="K23" s="28" t="str">
        <x:v>replaced by topology-specific cell layer</x:v>
      </x:c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</x:row>
    <x:row r="24">
      <x:c r="B24" s="26" t="str">
        <x:v>Rail complete cell</x:v>
      </x:c>
      <x:c r="C24" s="35" t="n">
        <x:v>1.35</x:v>
      </x:c>
      <x:c r="D24" s="35" t="n">
        <x:v>0.09165085388994307</x:v>
      </x:c>
      <x:c r="E24" s="36" t="n">
        <x:f>C24+D24*$C$13</x:f>
        <x:v>2.799</x:v>
      </x:c>
      <x:c r="F24" s="28" t="str">
        <x:v>complete rail source-host package</x:v>
      </x:c>
      <x:c r="G24" s="2"/>
      <x:c r="H24" s="26" t="str">
        <x:v>Retained common national program</x:v>
      </x:c>
      <x:c r="I24" s="41" t="n">
        <x:v>2129.4272</x:v>
      </x:c>
      <x:c r="J24" s="26" t="str">
        <x:v>difference</x:v>
      </x:c>
      <x:c r="K24" s="28" t="str">
        <x:v>non-cell formations, nodes, schools, bases and operations</x:v>
      </x:c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</x:row>
    <x:row r="25">
      <x:c r="B25" s="26" t="str">
        <x:v>Water complete cell</x:v>
      </x:c>
      <x:c r="C25" s="35" t="n">
        <x:v>1.55</x:v>
      </x:c>
      <x:c r="D25" s="35" t="n">
        <x:v>0.10683111954459201</x:v>
      </x:c>
      <x:c r="E25" s="36" t="n">
        <x:f>C25+D25*$C$13</x:f>
        <x:v>3.239</x:v>
      </x:c>
      <x:c r="F25" s="28" t="str">
        <x:v>complete shallow-water source-host package</x:v>
      </x:c>
      <x:c r="G25" s="2"/>
      <x:c r="H25" s="26" t="str">
        <x:v>Pass 74 technology account</x:v>
      </x:c>
      <x:c r="I25" s="41" t="n">
        <x:v>180</x:v>
      </x:c>
      <x:c r="J25" s="26" t="str">
        <x:v>Pass 74</x:v>
      </x:c>
      <x:c r="K25" s="28" t="str">
        <x:v>already contained in retained common program</x:v>
      </x:c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</x:row>
    <x:row r="26">
      <x:c r="B26" s="29" t="str">
        <x:v>Fourth-path complete cell</x:v>
      </x:c>
      <x:c r="C26" s="37" t="n">
        <x:v>2.2</x:v>
      </x:c>
      <x:c r="D26" s="37" t="n">
        <x:v>0.14547754585705247</x:v>
      </x:c>
      <x:c r="E26" s="38" t="n">
        <x:f>C26+D26*$C$13</x:f>
        <x:v>4.5</x:v>
      </x:c>
      <x:c r="F26" s="31" t="str">
        <x:v>clean-sheet heavy access hypothesis; no maturity credit</x:v>
      </x:c>
      <x:c r="G26" s="2"/>
      <x:c r="H26" s="26" t="str">
        <x:v>Pass 76 topology technology account</x:v>
      </x:c>
      <x:c r="I26" s="41" t="n">
        <x:v>320</x:v>
      </x:c>
      <x:c r="J26" s="26" t="str">
        <x:v>this pass</x:v>
      </x:c>
      <x:c r="K26" s="28" t="str">
        <x:v>replacement research and proving portfolio</x:v>
      </x:c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</x:row>
    <x:row r="27">
      <x:c r="B27" s="2"/>
      <x:c r="C27" s="2"/>
      <x:c r="D27" s="2"/>
      <x:c r="E27" s="2"/>
      <x:c r="F27" s="2"/>
      <x:c r="G27" s="2"/>
      <x:c r="H27" s="29" t="str">
        <x:v>Increment above Pass 74</x:v>
      </x:c>
      <x:c r="I27" s="42" t="n">
        <x:f>I26-I25</x:f>
        <x:v>140</x:v>
      </x:c>
      <x:c r="J27" s="29" t="str">
        <x:v>calculated</x:v>
      </x:c>
      <x:c r="K27" s="31" t="str">
        <x:v>added once to every topology</x:v>
      </x:c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</x:row>
    <x:row r="28"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</x:row>
    <x:row r="29"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</x:row>
    <x:row r="30">
      <x:c r="B30" s="8" t="str">
        <x:v>Cost uncertainty multipliers</x:v>
      </x:c>
      <x:c r="C30" s="9" t="str">
        <x:v>Cost uncertainty multipliers</x:v>
      </x:c>
      <x:c r="D30" s="9" t="str">
        <x:v>Cost uncertainty multipliers</x:v>
      </x:c>
      <x:c r="E30" s="9" t="str">
        <x:v>Cost uncertainty multipliers</x:v>
      </x:c>
      <x:c r="F30" s="9" t="str">
        <x:v>Cost uncertainty multipliers</x:v>
      </x:c>
      <x:c r="G30" s="10" t="str">
        <x:v>Cost uncertainty multipliers</x:v>
      </x:c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</x:row>
    <x:row r="31">
      <x:c r="B31" s="24" t="str">
        <x:v>Cost block</x:v>
      </x:c>
      <x:c r="C31" s="25" t="str">
        <x:v>Low</x:v>
      </x:c>
      <x:c r="D31" s="25" t="str">
        <x:v>Base</x:v>
      </x:c>
      <x:c r="E31" s="25" t="str">
        <x:v>High</x:v>
      </x:c>
      <x:c r="F31" s="25" t="str">
        <x:v>Why range is wide</x:v>
      </x:c>
      <x:c r="G31" s="25" t="str">
        <x:v>Treatment</x:v>
      </x:c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</x:row>
    <x:row r="32">
      <x:c r="B32" s="26" t="str">
        <x:v>Retained common program</x:v>
      </x:c>
      <x:c r="C32" s="44" t="n">
        <x:v>0.85</x:v>
      </x:c>
      <x:c r="D32" s="44" t="n">
        <x:v>1</x:v>
      </x:c>
      <x:c r="E32" s="44" t="n">
        <x:v>1.25</x:v>
      </x:c>
      <x:c r="F32" s="26" t="str">
        <x:v>scope and integration uncertainty</x:v>
      </x:c>
      <x:c r="G32" s="28" t="str">
        <x:v>applied to common lifecycle</x:v>
      </x:c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</x:row>
    <x:row r="33">
      <x:c r="B33" s="26" t="str">
        <x:v>Fixed cells</x:v>
      </x:c>
      <x:c r="C33" s="44" t="n">
        <x:v>0.8</x:v>
      </x:c>
      <x:c r="D33" s="44" t="n">
        <x:v>1</x:v>
      </x:c>
      <x:c r="E33" s="44" t="n">
        <x:v>1.35</x:v>
      </x:c>
      <x:c r="F33" s="26" t="str">
        <x:v>site and hardening heterogeneity</x:v>
      </x:c>
      <x:c r="G33" s="28" t="str">
        <x:v>applied to fixed cell lifecycle</x:v>
      </x:c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</x:row>
    <x:row r="34">
      <x:c r="B34" s="26" t="str">
        <x:v>Legacy mobile cells</x:v>
      </x:c>
      <x:c r="C34" s="44" t="n">
        <x:v>0.75</x:v>
      </x:c>
      <x:c r="D34" s="44" t="n">
        <x:v>1</x:v>
      </x:c>
      <x:c r="E34" s="44" t="n">
        <x:v>1.45</x:v>
      </x:c>
      <x:c r="F34" s="26" t="str">
        <x:v>carrier, support and reset uncertainty</x:v>
      </x:c>
      <x:c r="G34" s="28" t="str">
        <x:v>applied to road, rail and water</x:v>
      </x:c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</x:row>
    <x:row r="35">
      <x:c r="B35" s="26" t="str">
        <x:v>Fourth-path cells</x:v>
      </x:c>
      <x:c r="C35" s="44" t="n">
        <x:v>0.6</x:v>
      </x:c>
      <x:c r="D35" s="44" t="n">
        <x:v>1</x:v>
      </x:c>
      <x:c r="E35" s="44" t="n">
        <x:v>1.75</x:v>
      </x:c>
      <x:c r="F35" s="26" t="str">
        <x:v>pre-prototype technology uncertainty</x:v>
      </x:c>
      <x:c r="G35" s="28" t="str">
        <x:v>applied only to fourth-path inventory</x:v>
      </x:c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</x:row>
    <x:row r="36">
      <x:c r="B36" s="29" t="str">
        <x:v>Topology technology increment</x:v>
      </x:c>
      <x:c r="C36" s="45" t="n">
        <x:v>0.8</x:v>
      </x:c>
      <x:c r="D36" s="45" t="n">
        <x:v>1</x:v>
      </x:c>
      <x:c r="E36" s="45" t="n">
        <x:v>1.4</x:v>
      </x:c>
      <x:c r="F36" s="29" t="str">
        <x:v>test-scale and schedule uncertainty</x:v>
      </x:c>
      <x:c r="G36" s="31" t="str">
        <x:v>applied to incremental account</x:v>
      </x:c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</x:row>
    <x:row r="37"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</x:row>
    <x:row r="38"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</x:row>
    <x:row r="39"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</x:row>
    <x:row r="40"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</x:row>
    <x:row r="41"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</x:row>
    <x:row r="42"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</x:row>
    <x:row r="43"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</x:row>
    <x:row r="44"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</x:row>
    <x:row r="45"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</x:row>
    <x:row r="46"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</x:row>
    <x:row r="47"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</x:row>
    <x:row r="48"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</x:row>
    <x:row r="49"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</x:row>
    <x:row r="50"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</x:row>
    <x:row r="51"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</x:row>
    <x:row r="52"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</x:row>
    <x:row r="53"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</x:row>
    <x:row r="54"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</x:row>
    <x:row r="55"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</x:row>
    <x:row r="56"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</x:row>
    <x:row r="57"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</x:row>
    <x:row r="58"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</x:row>
    <x:row r="59"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</x:row>
    <x:row r="60"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</x:row>
    <x:row r="61"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</x:row>
    <x:row r="62"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</x:row>
    <x:row r="63"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</x:row>
    <x:row r="64"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</x:row>
    <x:row r="65"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</x:row>
    <x:row r="66"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</x:row>
    <x:row r="67"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</x:row>
    <x:row r="68"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</x:row>
    <x:row r="69"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</x:row>
    <x:row r="70"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</x:row>
    <x:row r="71"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</x:row>
    <x:row r="72"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</x:row>
    <x:row r="73"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</x:row>
    <x:row r="74"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</x:row>
    <x:row r="75"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</x:row>
    <x:row r="76"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</x:row>
    <x:row r="77"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</x:row>
    <x:row r="78"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</x:row>
    <x:row r="79"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</x:row>
    <x:row r="80"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</x:row>
    <x:row r="81"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</x:row>
    <x:row r="82"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</x:row>
    <x:row r="83"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</x:row>
    <x:row r="84"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</x:row>
    <x:row r="85"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</x:row>
    <x:row r="86"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</x:row>
    <x:row r="87"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</x:row>
    <x:row r="88"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</x:row>
    <x:row r="89"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</x:row>
    <x:row r="90"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</x:row>
    <x:row r="91"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</x:row>
    <x:row r="92"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</x:row>
    <x:row r="93"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</x:row>
    <x:row r="94"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</x:row>
    <x:row r="95"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</x:row>
    <x:row r="96"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</x:row>
    <x:row r="97"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</x:row>
    <x:row r="98"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</x:row>
    <x:row r="99"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</x:row>
    <x:row r="100"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</x:row>
    <x:row r="101"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</x:row>
    <x:row r="102"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</x:row>
    <x:row r="103"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</x:row>
    <x:row r="104"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</x:row>
    <x:row r="105"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</x:row>
    <x:row r="106"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</x:row>
    <x:row r="107"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</x:row>
    <x:row r="108"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</x:row>
    <x:row r="109"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</x:row>
    <x:row r="110"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</x:row>
    <x:row r="111"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</x:row>
    <x:row r="112"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</x:row>
    <x:row r="113"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</x:row>
    <x:row r="114"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</x:row>
    <x:row r="115"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</x:row>
    <x:row r="116"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</x:row>
    <x:row r="117"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</x:row>
    <x:row r="118"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</x:row>
    <x:row r="119"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</x:row>
    <x:row r="120"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</x:row>
    <x:row r="121"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</x:row>
    <x:row r="122"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</x:row>
    <x:row r="123"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</x:row>
    <x:row r="124"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</x:row>
    <x:row r="125"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</x:row>
    <x:row r="126"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</x:row>
    <x:row r="127"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</x:row>
    <x:row r="128"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</x:row>
    <x:row r="129"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</x:row>
    <x:row r="130"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</x:row>
    <x:row r="131"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</x:row>
    <x:row r="132"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</x:row>
    <x:row r="133"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</x:row>
    <x:row r="134"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</x:row>
    <x:row r="135"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</x:row>
    <x:row r="136"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</x:row>
    <x:row r="137"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</x:row>
    <x:row r="138"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</x:row>
    <x:row r="139"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</x:row>
    <x:row r="140"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</x:row>
    <x:row r="141"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</x:row>
    <x:row r="142"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</x:row>
    <x:row r="143"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</x:row>
    <x:row r="144"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</x:row>
    <x:row r="145"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</x:row>
    <x:row r="146"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</x:row>
    <x:row r="147"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</x:row>
    <x:row r="148"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</x:row>
    <x:row r="149"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</x:row>
    <x:row r="150"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</x:row>
    <x:row r="151"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</x:row>
    <x:row r="152"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</x:row>
    <x:row r="153"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</x:row>
    <x:row r="154"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</x:row>
    <x:row r="155"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</x:row>
    <x:row r="156"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</x:row>
    <x:row r="157"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</x:row>
    <x:row r="158"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</x:row>
    <x:row r="159"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</x:row>
    <x:row r="160"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</x:row>
    <x:row r="161"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</x:row>
    <x:row r="162"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</x:row>
    <x:row r="163"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</x:row>
    <x:row r="164"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</x:row>
    <x:row r="165"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</x:row>
    <x:row r="166"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</x:row>
    <x:row r="167"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</x:row>
    <x:row r="168"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</x:row>
    <x:row r="169"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</x:row>
    <x:row r="170"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</x:row>
    <x:row r="171"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</x:row>
    <x:row r="172"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</x:row>
    <x:row r="173"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</x:row>
    <x:row r="174"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</x:row>
    <x:row r="175"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</x:row>
    <x:row r="176"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</x:row>
    <x:row r="177"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</x:row>
    <x:row r="178"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</x:row>
    <x:row r="179"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</x:row>
    <x:row r="180"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</x:row>
    <x:row r="181"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</x:row>
    <x:row r="182"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</x:row>
    <x:row r="183"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</x:row>
    <x:row r="184"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</x:row>
    <x:row r="185"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</x:row>
    <x:row r="186"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</x:row>
    <x:row r="187"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</x:row>
    <x:row r="188"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</x:row>
    <x:row r="189"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</x:row>
    <x:row r="190"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</x:row>
    <x:row r="191"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</x:row>
    <x:row r="192"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</x:row>
    <x:row r="193"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</x:row>
    <x:row r="194"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</x:row>
    <x:row r="195"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</x:row>
    <x:row r="196"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</x:row>
    <x:row r="197"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</x:row>
    <x:row r="198"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</x:row>
    <x:row r="199"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</x:row>
    <x:row r="200"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</x:row>
    <x:row r="201"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</x:row>
    <x:row r="202"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</x:row>
    <x:row r="203"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</x:row>
    <x:row r="204"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</x:row>
    <x:row r="205"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</x:row>
    <x:row r="206"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</x:row>
    <x:row r="207"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</x:row>
    <x:row r="208"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</x:row>
    <x:row r="209"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</x:row>
    <x:row r="210"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</x:row>
    <x:row r="211"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</x:row>
    <x:row r="212"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</x:row>
    <x:row r="213"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</x:row>
    <x:row r="214"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</x:row>
    <x:row r="215"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</x:row>
    <x:row r="216"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</x:row>
    <x:row r="217"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</x:row>
    <x:row r="218"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</x:row>
    <x:row r="219"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</x:row>
    <x:row r="220"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</x:row>
    <x:row r="221"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</x:row>
    <x:row r="222"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</x:row>
    <x:row r="223"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</x:row>
    <x:row r="224"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</x:row>
    <x:row r="225"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</x:row>
    <x:row r="226"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</x:row>
    <x:row r="227"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</x:row>
    <x:row r="228"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</x:row>
    <x:row r="229"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</x:row>
    <x:row r="230"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</x:row>
    <x:row r="231"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</x:row>
    <x:row r="232"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</x:row>
    <x:row r="233"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</x:row>
    <x:row r="234"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</x:row>
    <x:row r="235"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</x:row>
    <x:row r="236"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</x:row>
    <x:row r="237"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</x:row>
    <x:row r="238"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</x:row>
    <x:row r="239"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</x:row>
    <x:row r="240"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</x:row>
    <x:row r="241"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</x:row>
    <x:row r="242"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</x:row>
    <x:row r="243"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</x:row>
    <x:row r="244"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</x:row>
    <x:row r="245"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</x:row>
    <x:row r="246"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</x:row>
    <x:row r="247"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</x:row>
    <x:row r="248"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</x:row>
    <x:row r="249"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</x:row>
    <x:row r="250"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</x:row>
    <x:row r="251"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</x:row>
    <x:row r="252"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</x:row>
    <x:row r="253"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</x:row>
    <x:row r="254"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</x:row>
    <x:row r="255"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</x:row>
    <x:row r="256"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</x:row>
    <x:row r="257"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</x:row>
    <x:row r="258"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</x:row>
    <x:row r="259"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</x:row>
    <x:row r="260"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</x:row>
    <x:row r="261"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</x:row>
    <x:row r="262"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</x:row>
    <x:row r="263"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</x:row>
    <x:row r="264"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</x:row>
    <x:row r="265"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</x:row>
    <x:row r="266"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</x:row>
    <x:row r="267"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</x:row>
    <x:row r="268"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</x:row>
    <x:row r="269"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</x:row>
    <x:row r="270"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</x:row>
    <x:row r="271"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</x:row>
    <x:row r="272"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</x:row>
    <x:row r="273"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</x:row>
    <x:row r="274"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</x:row>
    <x:row r="275"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</x:row>
    <x:row r="276"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</x:row>
    <x:row r="277"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</x:row>
    <x:row r="278"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</x:row>
    <x:row r="279"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</x:row>
    <x:row r="280"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</x:row>
    <x:row r="281"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</x:row>
    <x:row r="282"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</x:row>
    <x:row r="283"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</x:row>
    <x:row r="284"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</x:row>
    <x:row r="285"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</x:row>
    <x:row r="286"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</x:row>
    <x:row r="287"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</x:row>
    <x:row r="288"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</x:row>
    <x:row r="289"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</x:row>
    <x:row r="290"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</x:row>
    <x:row r="291"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</x:row>
    <x:row r="292"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</x:row>
    <x:row r="293"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</x:row>
    <x:row r="294"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</x:row>
    <x:row r="295"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</x:row>
    <x:row r="296"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</x:row>
    <x:row r="297"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</x:row>
    <x:row r="298"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</x:row>
    <x:row r="299"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</x:row>
    <x:row r="300"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</x:row>
    <x:row r="301"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</x:row>
    <x:row r="302"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</x:row>
    <x:row r="303"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</x:row>
    <x:row r="304"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</x:row>
    <x:row r="305"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</x:row>
    <x:row r="306"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</x:row>
    <x:row r="307"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</x:row>
    <x:row r="308"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</x:row>
    <x:row r="309"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</x:row>
    <x:row r="310"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</x:row>
    <x:row r="311"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</x:row>
    <x:row r="312"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</x:row>
    <x:row r="313"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</x:row>
    <x:row r="314"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</x:row>
    <x:row r="315"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</x:row>
    <x:row r="316"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</x:row>
    <x:row r="317"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</x:row>
    <x:row r="318"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</x:row>
    <x:row r="319"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</x:row>
    <x:row r="320"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</x:row>
  </x:sheetData>
  <x:mergeCells>
    <x:mergeCell ref="B6:E6"/>
    <x:mergeCell ref="G6:J6"/>
    <x:mergeCell ref="B20:F20"/>
    <x:mergeCell ref="H20:K20"/>
    <x:mergeCell ref="B30:G3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2" max="2" width="10" hidden="0" customWidth="1"/>
    <x:col min="3" max="3" width="30" hidden="0" customWidth="1"/>
    <x:col min="4" max="4" width="15" hidden="0" customWidth="1"/>
    <x:col min="5" max="5" width="14" hidden="0" customWidth="1"/>
    <x:col min="6" max="6" width="13" hidden="0" customWidth="1"/>
    <x:col min="7" max="7" width="13" hidden="0" customWidth="1"/>
    <x:col min="8" max="8" width="13" hidden="0" customWidth="1"/>
    <x:col min="9" max="9" width="12" hidden="0" customWidth="1"/>
    <x:col min="10" max="10" width="15" hidden="0" customWidth="1"/>
    <x:col min="11" max="11" width="14" hidden="0" customWidth="1"/>
    <x:col min="12" max="12" width="12" hidden="0" customWidth="1"/>
    <x:col min="13" max="13" width="14" hidden="0" customWidth="1"/>
    <x:col min="14" max="14" width="13" hidden="0" customWidth="1"/>
    <x:col min="15" max="15" width="12" hidden="0" customWidth="1"/>
    <x:col min="16" max="16" width="29" hidden="0" customWidth="1"/>
    <x:col min="17" max="17" width="11" hidden="0" customWidth="1"/>
    <x:col min="18" max="18" width="14" hidden="0" customWidth="1"/>
    <x:col min="19" max="19" width="13" hidden="0" customWidth="1"/>
    <x:col min="20" max="20" width="13" hidden="0" customWidth="1"/>
    <x:col min="21" max="21" width="14" hidden="0" customWidth="1"/>
    <x:col min="22" max="22" width="16" hidden="0" customWidth="1"/>
    <x:col min="23" max="23" width="14" hidden="0" customWidth="1"/>
    <x:col min="24" max="24" width="34" hidden="0" customWidth="1"/>
  </x:cols>
  <x:sheetData>
    <x:row r="2">
      <x:c r="B2" s="3" t="str">
        <x:v>Service-catchment force allocation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</x:row>
    <x:row r="3">
      <x:c r="B3" s="4" t="str">
        <x:v>Seventy-two provisional groups distributed across the thirty-two Pass 32 planning geographies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2"/>
      <x:c r="Z3" s="2"/>
      <x:c r="AA3" s="2"/>
      <x:c r="AB3" s="2"/>
      <x:c r="AC3" s="2"/>
      <x:c r="AD3" s="2"/>
      <x:c r="AE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5"/>
      <x:c r="W4" s="5"/>
      <x:c r="X4" s="5"/>
      <x:c r="Y4" s="2"/>
      <x:c r="Z4" s="2"/>
      <x:c r="AA4" s="2"/>
      <x:c r="AB4" s="2"/>
      <x:c r="AC4" s="2"/>
      <x:c r="AD4" s="2"/>
      <x:c r="AE4" s="2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</x:row>
    <x:row r="6">
      <x:c r="B6" s="8" t="str">
        <x:v>Population floor, largest-remainder allocation and topology assignment</x:v>
      </x:c>
      <x:c r="C6" s="9" t="str">
        <x:v>Population floor, largest-remainder allocation and topology assignment</x:v>
      </x:c>
      <x:c r="D6" s="9" t="str">
        <x:v>Population floor, largest-remainder allocation and topology assignment</x:v>
      </x:c>
      <x:c r="E6" s="9" t="str">
        <x:v>Population floor, largest-remainder allocation and topology assignment</x:v>
      </x:c>
      <x:c r="F6" s="9" t="str">
        <x:v>Population floor, largest-remainder allocation and topology assignment</x:v>
      </x:c>
      <x:c r="G6" s="9" t="str">
        <x:v>Population floor, largest-remainder allocation and topology assignment</x:v>
      </x:c>
      <x:c r="H6" s="9" t="str">
        <x:v>Population floor, largest-remainder allocation and topology assignment</x:v>
      </x:c>
      <x:c r="I6" s="9" t="str">
        <x:v>Population floor, largest-remainder allocation and topology assignment</x:v>
      </x:c>
      <x:c r="J6" s="9" t="str">
        <x:v>Population floor, largest-remainder allocation and topology assignment</x:v>
      </x:c>
      <x:c r="K6" s="9" t="str">
        <x:v>Population floor, largest-remainder allocation and topology assignment</x:v>
      </x:c>
      <x:c r="L6" s="9" t="str">
        <x:v>Population floor, largest-remainder allocation and topology assignment</x:v>
      </x:c>
      <x:c r="M6" s="9" t="str">
        <x:v>Population floor, largest-remainder allocation and topology assignment</x:v>
      </x:c>
      <x:c r="N6" s="9" t="str">
        <x:v>Population floor, largest-remainder allocation and topology assignment</x:v>
      </x:c>
      <x:c r="O6" s="9" t="str">
        <x:v>Population floor, largest-remainder allocation and topology assignment</x:v>
      </x:c>
      <x:c r="P6" s="9" t="str">
        <x:v>Population floor, largest-remainder allocation and topology assignment</x:v>
      </x:c>
      <x:c r="Q6" s="9" t="str">
        <x:v>Population floor, largest-remainder allocation and topology assignment</x:v>
      </x:c>
      <x:c r="R6" s="9" t="str">
        <x:v>Population floor, largest-remainder allocation and topology assignment</x:v>
      </x:c>
      <x:c r="S6" s="9" t="str">
        <x:v>Population floor, largest-remainder allocation and topology assignment</x:v>
      </x:c>
      <x:c r="T6" s="9" t="str">
        <x:v>Population floor, largest-remainder allocation and topology assignment</x:v>
      </x:c>
      <x:c r="U6" s="9" t="str">
        <x:v>Population floor, largest-remainder allocation and topology assignment</x:v>
      </x:c>
      <x:c r="V6" s="9" t="str">
        <x:v>Population floor, largest-remainder allocation and topology assignment</x:v>
      </x:c>
      <x:c r="W6" s="9" t="str">
        <x:v>Population floor, largest-remainder allocation and topology assignment</x:v>
      </x:c>
      <x:c r="X6" s="10" t="str">
        <x:v>Population floor, largest-remainder allocation and topology assignment</x:v>
      </x:c>
      <x:c r="Y6" s="2"/>
      <x:c r="Z6" s="2"/>
      <x:c r="AA6" s="2"/>
      <x:c r="AB6" s="2"/>
      <x:c r="AC6" s="2"/>
      <x:c r="AD6" s="2"/>
      <x:c r="AE6" s="2"/>
    </x:row>
    <x:row r="7">
      <x:c r="B7" s="24" t="str">
        <x:v>SCA</x:v>
      </x:c>
      <x:c r="C7" s="25" t="str">
        <x:v>Reference place</x:v>
      </x:c>
      <x:c r="D7" s="25" t="str">
        <x:v>Population</x:v>
      </x:c>
      <x:c r="E7" s="25" t="str">
        <x:v>Population share</x:v>
      </x:c>
      <x:c r="F7" s="25" t="str">
        <x:v>Water access</x:v>
      </x:c>
      <x:c r="G7" s="25" t="str">
        <x:v>Non-CONUS</x:v>
      </x:c>
      <x:c r="H7" s="25" t="str">
        <x:v>NRI composite</x:v>
      </x:c>
      <x:c r="I7" s="25" t="str">
        <x:v>Floor group</x:v>
      </x:c>
      <x:c r="J7" s="25" t="str">
        <x:v>Exact added groups</x:v>
      </x:c>
      <x:c r="K7" s="25" t="str">
        <x:v>Floor added groups</x:v>
      </x:c>
      <x:c r="L7" s="25" t="str">
        <x:v>Remainder</x:v>
      </x:c>
      <x:c r="M7" s="25" t="str">
        <x:v>Remainder rank</x:v>
      </x:c>
      <x:c r="N7" s="25" t="str">
        <x:v>Added groups</x:v>
      </x:c>
      <x:c r="O7" s="25" t="str">
        <x:v>Total groups</x:v>
      </x:c>
      <x:c r="P7" s="25" t="str">
        <x:v>Receiver class</x:v>
      </x:c>
      <x:c r="Q7" s="25" t="str">
        <x:v>Topology</x:v>
      </x:c>
      <x:c r="R7" s="25" t="str">
        <x:v>Fixed cells / group</x:v>
      </x:c>
      <x:c r="S7" s="25" t="str">
        <x:v>Access modes</x:v>
      </x:c>
      <x:c r="T7" s="25" t="str">
        <x:v>Cells / mode</x:v>
      </x:c>
      <x:c r="U7" s="25" t="str">
        <x:v>Packages / group</x:v>
      </x:c>
      <x:c r="V7" s="25" t="str">
        <x:v>Lifecycle / group $B</x:v>
      </x:c>
      <x:c r="W7" s="25" t="str">
        <x:v>Novel cells / group</x:v>
      </x:c>
      <x:c r="X7" s="25" t="str">
        <x:v>Source</x:v>
      </x:c>
      <x:c r="Y7" s="2"/>
      <x:c r="Z7" s="2"/>
      <x:c r="AA7" s="2"/>
      <x:c r="AB7" s="2"/>
      <x:c r="AC7" s="2"/>
      <x:c r="AD7" s="2"/>
      <x:c r="AE7" s="2"/>
    </x:row>
    <x:row r="8">
      <x:c r="B8" s="59" t="str">
        <x:v>SCA-01</x:v>
      </x:c>
      <x:c r="C8" s="59" t="str">
        <x:v>Honolulu County, HI</x:v>
      </x:c>
      <x:c r="D8" s="60" t="n">
        <x:v>1432820</x:v>
      </x:c>
      <x:c r="E8" s="77" t="n">
        <x:v>0.004153466328282544</x:v>
      </x:c>
      <x:c r="F8" s="59" t="str">
        <x:v>YES</x:v>
      </x:c>
      <x:c r="G8" s="59" t="str">
        <x:v>YES</x:v>
      </x:c>
      <x:c r="H8" s="78" t="n">
        <x:v>97.35238322348927</x:v>
      </x:c>
      <x:c r="I8" s="64" t="n">
        <x:f>Assumptions!$C$11</x:f>
        <x:v>1</x:v>
      </x:c>
      <x:c r="J8" s="79" t="n">
        <x:f>D8/SUM($D$8:$D$39)*(Assumptions!$C$9-Assumptions!$C$10*Assumptions!$C$11)</x:f>
        <x:v>0.16613865313130177</x:v>
      </x:c>
      <x:c r="K8" s="79" t="n">
        <x:f>INT(J8)</x:f>
        <x:v>0</x:v>
      </x:c>
      <x:c r="L8" s="79" t="n">
        <x:f>J8-K8</x:f>
        <x:v>0.16613865313130177</x:v>
      </x:c>
      <x:c r="M8" s="64" t="n">
        <x:f>COUNTIFS($L$8:$L$39,"&gt;"&amp;L8)+COUNTIFS($L$8:L8,L8)</x:f>
        <x:v>31</x:v>
      </x:c>
      <x:c r="N8" s="64" t="n">
        <x:f>K8+IF(M8&lt;=(Assumptions!$C$9-Assumptions!$C$10*Assumptions!$C$11-SUM($K$8:$K$39)),1,0)</x:f>
        <x:v>0</x:v>
      </x:c>
      <x:c r="O8" s="64" t="n">
        <x:f>I8+N8</x:f>
        <x:v>1</x:v>
      </x:c>
      <x:c r="P8" s="64" t="str">
        <x:f>IF(G8="YES","C1 ISLAND / TERRITORIAL",IF(F8="NO","C2 INLAND HARD-ACCESS",IF(OR(D8&gt;=15000000,H8&gt;=95),"C3 DENSE / COMPOUND",IF(H8&gt;=90,"C4 MULTIMODAL HIGH-EXPOSURE","C5 REGIONAL MULTIMODAL"))))</x:f>
        <x:v>C1 ISLAND / TERRITORIAL</x:v>
      </x:c>
      <x:c r="Q8" s="64" t="str">
        <x:f>INDEX(Assumptions!$H$8:$H$12,MATCH(P8,Assumptions!$G$8:$G$12,0))</x:f>
        <x:v>T6</x:v>
      </x:c>
      <x:c r="R8" s="64" t="n">
        <x:f>INDEX('Topology Library'!$D$8:$D$14,MATCH(Q8,'Topology Library'!$B$8:$B$14,0))</x:f>
        <x:v>8</x:v>
      </x:c>
      <x:c r="S8" s="64" t="n">
        <x:f>INDEX('Topology Library'!$F$8:$F$14,MATCH(Q8,'Topology Library'!$B$8:$B$14,0))</x:f>
        <x:v>4</x:v>
      </x:c>
      <x:c r="T8" s="64" t="n">
        <x:f>INDEX('Topology Library'!$H$8:$H$14,MATCH(Q8,'Topology Library'!$B$8:$B$14,0))</x:f>
        <x:v>2</x:v>
      </x:c>
      <x:c r="U8" s="64" t="n">
        <x:f>INDEX('Topology Library'!$J$8:$J$14,MATCH(Q8,'Topology Library'!$B$8:$B$14,0))</x:f>
        <x:v>16</x:v>
      </x:c>
      <x:c r="V8" s="63" t="n">
        <x:f>INDEX('Topology Library'!$AC$8:$AC$14,MATCH(Q8,'Topology Library'!$B$8:$B$14,0))</x:f>
        <x:v>45.714</x:v>
      </x:c>
      <x:c r="W8" s="64" t="n">
        <x:f>IF(S8=4,T8,0)</x:f>
        <x:v>2</x:v>
      </x:c>
      <x:c r="X8" s="80" t="str">
        <x:v>Pass 32 national receiving geography</x:v>
      </x:c>
      <x:c r="Y8" s="2"/>
      <x:c r="Z8" s="2"/>
      <x:c r="AA8" s="2"/>
      <x:c r="AB8" s="2"/>
      <x:c r="AC8" s="2"/>
      <x:c r="AD8" s="2"/>
      <x:c r="AE8" s="2"/>
    </x:row>
    <x:row r="9">
      <x:c r="B9" s="59" t="str">
        <x:v>SCA-02</x:v>
      </x:c>
      <x:c r="C9" s="59" t="str">
        <x:v>Anchorage Municipality, AK</x:v>
      </x:c>
      <x:c r="D9" s="60" t="n">
        <x:v>737270</x:v>
      </x:c>
      <x:c r="E9" s="77" t="n">
        <x:v>0.0021372022444220984</x:v>
      </x:c>
      <x:c r="F9" s="59" t="str">
        <x:v>YES</x:v>
      </x:c>
      <x:c r="G9" s="59" t="str">
        <x:v>YES</x:v>
      </x:c>
      <x:c r="H9" s="78" t="n">
        <x:v>79.16012885339909</x:v>
      </x:c>
      <x:c r="I9" s="64" t="n">
        <x:f>Assumptions!$C$11</x:f>
        <x:v>1</x:v>
      </x:c>
      <x:c r="J9" s="79" t="n">
        <x:f>D9/SUM($D$8:$D$39)*(Assumptions!$C$9-Assumptions!$C$10*Assumptions!$C$11)</x:f>
        <x:v>0.08548808977688394</x:v>
      </x:c>
      <x:c r="K9" s="79" t="n">
        <x:f>INT(J9)</x:f>
        <x:v>0</x:v>
      </x:c>
      <x:c r="L9" s="79" t="n">
        <x:f>J9-K9</x:f>
        <x:v>0.08548808977688394</x:v>
      </x:c>
      <x:c r="M9" s="64" t="n">
        <x:f>COUNTIFS($L$8:$L$39,"&gt;"&amp;L9)+COUNTIFS($L$8:L9,L9)</x:f>
        <x:v>32</x:v>
      </x:c>
      <x:c r="N9" s="64" t="n">
        <x:f>K9+IF(M9&lt;=(Assumptions!$C$9-Assumptions!$C$10*Assumptions!$C$11-SUM($K$8:$K$39)),1,0)</x:f>
        <x:v>0</x:v>
      </x:c>
      <x:c r="O9" s="64" t="n">
        <x:f>I9+N9</x:f>
        <x:v>1</x:v>
      </x:c>
      <x:c r="P9" s="64" t="str">
        <x:f>IF(G9="YES","C1 ISLAND / TERRITORIAL",IF(F9="NO","C2 INLAND HARD-ACCESS",IF(OR(D9&gt;=15000000,H9&gt;=95),"C3 DENSE / COMPOUND",IF(H9&gt;=90,"C4 MULTIMODAL HIGH-EXPOSURE","C5 REGIONAL MULTIMODAL"))))</x:f>
        <x:v>C1 ISLAND / TERRITORIAL</x:v>
      </x:c>
      <x:c r="Q9" s="64" t="str">
        <x:f>INDEX(Assumptions!$H$8:$H$12,MATCH(P9,Assumptions!$G$8:$G$12,0))</x:f>
        <x:v>T6</x:v>
      </x:c>
      <x:c r="R9" s="64" t="n">
        <x:f>INDEX('Topology Library'!$D$8:$D$14,MATCH(Q9,'Topology Library'!$B$8:$B$14,0))</x:f>
        <x:v>8</x:v>
      </x:c>
      <x:c r="S9" s="64" t="n">
        <x:f>INDEX('Topology Library'!$F$8:$F$14,MATCH(Q9,'Topology Library'!$B$8:$B$14,0))</x:f>
        <x:v>4</x:v>
      </x:c>
      <x:c r="T9" s="64" t="n">
        <x:f>INDEX('Topology Library'!$H$8:$H$14,MATCH(Q9,'Topology Library'!$B$8:$B$14,0))</x:f>
        <x:v>2</x:v>
      </x:c>
      <x:c r="U9" s="64" t="n">
        <x:f>INDEX('Topology Library'!$J$8:$J$14,MATCH(Q9,'Topology Library'!$B$8:$B$14,0))</x:f>
        <x:v>16</x:v>
      </x:c>
      <x:c r="V9" s="63" t="n">
        <x:f>INDEX('Topology Library'!$AC$8:$AC$14,MATCH(Q9,'Topology Library'!$B$8:$B$14,0))</x:f>
        <x:v>45.714</x:v>
      </x:c>
      <x:c r="W9" s="64" t="n">
        <x:f>IF(S9=4,T9,0)</x:f>
        <x:v>2</x:v>
      </x:c>
      <x:c r="X9" s="80" t="str">
        <x:v>Pass 32 national receiving geography</x:v>
      </x:c>
      <x:c r="Y9" s="2"/>
      <x:c r="Z9" s="2"/>
      <x:c r="AA9" s="2"/>
      <x:c r="AB9" s="2"/>
      <x:c r="AC9" s="2"/>
      <x:c r="AD9" s="2"/>
      <x:c r="AE9" s="2"/>
    </x:row>
    <x:row r="10">
      <x:c r="B10" s="59" t="str">
        <x:v>SCA-03</x:v>
      </x:c>
      <x:c r="C10" s="59" t="str">
        <x:v>King County, WA</x:v>
      </x:c>
      <x:c r="D10" s="60" t="n">
        <x:v>11968308</x:v>
      </x:c>
      <x:c r="E10" s="77" t="n">
        <x:v>0.034693795650894456</x:v>
      </x:c>
      <x:c r="F10" s="59" t="str">
        <x:v>YES</x:v>
      </x:c>
      <x:c r="G10" s="59" t="str">
        <x:v>NO</x:v>
      </x:c>
      <x:c r="H10" s="78" t="n">
        <x:v>92.02528568896172</x:v>
      </x:c>
      <x:c r="I10" s="64" t="n">
        <x:f>Assumptions!$C$11</x:f>
        <x:v>1</x:v>
      </x:c>
      <x:c r="J10" s="79" t="n">
        <x:f>D10/SUM($D$8:$D$39)*(Assumptions!$C$9-Assumptions!$C$10*Assumptions!$C$11)</x:f>
        <x:v>1.3877518260357782</x:v>
      </x:c>
      <x:c r="K10" s="79" t="n">
        <x:f>INT(J10)</x:f>
        <x:v>1</x:v>
      </x:c>
      <x:c r="L10" s="79" t="n">
        <x:f>J10-K10</x:f>
        <x:v>0.3877518260357782</x:v>
      </x:c>
      <x:c r="M10" s="64" t="n">
        <x:f>COUNTIFS($L$8:$L$39,"&gt;"&amp;L10)+COUNTIFS($L$8:L10,L10)</x:f>
        <x:v>21</x:v>
      </x:c>
      <x:c r="N10" s="64" t="n">
        <x:f>K10+IF(M10&lt;=(Assumptions!$C$9-Assumptions!$C$10*Assumptions!$C$11-SUM($K$8:$K$39)),1,0)</x:f>
        <x:v>1</x:v>
      </x:c>
      <x:c r="O10" s="64" t="n">
        <x:f>I10+N10</x:f>
        <x:v>2</x:v>
      </x:c>
      <x:c r="P10" s="64" t="str">
        <x:f>IF(G10="YES","C1 ISLAND / TERRITORIAL",IF(F10="NO","C2 INLAND HARD-ACCESS",IF(OR(D10&gt;=15000000,H10&gt;=95),"C3 DENSE / COMPOUND",IF(H10&gt;=90,"C4 MULTIMODAL HIGH-EXPOSURE","C5 REGIONAL MULTIMODAL"))))</x:f>
        <x:v>C4 MULTIMODAL HIGH-EXPOSURE</x:v>
      </x:c>
      <x:c r="Q10" s="64" t="str">
        <x:f>INDEX(Assumptions!$H$8:$H$12,MATCH(P10,Assumptions!$G$8:$G$12,0))</x:f>
        <x:v>T3</x:v>
      </x:c>
      <x:c r="R10" s="64" t="n">
        <x:f>INDEX('Topology Library'!$D$8:$D$14,MATCH(Q10,'Topology Library'!$B$8:$B$14,0))</x:f>
        <x:v>9</x:v>
      </x:c>
      <x:c r="S10" s="64" t="n">
        <x:f>INDEX('Topology Library'!$F$8:$F$14,MATCH(Q10,'Topology Library'!$B$8:$B$14,0))</x:f>
        <x:v>3</x:v>
      </x:c>
      <x:c r="T10" s="64" t="n">
        <x:f>INDEX('Topology Library'!$H$8:$H$14,MATCH(Q10,'Topology Library'!$B$8:$B$14,0))</x:f>
        <x:v>2</x:v>
      </x:c>
      <x:c r="U10" s="64" t="n">
        <x:f>INDEX('Topology Library'!$J$8:$J$14,MATCH(Q10,'Topology Library'!$B$8:$B$14,0))</x:f>
        <x:v>15</x:v>
      </x:c>
      <x:c r="V10" s="63" t="n">
        <x:f>INDEX('Topology Library'!$AC$8:$AC$14,MATCH(Q10,'Topology Library'!$B$8:$B$14,0))</x:f>
        <x:v>39.174</x:v>
      </x:c>
      <x:c r="W10" s="64" t="n">
        <x:f>IF(S10=4,T10,0)</x:f>
        <x:v>0</x:v>
      </x:c>
      <x:c r="X10" s="80" t="str">
        <x:v>Pass 32 national receiving geography</x:v>
      </x:c>
      <x:c r="Y10" s="2"/>
      <x:c r="Z10" s="2"/>
      <x:c r="AA10" s="2"/>
      <x:c r="AB10" s="2"/>
      <x:c r="AC10" s="2"/>
      <x:c r="AD10" s="2"/>
      <x:c r="AE10" s="2"/>
    </x:row>
    <x:row r="11">
      <x:c r="B11" s="59" t="str">
        <x:v>SCA-04</x:v>
      </x:c>
      <x:c r="C11" s="59" t="str">
        <x:v>Santa Clara County, CA</x:v>
      </x:c>
      <x:c r="D11" s="60" t="n">
        <x:v>16200470</x:v>
      </x:c>
      <x:c r="E11" s="77" t="n">
        <x:v>0.04696200963648714</x:v>
      </x:c>
      <x:c r="F11" s="59" t="str">
        <x:v>YES</x:v>
      </x:c>
      <x:c r="G11" s="59" t="str">
        <x:v>NO</x:v>
      </x:c>
      <x:c r="H11" s="78" t="n">
        <x:v>96.88467059458651</x:v>
      </x:c>
      <x:c r="I11" s="64" t="n">
        <x:f>Assumptions!$C$11</x:f>
        <x:v>1</x:v>
      </x:c>
      <x:c r="J11" s="79" t="n">
        <x:f>D11/SUM($D$8:$D$39)*(Assumptions!$C$9-Assumptions!$C$10*Assumptions!$C$11)</x:f>
        <x:v>1.8784803854594856</x:v>
      </x:c>
      <x:c r="K11" s="79" t="n">
        <x:f>INT(J11)</x:f>
        <x:v>1</x:v>
      </x:c>
      <x:c r="L11" s="79" t="n">
        <x:f>J11-K11</x:f>
        <x:v>0.8784803854594856</x:v>
      </x:c>
      <x:c r="M11" s="64" t="n">
        <x:f>COUNTIFS($L$8:$L$39,"&gt;"&amp;L11)+COUNTIFS($L$8:L11,L11)</x:f>
        <x:v>2</x:v>
      </x:c>
      <x:c r="N11" s="64" t="n">
        <x:f>K11+IF(M11&lt;=(Assumptions!$C$9-Assumptions!$C$10*Assumptions!$C$11-SUM($K$8:$K$39)),1,0)</x:f>
        <x:v>2</x:v>
      </x:c>
      <x:c r="O11" s="64" t="n">
        <x:f>I11+N11</x:f>
        <x:v>3</x:v>
      </x:c>
      <x:c r="P11" s="64" t="str">
        <x:f>IF(G11="YES","C1 ISLAND / TERRITORIAL",IF(F11="NO","C2 INLAND HARD-ACCESS",IF(OR(D11&gt;=15000000,H11&gt;=95),"C3 DENSE / COMPOUND",IF(H11&gt;=90,"C4 MULTIMODAL HIGH-EXPOSURE","C5 REGIONAL MULTIMODAL"))))</x:f>
        <x:v>C3 DENSE / COMPOUND</x:v>
      </x:c>
      <x:c r="Q11" s="64" t="str">
        <x:f>INDEX(Assumptions!$H$8:$H$12,MATCH(P11,Assumptions!$G$8:$G$12,0))</x:f>
        <x:v>T7</x:v>
      </x:c>
      <x:c r="R11" s="64" t="n">
        <x:f>INDEX('Topology Library'!$D$8:$D$14,MATCH(Q11,'Topology Library'!$B$8:$B$14,0))</x:f>
        <x:v>10</x:v>
      </x:c>
      <x:c r="S11" s="64" t="n">
        <x:f>INDEX('Topology Library'!$F$8:$F$14,MATCH(Q11,'Topology Library'!$B$8:$B$14,0))</x:f>
        <x:v>3</x:v>
      </x:c>
      <x:c r="T11" s="64" t="n">
        <x:f>INDEX('Topology Library'!$H$8:$H$14,MATCH(Q11,'Topology Library'!$B$8:$B$14,0))</x:f>
        <x:v>1</x:v>
      </x:c>
      <x:c r="U11" s="64" t="n">
        <x:f>INDEX('Topology Library'!$J$8:$J$14,MATCH(Q11,'Topology Library'!$B$8:$B$14,0))</x:f>
        <x:v>13</x:v>
      </x:c>
      <x:c r="V11" s="63" t="n">
        <x:f>INDEX('Topology Library'!$AC$8:$AC$14,MATCH(Q11,'Topology Library'!$B$8:$B$14,0))</x:f>
        <x:v>33.117000000000004</x:v>
      </x:c>
      <x:c r="W11" s="64" t="n">
        <x:f>IF(S11=4,T11,0)</x:f>
        <x:v>0</x:v>
      </x:c>
      <x:c r="X11" s="80" t="str">
        <x:v>Pass 32 national receiving geography</x:v>
      </x:c>
      <x:c r="Y11" s="2"/>
      <x:c r="Z11" s="2"/>
      <x:c r="AA11" s="2"/>
      <x:c r="AB11" s="2"/>
      <x:c r="AC11" s="2"/>
      <x:c r="AD11" s="2"/>
      <x:c r="AE11" s="2"/>
    </x:row>
    <x:row r="12">
      <x:c r="B12" s="59" t="str">
        <x:v>SCA-05</x:v>
      </x:c>
      <x:c r="C12" s="59" t="str">
        <x:v>Los Angeles County, CA</x:v>
      </x:c>
      <x:c r="D12" s="60" t="n">
        <x:v>15966265</x:v>
      </x:c>
      <x:c r="E12" s="77" t="n">
        <x:v>0.046283094921857657</x:v>
      </x:c>
      <x:c r="F12" s="59" t="str">
        <x:v>YES</x:v>
      </x:c>
      <x:c r="G12" s="59" t="str">
        <x:v>NO</x:v>
      </x:c>
      <x:c r="H12" s="78" t="n">
        <x:v>99.60247287181552</x:v>
      </x:c>
      <x:c r="I12" s="64" t="n">
        <x:f>Assumptions!$C$11</x:f>
        <x:v>1</x:v>
      </x:c>
      <x:c r="J12" s="79" t="n">
        <x:f>D12/SUM($D$8:$D$39)*(Assumptions!$C$9-Assumptions!$C$10*Assumptions!$C$11)</x:f>
        <x:v>1.8513237968743064</x:v>
      </x:c>
      <x:c r="K12" s="79" t="n">
        <x:f>INT(J12)</x:f>
        <x:v>1</x:v>
      </x:c>
      <x:c r="L12" s="79" t="n">
        <x:f>J12-K12</x:f>
        <x:v>0.8513237968743064</x:v>
      </x:c>
      <x:c r="M12" s="64" t="n">
        <x:f>COUNTIFS($L$8:$L$39,"&gt;"&amp;L12)+COUNTIFS($L$8:L12,L12)</x:f>
        <x:v>6</x:v>
      </x:c>
      <x:c r="N12" s="64" t="n">
        <x:f>K12+IF(M12&lt;=(Assumptions!$C$9-Assumptions!$C$10*Assumptions!$C$11-SUM($K$8:$K$39)),1,0)</x:f>
        <x:v>2</x:v>
      </x:c>
      <x:c r="O12" s="64" t="n">
        <x:f>I12+N12</x:f>
        <x:v>3</x:v>
      </x:c>
      <x:c r="P12" s="64" t="str">
        <x:f>IF(G12="YES","C1 ISLAND / TERRITORIAL",IF(F12="NO","C2 INLAND HARD-ACCESS",IF(OR(D12&gt;=15000000,H12&gt;=95),"C3 DENSE / COMPOUND",IF(H12&gt;=90,"C4 MULTIMODAL HIGH-EXPOSURE","C5 REGIONAL MULTIMODAL"))))</x:f>
        <x:v>C3 DENSE / COMPOUND</x:v>
      </x:c>
      <x:c r="Q12" s="64" t="str">
        <x:f>INDEX(Assumptions!$H$8:$H$12,MATCH(P12,Assumptions!$G$8:$G$12,0))</x:f>
        <x:v>T7</x:v>
      </x:c>
      <x:c r="R12" s="64" t="n">
        <x:f>INDEX('Topology Library'!$D$8:$D$14,MATCH(Q12,'Topology Library'!$B$8:$B$14,0))</x:f>
        <x:v>10</x:v>
      </x:c>
      <x:c r="S12" s="64" t="n">
        <x:f>INDEX('Topology Library'!$F$8:$F$14,MATCH(Q12,'Topology Library'!$B$8:$B$14,0))</x:f>
        <x:v>3</x:v>
      </x:c>
      <x:c r="T12" s="64" t="n">
        <x:f>INDEX('Topology Library'!$H$8:$H$14,MATCH(Q12,'Topology Library'!$B$8:$B$14,0))</x:f>
        <x:v>1</x:v>
      </x:c>
      <x:c r="U12" s="64" t="n">
        <x:f>INDEX('Topology Library'!$J$8:$J$14,MATCH(Q12,'Topology Library'!$B$8:$B$14,0))</x:f>
        <x:v>13</x:v>
      </x:c>
      <x:c r="V12" s="63" t="n">
        <x:f>INDEX('Topology Library'!$AC$8:$AC$14,MATCH(Q12,'Topology Library'!$B$8:$B$14,0))</x:f>
        <x:v>33.117000000000004</x:v>
      </x:c>
      <x:c r="W12" s="64" t="n">
        <x:f>IF(S12=4,T12,0)</x:f>
        <x:v>0</x:v>
      </x:c>
      <x:c r="X12" s="80" t="str">
        <x:v>Pass 32 national receiving geography</x:v>
      </x:c>
      <x:c r="Y12" s="2"/>
      <x:c r="Z12" s="2"/>
      <x:c r="AA12" s="2"/>
      <x:c r="AB12" s="2"/>
      <x:c r="AC12" s="2"/>
      <x:c r="AD12" s="2"/>
      <x:c r="AE12" s="2"/>
    </x:row>
    <x:row r="13">
      <x:c r="B13" s="59" t="str">
        <x:v>SCA-06</x:v>
      </x:c>
      <x:c r="C13" s="59" t="str">
        <x:v>San Diego County, CA</x:v>
      </x:c>
      <x:c r="D13" s="60" t="n">
        <x:v>6008575</x:v>
      </x:c>
      <x:c r="E13" s="77" t="n">
        <x:v>0.017417689551695457</x:v>
      </x:c>
      <x:c r="F13" s="59" t="str">
        <x:v>YES</x:v>
      </x:c>
      <x:c r="G13" s="59" t="str">
        <x:v>NO</x:v>
      </x:c>
      <x:c r="H13" s="78" t="n">
        <x:v>99.69661890339738</x:v>
      </x:c>
      <x:c r="I13" s="64" t="n">
        <x:f>Assumptions!$C$11</x:f>
        <x:v>1</x:v>
      </x:c>
      <x:c r="J13" s="79" t="n">
        <x:f>D13/SUM($D$8:$D$39)*(Assumptions!$C$9-Assumptions!$C$10*Assumptions!$C$11)</x:f>
        <x:v>0.6967075820678182</x:v>
      </x:c>
      <x:c r="K13" s="79" t="n">
        <x:f>INT(J13)</x:f>
        <x:v>0</x:v>
      </x:c>
      <x:c r="L13" s="79" t="n">
        <x:f>J13-K13</x:f>
        <x:v>0.6967075820678182</x:v>
      </x:c>
      <x:c r="M13" s="64" t="n">
        <x:f>COUNTIFS($L$8:$L$39,"&gt;"&amp;L13)+COUNTIFS($L$8:L13,L13)</x:f>
        <x:v>12</x:v>
      </x:c>
      <x:c r="N13" s="64" t="n">
        <x:f>K13+IF(M13&lt;=(Assumptions!$C$9-Assumptions!$C$10*Assumptions!$C$11-SUM($K$8:$K$39)),1,0)</x:f>
        <x:v>1</x:v>
      </x:c>
      <x:c r="O13" s="64" t="n">
        <x:f>I13+N13</x:f>
        <x:v>2</x:v>
      </x:c>
      <x:c r="P13" s="64" t="str">
        <x:f>IF(G13="YES","C1 ISLAND / TERRITORIAL",IF(F13="NO","C2 INLAND HARD-ACCESS",IF(OR(D13&gt;=15000000,H13&gt;=95),"C3 DENSE / COMPOUND",IF(H13&gt;=90,"C4 MULTIMODAL HIGH-EXPOSURE","C5 REGIONAL MULTIMODAL"))))</x:f>
        <x:v>C3 DENSE / COMPOUND</x:v>
      </x:c>
      <x:c r="Q13" s="64" t="str">
        <x:f>INDEX(Assumptions!$H$8:$H$12,MATCH(P13,Assumptions!$G$8:$G$12,0))</x:f>
        <x:v>T7</x:v>
      </x:c>
      <x:c r="R13" s="64" t="n">
        <x:f>INDEX('Topology Library'!$D$8:$D$14,MATCH(Q13,'Topology Library'!$B$8:$B$14,0))</x:f>
        <x:v>10</x:v>
      </x:c>
      <x:c r="S13" s="64" t="n">
        <x:f>INDEX('Topology Library'!$F$8:$F$14,MATCH(Q13,'Topology Library'!$B$8:$B$14,0))</x:f>
        <x:v>3</x:v>
      </x:c>
      <x:c r="T13" s="64" t="n">
        <x:f>INDEX('Topology Library'!$H$8:$H$14,MATCH(Q13,'Topology Library'!$B$8:$B$14,0))</x:f>
        <x:v>1</x:v>
      </x:c>
      <x:c r="U13" s="64" t="n">
        <x:f>INDEX('Topology Library'!$J$8:$J$14,MATCH(Q13,'Topology Library'!$B$8:$B$14,0))</x:f>
        <x:v>13</x:v>
      </x:c>
      <x:c r="V13" s="63" t="n">
        <x:f>INDEX('Topology Library'!$AC$8:$AC$14,MATCH(Q13,'Topology Library'!$B$8:$B$14,0))</x:f>
        <x:v>33.117000000000004</x:v>
      </x:c>
      <x:c r="W13" s="64" t="n">
        <x:f>IF(S13=4,T13,0)</x:f>
        <x:v>0</x:v>
      </x:c>
      <x:c r="X13" s="80" t="str">
        <x:v>Pass 32 national receiving geography</x:v>
      </x:c>
      <x:c r="Y13" s="2"/>
      <x:c r="Z13" s="2"/>
      <x:c r="AA13" s="2"/>
      <x:c r="AB13" s="2"/>
      <x:c r="AC13" s="2"/>
      <x:c r="AD13" s="2"/>
      <x:c r="AE13" s="2"/>
    </x:row>
    <x:row r="14">
      <x:c r="B14" s="59" t="str">
        <x:v>SCA-07</x:v>
      </x:c>
      <x:c r="C14" s="59" t="str">
        <x:v>Clark County, NV</x:v>
      </x:c>
      <x:c r="D14" s="60" t="n">
        <x:v>5229370</x:v>
      </x:c>
      <x:c r="E14" s="77" t="n">
        <x:v>0.015158925903554448</x:v>
      </x:c>
      <x:c r="F14" s="59" t="str">
        <x:v>YES</x:v>
      </x:c>
      <x:c r="G14" s="59" t="str">
        <x:v>NO</x:v>
      </x:c>
      <x:c r="H14" s="78" t="n">
        <x:v>98.22608801596381</x:v>
      </x:c>
      <x:c r="I14" s="64" t="n">
        <x:f>Assumptions!$C$11</x:f>
        <x:v>1</x:v>
      </x:c>
      <x:c r="J14" s="79" t="n">
        <x:f>D14/SUM($D$8:$D$39)*(Assumptions!$C$9-Assumptions!$C$10*Assumptions!$C$11)</x:f>
        <x:v>0.606357036142178</x:v>
      </x:c>
      <x:c r="K14" s="79" t="n">
        <x:f>INT(J14)</x:f>
        <x:v>0</x:v>
      </x:c>
      <x:c r="L14" s="79" t="n">
        <x:f>J14-K14</x:f>
        <x:v>0.606357036142178</x:v>
      </x:c>
      <x:c r="M14" s="64" t="n">
        <x:f>COUNTIFS($L$8:$L$39,"&gt;"&amp;L14)+COUNTIFS($L$8:L14,L14)</x:f>
        <x:v>14</x:v>
      </x:c>
      <x:c r="N14" s="64" t="n">
        <x:f>K14+IF(M14&lt;=(Assumptions!$C$9-Assumptions!$C$10*Assumptions!$C$11-SUM($K$8:$K$39)),1,0)</x:f>
        <x:v>1</x:v>
      </x:c>
      <x:c r="O14" s="64" t="n">
        <x:f>I14+N14</x:f>
        <x:v>2</x:v>
      </x:c>
      <x:c r="P14" s="64" t="str">
        <x:f>IF(G14="YES","C1 ISLAND / TERRITORIAL",IF(F14="NO","C2 INLAND HARD-ACCESS",IF(OR(D14&gt;=15000000,H14&gt;=95),"C3 DENSE / COMPOUND",IF(H14&gt;=90,"C4 MULTIMODAL HIGH-EXPOSURE","C5 REGIONAL MULTIMODAL"))))</x:f>
        <x:v>C3 DENSE / COMPOUND</x:v>
      </x:c>
      <x:c r="Q14" s="64" t="str">
        <x:f>INDEX(Assumptions!$H$8:$H$12,MATCH(P14,Assumptions!$G$8:$G$12,0))</x:f>
        <x:v>T7</x:v>
      </x:c>
      <x:c r="R14" s="64" t="n">
        <x:f>INDEX('Topology Library'!$D$8:$D$14,MATCH(Q14,'Topology Library'!$B$8:$B$14,0))</x:f>
        <x:v>10</x:v>
      </x:c>
      <x:c r="S14" s="64" t="n">
        <x:f>INDEX('Topology Library'!$F$8:$F$14,MATCH(Q14,'Topology Library'!$B$8:$B$14,0))</x:f>
        <x:v>3</x:v>
      </x:c>
      <x:c r="T14" s="64" t="n">
        <x:f>INDEX('Topology Library'!$H$8:$H$14,MATCH(Q14,'Topology Library'!$B$8:$B$14,0))</x:f>
        <x:v>1</x:v>
      </x:c>
      <x:c r="U14" s="64" t="n">
        <x:f>INDEX('Topology Library'!$J$8:$J$14,MATCH(Q14,'Topology Library'!$B$8:$B$14,0))</x:f>
        <x:v>13</x:v>
      </x:c>
      <x:c r="V14" s="63" t="n">
        <x:f>INDEX('Topology Library'!$AC$8:$AC$14,MATCH(Q14,'Topology Library'!$B$8:$B$14,0))</x:f>
        <x:v>33.117000000000004</x:v>
      </x:c>
      <x:c r="W14" s="64" t="n">
        <x:f>IF(S14=4,T14,0)</x:f>
        <x:v>0</x:v>
      </x:c>
      <x:c r="X14" s="80" t="str">
        <x:v>Pass 32 national receiving geography</x:v>
      </x:c>
      <x:c r="Y14" s="2"/>
      <x:c r="Z14" s="2"/>
      <x:c r="AA14" s="2"/>
      <x:c r="AB14" s="2"/>
      <x:c r="AC14" s="2"/>
      <x:c r="AD14" s="2"/>
      <x:c r="AE14" s="2"/>
    </x:row>
    <x:row r="15">
      <x:c r="B15" s="59" t="str">
        <x:v>SCA-08</x:v>
      </x:c>
      <x:c r="C15" s="59" t="str">
        <x:v>Ada County, ID</x:v>
      </x:c>
      <x:c r="D15" s="60" t="n">
        <x:v>2652387</x:v>
      </x:c>
      <x:c r="E15" s="77" t="n">
        <x:v>0.007688753712311631</x:v>
      </x:c>
      <x:c r="F15" s="59" t="str">
        <x:v>YES</x:v>
      </x:c>
      <x:c r="G15" s="59" t="str">
        <x:v>NO</x:v>
      </x:c>
      <x:c r="H15" s="78" t="n">
        <x:v>65.3252843282915</x:v>
      </x:c>
      <x:c r="I15" s="64" t="n">
        <x:f>Assumptions!$C$11</x:f>
        <x:v>1</x:v>
      </x:c>
      <x:c r="J15" s="79" t="n">
        <x:f>D15/SUM($D$8:$D$39)*(Assumptions!$C$9-Assumptions!$C$10*Assumptions!$C$11)</x:f>
        <x:v>0.30755014849246526</x:v>
      </x:c>
      <x:c r="K15" s="79" t="n">
        <x:f>INT(J15)</x:f>
        <x:v>0</x:v>
      </x:c>
      <x:c r="L15" s="79" t="n">
        <x:f>J15-K15</x:f>
        <x:v>0.30755014849246526</x:v>
      </x:c>
      <x:c r="M15" s="64" t="n">
        <x:f>COUNTIFS($L$8:$L$39,"&gt;"&amp;L15)+COUNTIFS($L$8:L15,L15)</x:f>
        <x:v>24</x:v>
      </x:c>
      <x:c r="N15" s="64" t="n">
        <x:f>K15+IF(M15&lt;=(Assumptions!$C$9-Assumptions!$C$10*Assumptions!$C$11-SUM($K$8:$K$39)),1,0)</x:f>
        <x:v>0</x:v>
      </x:c>
      <x:c r="O15" s="64" t="n">
        <x:f>I15+N15</x:f>
        <x:v>1</x:v>
      </x:c>
      <x:c r="P15" s="64" t="str">
        <x:f>IF(G15="YES","C1 ISLAND / TERRITORIAL",IF(F15="NO","C2 INLAND HARD-ACCESS",IF(OR(D15&gt;=15000000,H15&gt;=95),"C3 DENSE / COMPOUND",IF(H15&gt;=90,"C4 MULTIMODAL HIGH-EXPOSURE","C5 REGIONAL MULTIMODAL"))))</x:f>
        <x:v>C5 REGIONAL MULTIMODAL</x:v>
      </x:c>
      <x:c r="Q15" s="64" t="str">
        <x:f>INDEX(Assumptions!$H$8:$H$12,MATCH(P15,Assumptions!$G$8:$G$12,0))</x:f>
        <x:v>T4</x:v>
      </x:c>
      <x:c r="R15" s="64" t="n">
        <x:f>INDEX('Topology Library'!$D$8:$D$14,MATCH(Q15,'Topology Library'!$B$8:$B$14,0))</x:f>
        <x:v>6</x:v>
      </x:c>
      <x:c r="S15" s="64" t="n">
        <x:f>INDEX('Topology Library'!$F$8:$F$14,MATCH(Q15,'Topology Library'!$B$8:$B$14,0))</x:f>
        <x:v>3</x:v>
      </x:c>
      <x:c r="T15" s="64" t="n">
        <x:f>INDEX('Topology Library'!$H$8:$H$14,MATCH(Q15,'Topology Library'!$B$8:$B$14,0))</x:f>
        <x:v>4</x:v>
      </x:c>
      <x:c r="U15" s="64" t="n">
        <x:f>INDEX('Topology Library'!$J$8:$J$14,MATCH(Q15,'Topology Library'!$B$8:$B$14,0))</x:f>
        <x:v>18</x:v>
      </x:c>
      <x:c r="V15" s="63" t="n">
        <x:f>INDEX('Topology Library'!$AC$8:$AC$14,MATCH(Q15,'Topology Library'!$B$8:$B$14,0))</x:f>
        <x:v>48.827999999999996</x:v>
      </x:c>
      <x:c r="W15" s="64" t="n">
        <x:f>IF(S15=4,T15,0)</x:f>
        <x:v>0</x:v>
      </x:c>
      <x:c r="X15" s="80" t="str">
        <x:v>Pass 32 national receiving geography</x:v>
      </x:c>
      <x:c r="Y15" s="2"/>
      <x:c r="Z15" s="2"/>
      <x:c r="AA15" s="2"/>
      <x:c r="AB15" s="2"/>
      <x:c r="AC15" s="2"/>
      <x:c r="AD15" s="2"/>
      <x:c r="AE15" s="2"/>
    </x:row>
    <x:row r="16">
      <x:c r="B16" s="59" t="str">
        <x:v>SCA-09</x:v>
      </x:c>
      <x:c r="C16" s="59" t="str">
        <x:v>Maricopa County, AZ</x:v>
      </x:c>
      <x:c r="D16" s="60" t="n">
        <x:v>7395716</x:v>
      </x:c>
      <x:c r="E16" s="77" t="n">
        <x:v>0.021438741348906675</x:v>
      </x:c>
      <x:c r="F16" s="59" t="str">
        <x:v>NO</x:v>
      </x:c>
      <x:c r="G16" s="59" t="str">
        <x:v>NO</x:v>
      </x:c>
      <x:c r="H16" s="78" t="n">
        <x:v>97.81239565214521</x:v>
      </x:c>
      <x:c r="I16" s="64" t="n">
        <x:f>Assumptions!$C$11</x:f>
        <x:v>1</x:v>
      </x:c>
      <x:c r="J16" s="79" t="n">
        <x:f>D16/SUM($D$8:$D$39)*(Assumptions!$C$9-Assumptions!$C$10*Assumptions!$C$11)</x:f>
        <x:v>0.857549653956267</x:v>
      </x:c>
      <x:c r="K16" s="79" t="n">
        <x:f>INT(J16)</x:f>
        <x:v>0</x:v>
      </x:c>
      <x:c r="L16" s="79" t="n">
        <x:f>J16-K16</x:f>
        <x:v>0.857549653956267</x:v>
      </x:c>
      <x:c r="M16" s="64" t="n">
        <x:f>COUNTIFS($L$8:$L$39,"&gt;"&amp;L16)+COUNTIFS($L$8:L16,L16)</x:f>
        <x:v>5</x:v>
      </x:c>
      <x:c r="N16" s="64" t="n">
        <x:f>K16+IF(M16&lt;=(Assumptions!$C$9-Assumptions!$C$10*Assumptions!$C$11-SUM($K$8:$K$39)),1,0)</x:f>
        <x:v>1</x:v>
      </x:c>
      <x:c r="O16" s="64" t="n">
        <x:f>I16+N16</x:f>
        <x:v>2</x:v>
      </x:c>
      <x:c r="P16" s="64" t="str">
        <x:f>IF(G16="YES","C1 ISLAND / TERRITORIAL",IF(F16="NO","C2 INLAND HARD-ACCESS",IF(OR(D16&gt;=15000000,H16&gt;=95),"C3 DENSE / COMPOUND",IF(H16&gt;=90,"C4 MULTIMODAL HIGH-EXPOSURE","C5 REGIONAL MULTIMODAL"))))</x:f>
        <x:v>C2 INLAND HARD-ACCESS</x:v>
      </x:c>
      <x:c r="Q16" s="64" t="str">
        <x:f>INDEX(Assumptions!$H$8:$H$12,MATCH(P16,Assumptions!$G$8:$G$12,0))</x:f>
        <x:v>T6</x:v>
      </x:c>
      <x:c r="R16" s="64" t="n">
        <x:f>INDEX('Topology Library'!$D$8:$D$14,MATCH(Q16,'Topology Library'!$B$8:$B$14,0))</x:f>
        <x:v>8</x:v>
      </x:c>
      <x:c r="S16" s="64" t="n">
        <x:f>INDEX('Topology Library'!$F$8:$F$14,MATCH(Q16,'Topology Library'!$B$8:$B$14,0))</x:f>
        <x:v>4</x:v>
      </x:c>
      <x:c r="T16" s="64" t="n">
        <x:f>INDEX('Topology Library'!$H$8:$H$14,MATCH(Q16,'Topology Library'!$B$8:$B$14,0))</x:f>
        <x:v>2</x:v>
      </x:c>
      <x:c r="U16" s="64" t="n">
        <x:f>INDEX('Topology Library'!$J$8:$J$14,MATCH(Q16,'Topology Library'!$B$8:$B$14,0))</x:f>
        <x:v>16</x:v>
      </x:c>
      <x:c r="V16" s="63" t="n">
        <x:f>INDEX('Topology Library'!$AC$8:$AC$14,MATCH(Q16,'Topology Library'!$B$8:$B$14,0))</x:f>
        <x:v>45.714</x:v>
      </x:c>
      <x:c r="W16" s="64" t="n">
        <x:f>IF(S16=4,T16,0)</x:f>
        <x:v>2</x:v>
      </x:c>
      <x:c r="X16" s="80" t="str">
        <x:v>Pass 32 national receiving geography</x:v>
      </x:c>
      <x:c r="Y16" s="2"/>
      <x:c r="Z16" s="2"/>
      <x:c r="AA16" s="2"/>
      <x:c r="AB16" s="2"/>
      <x:c r="AC16" s="2"/>
      <x:c r="AD16" s="2"/>
      <x:c r="AE16" s="2"/>
    </x:row>
    <x:row r="17">
      <x:c r="B17" s="59" t="str">
        <x:v>SCA-10</x:v>
      </x:c>
      <x:c r="C17" s="59" t="str">
        <x:v>Salt Lake County, UT</x:v>
      </x:c>
      <x:c r="D17" s="60" t="n">
        <x:v>4127033</x:v>
      </x:c>
      <x:c r="E17" s="77" t="n">
        <x:v>0.011963465474526383</x:v>
      </x:c>
      <x:c r="F17" s="59" t="str">
        <x:v>NO</x:v>
      </x:c>
      <x:c r="G17" s="59" t="str">
        <x:v>NO</x:v>
      </x:c>
      <x:c r="H17" s="78" t="n">
        <x:v>79.6647445916745</x:v>
      </x:c>
      <x:c r="I17" s="64" t="n">
        <x:f>Assumptions!$C$11</x:f>
        <x:v>1</x:v>
      </x:c>
      <x:c r="J17" s="79" t="n">
        <x:f>D17/SUM($D$8:$D$39)*(Assumptions!$C$9-Assumptions!$C$10*Assumptions!$C$11)</x:f>
        <x:v>0.4785386189810553</x:v>
      </x:c>
      <x:c r="K17" s="79" t="n">
        <x:f>INT(J17)</x:f>
        <x:v>0</x:v>
      </x:c>
      <x:c r="L17" s="79" t="n">
        <x:f>J17-K17</x:f>
        <x:v>0.4785386189810553</x:v>
      </x:c>
      <x:c r="M17" s="64" t="n">
        <x:f>COUNTIFS($L$8:$L$39,"&gt;"&amp;L17)+COUNTIFS($L$8:L17,L17)</x:f>
        <x:v>17</x:v>
      </x:c>
      <x:c r="N17" s="64" t="n">
        <x:f>K17+IF(M17&lt;=(Assumptions!$C$9-Assumptions!$C$10*Assumptions!$C$11-SUM($K$8:$K$39)),1,0)</x:f>
        <x:v>1</x:v>
      </x:c>
      <x:c r="O17" s="64" t="n">
        <x:f>I17+N17</x:f>
        <x:v>2</x:v>
      </x:c>
      <x:c r="P17" s="64" t="str">
        <x:f>IF(G17="YES","C1 ISLAND / TERRITORIAL",IF(F17="NO","C2 INLAND HARD-ACCESS",IF(OR(D17&gt;=15000000,H17&gt;=95),"C3 DENSE / COMPOUND",IF(H17&gt;=90,"C4 MULTIMODAL HIGH-EXPOSURE","C5 REGIONAL MULTIMODAL"))))</x:f>
        <x:v>C2 INLAND HARD-ACCESS</x:v>
      </x:c>
      <x:c r="Q17" s="64" t="str">
        <x:f>INDEX(Assumptions!$H$8:$H$12,MATCH(P17,Assumptions!$G$8:$G$12,0))</x:f>
        <x:v>T6</x:v>
      </x:c>
      <x:c r="R17" s="64" t="n">
        <x:f>INDEX('Topology Library'!$D$8:$D$14,MATCH(Q17,'Topology Library'!$B$8:$B$14,0))</x:f>
        <x:v>8</x:v>
      </x:c>
      <x:c r="S17" s="64" t="n">
        <x:f>INDEX('Topology Library'!$F$8:$F$14,MATCH(Q17,'Topology Library'!$B$8:$B$14,0))</x:f>
        <x:v>4</x:v>
      </x:c>
      <x:c r="T17" s="64" t="n">
        <x:f>INDEX('Topology Library'!$H$8:$H$14,MATCH(Q17,'Topology Library'!$B$8:$B$14,0))</x:f>
        <x:v>2</x:v>
      </x:c>
      <x:c r="U17" s="64" t="n">
        <x:f>INDEX('Topology Library'!$J$8:$J$14,MATCH(Q17,'Topology Library'!$B$8:$B$14,0))</x:f>
        <x:v>16</x:v>
      </x:c>
      <x:c r="V17" s="63" t="n">
        <x:f>INDEX('Topology Library'!$AC$8:$AC$14,MATCH(Q17,'Topology Library'!$B$8:$B$14,0))</x:f>
        <x:v>45.714</x:v>
      </x:c>
      <x:c r="W17" s="64" t="n">
        <x:f>IF(S17=4,T17,0)</x:f>
        <x:v>2</x:v>
      </x:c>
      <x:c r="X17" s="80" t="str">
        <x:v>Pass 32 national receiving geography</x:v>
      </x:c>
      <x:c r="Y17" s="2"/>
      <x:c r="Z17" s="2"/>
      <x:c r="AA17" s="2"/>
      <x:c r="AB17" s="2"/>
      <x:c r="AC17" s="2"/>
      <x:c r="AD17" s="2"/>
      <x:c r="AE17" s="2"/>
    </x:row>
    <x:row r="18">
      <x:c r="B18" s="59" t="str">
        <x:v>SCA-11</x:v>
      </x:c>
      <x:c r="C18" s="59" t="str">
        <x:v>El Paso County, TX</x:v>
      </x:c>
      <x:c r="D18" s="60" t="n">
        <x:v>3517787</x:v>
      </x:c>
      <x:c r="E18" s="77" t="n">
        <x:v>0.01019737989040498</x:v>
      </x:c>
      <x:c r="F18" s="59" t="str">
        <x:v>YES</x:v>
      </x:c>
      <x:c r="G18" s="59" t="str">
        <x:v>NO</x:v>
      </x:c>
      <x:c r="H18" s="78" t="n">
        <x:v>85.97451558884039</x:v>
      </x:c>
      <x:c r="I18" s="64" t="n">
        <x:f>Assumptions!$C$11</x:f>
        <x:v>1</x:v>
      </x:c>
      <x:c r="J18" s="79" t="n">
        <x:f>D18/SUM($D$8:$D$39)*(Assumptions!$C$9-Assumptions!$C$10*Assumptions!$C$11)</x:f>
        <x:v>0.4078951956161992</x:v>
      </x:c>
      <x:c r="K18" s="79" t="n">
        <x:f>INT(J18)</x:f>
        <x:v>0</x:v>
      </x:c>
      <x:c r="L18" s="79" t="n">
        <x:f>J18-K18</x:f>
        <x:v>0.4078951956161992</x:v>
      </x:c>
      <x:c r="M18" s="64" t="n">
        <x:f>COUNTIFS($L$8:$L$39,"&gt;"&amp;L18)+COUNTIFS($L$8:L18,L18)</x:f>
        <x:v>20</x:v>
      </x:c>
      <x:c r="N18" s="64" t="n">
        <x:f>K18+IF(M18&lt;=(Assumptions!$C$9-Assumptions!$C$10*Assumptions!$C$11-SUM($K$8:$K$39)),1,0)</x:f>
        <x:v>0</x:v>
      </x:c>
      <x:c r="O18" s="64" t="n">
        <x:f>I18+N18</x:f>
        <x:v>1</x:v>
      </x:c>
      <x:c r="P18" s="64" t="str">
        <x:f>IF(G18="YES","C1 ISLAND / TERRITORIAL",IF(F18="NO","C2 INLAND HARD-ACCESS",IF(OR(D18&gt;=15000000,H18&gt;=95),"C3 DENSE / COMPOUND",IF(H18&gt;=90,"C4 MULTIMODAL HIGH-EXPOSURE","C5 REGIONAL MULTIMODAL"))))</x:f>
        <x:v>C5 REGIONAL MULTIMODAL</x:v>
      </x:c>
      <x:c r="Q18" s="64" t="str">
        <x:f>INDEX(Assumptions!$H$8:$H$12,MATCH(P18,Assumptions!$G$8:$G$12,0))</x:f>
        <x:v>T4</x:v>
      </x:c>
      <x:c r="R18" s="64" t="n">
        <x:f>INDEX('Topology Library'!$D$8:$D$14,MATCH(Q18,'Topology Library'!$B$8:$B$14,0))</x:f>
        <x:v>6</x:v>
      </x:c>
      <x:c r="S18" s="64" t="n">
        <x:f>INDEX('Topology Library'!$F$8:$F$14,MATCH(Q18,'Topology Library'!$B$8:$B$14,0))</x:f>
        <x:v>3</x:v>
      </x:c>
      <x:c r="T18" s="64" t="n">
        <x:f>INDEX('Topology Library'!$H$8:$H$14,MATCH(Q18,'Topology Library'!$B$8:$B$14,0))</x:f>
        <x:v>4</x:v>
      </x:c>
      <x:c r="U18" s="64" t="n">
        <x:f>INDEX('Topology Library'!$J$8:$J$14,MATCH(Q18,'Topology Library'!$B$8:$B$14,0))</x:f>
        <x:v>18</x:v>
      </x:c>
      <x:c r="V18" s="63" t="n">
        <x:f>INDEX('Topology Library'!$AC$8:$AC$14,MATCH(Q18,'Topology Library'!$B$8:$B$14,0))</x:f>
        <x:v>48.827999999999996</x:v>
      </x:c>
      <x:c r="W18" s="64" t="n">
        <x:f>IF(S18=4,T18,0)</x:f>
        <x:v>0</x:v>
      </x:c>
      <x:c r="X18" s="80" t="str">
        <x:v>Pass 32 national receiving geography</x:v>
      </x:c>
      <x:c r="Y18" s="2"/>
      <x:c r="Z18" s="2"/>
      <x:c r="AA18" s="2"/>
      <x:c r="AB18" s="2"/>
      <x:c r="AC18" s="2"/>
      <x:c r="AD18" s="2"/>
      <x:c r="AE18" s="2"/>
    </x:row>
    <x:row r="19">
      <x:c r="B19" s="59" t="str">
        <x:v>SCA-12</x:v>
      </x:c>
      <x:c r="C19" s="59" t="str">
        <x:v>El Paso County, CO</x:v>
      </x:c>
      <x:c r="D19" s="60" t="n">
        <x:v>7465186</x:v>
      </x:c>
      <x:c r="E19" s="77" t="n">
        <x:v>0.0216401213588352</x:v>
      </x:c>
      <x:c r="F19" s="59" t="str">
        <x:v>NO</x:v>
      </x:c>
      <x:c r="G19" s="59" t="str">
        <x:v>NO</x:v>
      </x:c>
      <x:c r="H19" s="78" t="n">
        <x:v>80.93567456069324</x:v>
      </x:c>
      <x:c r="I19" s="64" t="n">
        <x:f>Assumptions!$C$11</x:f>
        <x:v>1</x:v>
      </x:c>
      <x:c r="J19" s="79" t="n">
        <x:f>D19/SUM($D$8:$D$39)*(Assumptions!$C$9-Assumptions!$C$10*Assumptions!$C$11)</x:f>
        <x:v>0.865604854353408</x:v>
      </x:c>
      <x:c r="K19" s="79" t="n">
        <x:f>INT(J19)</x:f>
        <x:v>0</x:v>
      </x:c>
      <x:c r="L19" s="79" t="n">
        <x:f>J19-K19</x:f>
        <x:v>0.865604854353408</x:v>
      </x:c>
      <x:c r="M19" s="64" t="n">
        <x:f>COUNTIFS($L$8:$L$39,"&gt;"&amp;L19)+COUNTIFS($L$8:L19,L19)</x:f>
        <x:v>4</x:v>
      </x:c>
      <x:c r="N19" s="64" t="n">
        <x:f>K19+IF(M19&lt;=(Assumptions!$C$9-Assumptions!$C$10*Assumptions!$C$11-SUM($K$8:$K$39)),1,0)</x:f>
        <x:v>1</x:v>
      </x:c>
      <x:c r="O19" s="64" t="n">
        <x:f>I19+N19</x:f>
        <x:v>2</x:v>
      </x:c>
      <x:c r="P19" s="64" t="str">
        <x:f>IF(G19="YES","C1 ISLAND / TERRITORIAL",IF(F19="NO","C2 INLAND HARD-ACCESS",IF(OR(D19&gt;=15000000,H19&gt;=95),"C3 DENSE / COMPOUND",IF(H19&gt;=90,"C4 MULTIMODAL HIGH-EXPOSURE","C5 REGIONAL MULTIMODAL"))))</x:f>
        <x:v>C2 INLAND HARD-ACCESS</x:v>
      </x:c>
      <x:c r="Q19" s="64" t="str">
        <x:f>INDEX(Assumptions!$H$8:$H$12,MATCH(P19,Assumptions!$G$8:$G$12,0))</x:f>
        <x:v>T6</x:v>
      </x:c>
      <x:c r="R19" s="64" t="n">
        <x:f>INDEX('Topology Library'!$D$8:$D$14,MATCH(Q19,'Topology Library'!$B$8:$B$14,0))</x:f>
        <x:v>8</x:v>
      </x:c>
      <x:c r="S19" s="64" t="n">
        <x:f>INDEX('Topology Library'!$F$8:$F$14,MATCH(Q19,'Topology Library'!$B$8:$B$14,0))</x:f>
        <x:v>4</x:v>
      </x:c>
      <x:c r="T19" s="64" t="n">
        <x:f>INDEX('Topology Library'!$H$8:$H$14,MATCH(Q19,'Topology Library'!$B$8:$B$14,0))</x:f>
        <x:v>2</x:v>
      </x:c>
      <x:c r="U19" s="64" t="n">
        <x:f>INDEX('Topology Library'!$J$8:$J$14,MATCH(Q19,'Topology Library'!$B$8:$B$14,0))</x:f>
        <x:v>16</x:v>
      </x:c>
      <x:c r="V19" s="63" t="n">
        <x:f>INDEX('Topology Library'!$AC$8:$AC$14,MATCH(Q19,'Topology Library'!$B$8:$B$14,0))</x:f>
        <x:v>45.714</x:v>
      </x:c>
      <x:c r="W19" s="64" t="n">
        <x:f>IF(S19=4,T19,0)</x:f>
        <x:v>2</x:v>
      </x:c>
      <x:c r="X19" s="80" t="str">
        <x:v>Pass 32 national receiving geography</x:v>
      </x:c>
      <x:c r="Y19" s="2"/>
      <x:c r="Z19" s="2"/>
      <x:c r="AA19" s="2"/>
      <x:c r="AB19" s="2"/>
      <x:c r="AC19" s="2"/>
      <x:c r="AD19" s="2"/>
      <x:c r="AE19" s="2"/>
    </x:row>
    <x:row r="20">
      <x:c r="B20" s="59" t="str">
        <x:v>SCA-13</x:v>
      </x:c>
      <x:c r="C20" s="59" t="str">
        <x:v>Bexar County, TX</x:v>
      </x:c>
      <x:c r="D20" s="60" t="n">
        <x:v>6759014</x:v>
      </x:c>
      <x:c r="E20" s="77" t="n">
        <x:v>0.01959306616420088</x:v>
      </x:c>
      <x:c r="F20" s="59" t="str">
        <x:v>YES</x:v>
      </x:c>
      <x:c r="G20" s="59" t="str">
        <x:v>NO</x:v>
      </x:c>
      <x:c r="H20" s="78" t="n">
        <x:v>90.47940631313801</x:v>
      </x:c>
      <x:c r="I20" s="64" t="n">
        <x:f>Assumptions!$C$11</x:f>
        <x:v>1</x:v>
      </x:c>
      <x:c r="J20" s="79" t="n">
        <x:f>D20/SUM($D$8:$D$39)*(Assumptions!$C$9-Assumptions!$C$10*Assumptions!$C$11)</x:f>
        <x:v>0.7837226465680353</x:v>
      </x:c>
      <x:c r="K20" s="79" t="n">
        <x:f>INT(J20)</x:f>
        <x:v>0</x:v>
      </x:c>
      <x:c r="L20" s="79" t="n">
        <x:f>J20-K20</x:f>
        <x:v>0.7837226465680353</x:v>
      </x:c>
      <x:c r="M20" s="64" t="n">
        <x:f>COUNTIFS($L$8:$L$39,"&gt;"&amp;L20)+COUNTIFS($L$8:L20,L20)</x:f>
        <x:v>8</x:v>
      </x:c>
      <x:c r="N20" s="64" t="n">
        <x:f>K20+IF(M20&lt;=(Assumptions!$C$9-Assumptions!$C$10*Assumptions!$C$11-SUM($K$8:$K$39)),1,0)</x:f>
        <x:v>1</x:v>
      </x:c>
      <x:c r="O20" s="64" t="n">
        <x:f>I20+N20</x:f>
        <x:v>2</x:v>
      </x:c>
      <x:c r="P20" s="64" t="str">
        <x:f>IF(G20="YES","C1 ISLAND / TERRITORIAL",IF(F20="NO","C2 INLAND HARD-ACCESS",IF(OR(D20&gt;=15000000,H20&gt;=95),"C3 DENSE / COMPOUND",IF(H20&gt;=90,"C4 MULTIMODAL HIGH-EXPOSURE","C5 REGIONAL MULTIMODAL"))))</x:f>
        <x:v>C4 MULTIMODAL HIGH-EXPOSURE</x:v>
      </x:c>
      <x:c r="Q20" s="64" t="str">
        <x:f>INDEX(Assumptions!$H$8:$H$12,MATCH(P20,Assumptions!$G$8:$G$12,0))</x:f>
        <x:v>T3</x:v>
      </x:c>
      <x:c r="R20" s="64" t="n">
        <x:f>INDEX('Topology Library'!$D$8:$D$14,MATCH(Q20,'Topology Library'!$B$8:$B$14,0))</x:f>
        <x:v>9</x:v>
      </x:c>
      <x:c r="S20" s="64" t="n">
        <x:f>INDEX('Topology Library'!$F$8:$F$14,MATCH(Q20,'Topology Library'!$B$8:$B$14,0))</x:f>
        <x:v>3</x:v>
      </x:c>
      <x:c r="T20" s="64" t="n">
        <x:f>INDEX('Topology Library'!$H$8:$H$14,MATCH(Q20,'Topology Library'!$B$8:$B$14,0))</x:f>
        <x:v>2</x:v>
      </x:c>
      <x:c r="U20" s="64" t="n">
        <x:f>INDEX('Topology Library'!$J$8:$J$14,MATCH(Q20,'Topology Library'!$B$8:$B$14,0))</x:f>
        <x:v>15</x:v>
      </x:c>
      <x:c r="V20" s="63" t="n">
        <x:f>INDEX('Topology Library'!$AC$8:$AC$14,MATCH(Q20,'Topology Library'!$B$8:$B$14,0))</x:f>
        <x:v>39.174</x:v>
      </x:c>
      <x:c r="W20" s="64" t="n">
        <x:f>IF(S20=4,T20,0)</x:f>
        <x:v>0</x:v>
      </x:c>
      <x:c r="X20" s="80" t="str">
        <x:v>Pass 32 national receiving geography</x:v>
      </x:c>
      <x:c r="Y20" s="2"/>
      <x:c r="Z20" s="2"/>
      <x:c r="AA20" s="2"/>
      <x:c r="AB20" s="2"/>
      <x:c r="AC20" s="2"/>
      <x:c r="AD20" s="2"/>
      <x:c r="AE20" s="2"/>
    </x:row>
    <x:row r="21">
      <x:c r="B21" s="59" t="str">
        <x:v>SCA-14</x:v>
      </x:c>
      <x:c r="C21" s="59" t="str">
        <x:v>Hidalgo County, TX</x:v>
      </x:c>
      <x:c r="D21" s="60" t="n">
        <x:v>2179728</x:v>
      </x:c>
      <x:c r="E21" s="77" t="n">
        <x:v>0.0063186072589820445</x:v>
      </x:c>
      <x:c r="F21" s="59" t="str">
        <x:v>YES</x:v>
      </x:c>
      <x:c r="G21" s="59" t="str">
        <x:v>NO</x:v>
      </x:c>
      <x:c r="H21" s="78" t="n">
        <x:v>95.11373264066619</x:v>
      </x:c>
      <x:c r="I21" s="64" t="n">
        <x:f>Assumptions!$C$11</x:f>
        <x:v>1</x:v>
      </x:c>
      <x:c r="J21" s="79" t="n">
        <x:f>D21/SUM($D$8:$D$39)*(Assumptions!$C$9-Assumptions!$C$10*Assumptions!$C$11)</x:f>
        <x:v>0.2527442903592818</x:v>
      </x:c>
      <x:c r="K21" s="79" t="n">
        <x:f>INT(J21)</x:f>
        <x:v>0</x:v>
      </x:c>
      <x:c r="L21" s="79" t="n">
        <x:f>J21-K21</x:f>
        <x:v>0.2527442903592818</x:v>
      </x:c>
      <x:c r="M21" s="64" t="n">
        <x:f>COUNTIFS($L$8:$L$39,"&gt;"&amp;L21)+COUNTIFS($L$8:L21,L21)</x:f>
        <x:v>27</x:v>
      </x:c>
      <x:c r="N21" s="64" t="n">
        <x:f>K21+IF(M21&lt;=(Assumptions!$C$9-Assumptions!$C$10*Assumptions!$C$11-SUM($K$8:$K$39)),1,0)</x:f>
        <x:v>0</x:v>
      </x:c>
      <x:c r="O21" s="64" t="n">
        <x:f>I21+N21</x:f>
        <x:v>1</x:v>
      </x:c>
      <x:c r="P21" s="64" t="str">
        <x:f>IF(G21="YES","C1 ISLAND / TERRITORIAL",IF(F21="NO","C2 INLAND HARD-ACCESS",IF(OR(D21&gt;=15000000,H21&gt;=95),"C3 DENSE / COMPOUND",IF(H21&gt;=90,"C4 MULTIMODAL HIGH-EXPOSURE","C5 REGIONAL MULTIMODAL"))))</x:f>
        <x:v>C3 DENSE / COMPOUND</x:v>
      </x:c>
      <x:c r="Q21" s="64" t="str">
        <x:f>INDEX(Assumptions!$H$8:$H$12,MATCH(P21,Assumptions!$G$8:$G$12,0))</x:f>
        <x:v>T7</x:v>
      </x:c>
      <x:c r="R21" s="64" t="n">
        <x:f>INDEX('Topology Library'!$D$8:$D$14,MATCH(Q21,'Topology Library'!$B$8:$B$14,0))</x:f>
        <x:v>10</x:v>
      </x:c>
      <x:c r="S21" s="64" t="n">
        <x:f>INDEX('Topology Library'!$F$8:$F$14,MATCH(Q21,'Topology Library'!$B$8:$B$14,0))</x:f>
        <x:v>3</x:v>
      </x:c>
      <x:c r="T21" s="64" t="n">
        <x:f>INDEX('Topology Library'!$H$8:$H$14,MATCH(Q21,'Topology Library'!$B$8:$B$14,0))</x:f>
        <x:v>1</x:v>
      </x:c>
      <x:c r="U21" s="64" t="n">
        <x:f>INDEX('Topology Library'!$J$8:$J$14,MATCH(Q21,'Topology Library'!$B$8:$B$14,0))</x:f>
        <x:v>13</x:v>
      </x:c>
      <x:c r="V21" s="63" t="n">
        <x:f>INDEX('Topology Library'!$AC$8:$AC$14,MATCH(Q21,'Topology Library'!$B$8:$B$14,0))</x:f>
        <x:v>33.117000000000004</x:v>
      </x:c>
      <x:c r="W21" s="64" t="n">
        <x:f>IF(S21=4,T21,0)</x:f>
        <x:v>0</x:v>
      </x:c>
      <x:c r="X21" s="80" t="str">
        <x:v>Pass 32 national receiving geography</x:v>
      </x:c>
      <x:c r="Y21" s="2"/>
      <x:c r="Z21" s="2"/>
      <x:c r="AA21" s="2"/>
      <x:c r="AB21" s="2"/>
      <x:c r="AC21" s="2"/>
      <x:c r="AD21" s="2"/>
      <x:c r="AE21" s="2"/>
    </x:row>
    <x:row r="22">
      <x:c r="B22" s="59" t="str">
        <x:v>SCA-15</x:v>
      </x:c>
      <x:c r="C22" s="59" t="str">
        <x:v>Dallas County, TX</x:v>
      </x:c>
      <x:c r="D22" s="60" t="n">
        <x:v>13192386</x:v>
      </x:c>
      <x:c r="E22" s="77" t="n">
        <x:v>0.038242159546004406</x:v>
      </x:c>
      <x:c r="F22" s="59" t="str">
        <x:v>YES</x:v>
      </x:c>
      <x:c r="G22" s="59" t="str">
        <x:v>NO</x:v>
      </x:c>
      <x:c r="H22" s="78" t="n">
        <x:v>87.17491995572777</x:v>
      </x:c>
      <x:c r="I22" s="64" t="n">
        <x:f>Assumptions!$C$11</x:f>
        <x:v>1</x:v>
      </x:c>
      <x:c r="J22" s="79" t="n">
        <x:f>D22/SUM($D$8:$D$39)*(Assumptions!$C$9-Assumptions!$C$10*Assumptions!$C$11)</x:f>
        <x:v>1.5296863818401762</x:v>
      </x:c>
      <x:c r="K22" s="79" t="n">
        <x:f>INT(J22)</x:f>
        <x:v>1</x:v>
      </x:c>
      <x:c r="L22" s="79" t="n">
        <x:f>J22-K22</x:f>
        <x:v>0.5296863818401762</x:v>
      </x:c>
      <x:c r="M22" s="64" t="n">
        <x:f>COUNTIFS($L$8:$L$39,"&gt;"&amp;L22)+COUNTIFS($L$8:L22,L22)</x:f>
        <x:v>15</x:v>
      </x:c>
      <x:c r="N22" s="64" t="n">
        <x:f>K22+IF(M22&lt;=(Assumptions!$C$9-Assumptions!$C$10*Assumptions!$C$11-SUM($K$8:$K$39)),1,0)</x:f>
        <x:v>2</x:v>
      </x:c>
      <x:c r="O22" s="64" t="n">
        <x:f>I22+N22</x:f>
        <x:v>3</x:v>
      </x:c>
      <x:c r="P22" s="64" t="str">
        <x:f>IF(G22="YES","C1 ISLAND / TERRITORIAL",IF(F22="NO","C2 INLAND HARD-ACCESS",IF(OR(D22&gt;=15000000,H22&gt;=95),"C3 DENSE / COMPOUND",IF(H22&gt;=90,"C4 MULTIMODAL HIGH-EXPOSURE","C5 REGIONAL MULTIMODAL"))))</x:f>
        <x:v>C5 REGIONAL MULTIMODAL</x:v>
      </x:c>
      <x:c r="Q22" s="64" t="str">
        <x:f>INDEX(Assumptions!$H$8:$H$12,MATCH(P22,Assumptions!$G$8:$G$12,0))</x:f>
        <x:v>T4</x:v>
      </x:c>
      <x:c r="R22" s="64" t="n">
        <x:f>INDEX('Topology Library'!$D$8:$D$14,MATCH(Q22,'Topology Library'!$B$8:$B$14,0))</x:f>
        <x:v>6</x:v>
      </x:c>
      <x:c r="S22" s="64" t="n">
        <x:f>INDEX('Topology Library'!$F$8:$F$14,MATCH(Q22,'Topology Library'!$B$8:$B$14,0))</x:f>
        <x:v>3</x:v>
      </x:c>
      <x:c r="T22" s="64" t="n">
        <x:f>INDEX('Topology Library'!$H$8:$H$14,MATCH(Q22,'Topology Library'!$B$8:$B$14,0))</x:f>
        <x:v>4</x:v>
      </x:c>
      <x:c r="U22" s="64" t="n">
        <x:f>INDEX('Topology Library'!$J$8:$J$14,MATCH(Q22,'Topology Library'!$B$8:$B$14,0))</x:f>
        <x:v>18</x:v>
      </x:c>
      <x:c r="V22" s="63" t="n">
        <x:f>INDEX('Topology Library'!$AC$8:$AC$14,MATCH(Q22,'Topology Library'!$B$8:$B$14,0))</x:f>
        <x:v>48.827999999999996</x:v>
      </x:c>
      <x:c r="W22" s="64" t="n">
        <x:f>IF(S22=4,T22,0)</x:f>
        <x:v>0</x:v>
      </x:c>
      <x:c r="X22" s="80" t="str">
        <x:v>Pass 32 national receiving geography</x:v>
      </x:c>
      <x:c r="Y22" s="2"/>
      <x:c r="Z22" s="2"/>
      <x:c r="AA22" s="2"/>
      <x:c r="AB22" s="2"/>
      <x:c r="AC22" s="2"/>
      <x:c r="AD22" s="2"/>
      <x:c r="AE22" s="2"/>
    </x:row>
    <x:row r="23">
      <x:c r="B23" s="59" t="str">
        <x:v>SCA-16</x:v>
      </x:c>
      <x:c r="C23" s="59" t="str">
        <x:v>Oklahoma County, OK</x:v>
      </x:c>
      <x:c r="D23" s="60" t="n">
        <x:v>10177969</x:v>
      </x:c>
      <x:c r="E23" s="77" t="n">
        <x:v>0.02950395132103373</x:v>
      </x:c>
      <x:c r="F23" s="59" t="str">
        <x:v>NO</x:v>
      </x:c>
      <x:c r="G23" s="59" t="str">
        <x:v>NO</x:v>
      </x:c>
      <x:c r="H23" s="78" t="n">
        <x:v>79.72249592662013</x:v>
      </x:c>
      <x:c r="I23" s="64" t="n">
        <x:f>Assumptions!$C$11</x:f>
        <x:v>1</x:v>
      </x:c>
      <x:c r="J23" s="79" t="n">
        <x:f>D23/SUM($D$8:$D$39)*(Assumptions!$C$9-Assumptions!$C$10*Assumptions!$C$11)</x:f>
        <x:v>1.1801580528413493</x:v>
      </x:c>
      <x:c r="K23" s="79" t="n">
        <x:f>INT(J23)</x:f>
        <x:v>1</x:v>
      </x:c>
      <x:c r="L23" s="79" t="n">
        <x:f>J23-K23</x:f>
        <x:v>0.18015805284134934</x:v>
      </x:c>
      <x:c r="M23" s="64" t="n">
        <x:f>COUNTIFS($L$8:$L$39,"&gt;"&amp;L23)+COUNTIFS($L$8:L23,L23)</x:f>
        <x:v>30</x:v>
      </x:c>
      <x:c r="N23" s="64" t="n">
        <x:f>K23+IF(M23&lt;=(Assumptions!$C$9-Assumptions!$C$10*Assumptions!$C$11-SUM($K$8:$K$39)),1,0)</x:f>
        <x:v>1</x:v>
      </x:c>
      <x:c r="O23" s="64" t="n">
        <x:f>I23+N23</x:f>
        <x:v>2</x:v>
      </x:c>
      <x:c r="P23" s="64" t="str">
        <x:f>IF(G23="YES","C1 ISLAND / TERRITORIAL",IF(F23="NO","C2 INLAND HARD-ACCESS",IF(OR(D23&gt;=15000000,H23&gt;=95),"C3 DENSE / COMPOUND",IF(H23&gt;=90,"C4 MULTIMODAL HIGH-EXPOSURE","C5 REGIONAL MULTIMODAL"))))</x:f>
        <x:v>C2 INLAND HARD-ACCESS</x:v>
      </x:c>
      <x:c r="Q23" s="64" t="str">
        <x:f>INDEX(Assumptions!$H$8:$H$12,MATCH(P23,Assumptions!$G$8:$G$12,0))</x:f>
        <x:v>T6</x:v>
      </x:c>
      <x:c r="R23" s="64" t="n">
        <x:f>INDEX('Topology Library'!$D$8:$D$14,MATCH(Q23,'Topology Library'!$B$8:$B$14,0))</x:f>
        <x:v>8</x:v>
      </x:c>
      <x:c r="S23" s="64" t="n">
        <x:f>INDEX('Topology Library'!$F$8:$F$14,MATCH(Q23,'Topology Library'!$B$8:$B$14,0))</x:f>
        <x:v>4</x:v>
      </x:c>
      <x:c r="T23" s="64" t="n">
        <x:f>INDEX('Topology Library'!$H$8:$H$14,MATCH(Q23,'Topology Library'!$B$8:$B$14,0))</x:f>
        <x:v>2</x:v>
      </x:c>
      <x:c r="U23" s="64" t="n">
        <x:f>INDEX('Topology Library'!$J$8:$J$14,MATCH(Q23,'Topology Library'!$B$8:$B$14,0))</x:f>
        <x:v>16</x:v>
      </x:c>
      <x:c r="V23" s="63" t="n">
        <x:f>INDEX('Topology Library'!$AC$8:$AC$14,MATCH(Q23,'Topology Library'!$B$8:$B$14,0))</x:f>
        <x:v>45.714</x:v>
      </x:c>
      <x:c r="W23" s="64" t="n">
        <x:f>IF(S23=4,T23,0)</x:f>
        <x:v>2</x:v>
      </x:c>
      <x:c r="X23" s="80" t="str">
        <x:v>Pass 32 national receiving geography</x:v>
      </x:c>
      <x:c r="Y23" s="2"/>
      <x:c r="Z23" s="2"/>
      <x:c r="AA23" s="2"/>
      <x:c r="AB23" s="2"/>
      <x:c r="AC23" s="2"/>
      <x:c r="AD23" s="2"/>
      <x:c r="AE23" s="2"/>
    </x:row>
    <x:row r="24">
      <x:c r="B24" s="59" t="str">
        <x:v>SCA-17</x:v>
      </x:c>
      <x:c r="C24" s="59" t="str">
        <x:v>Harris County, TX</x:v>
      </x:c>
      <x:c r="D24" s="60" t="n">
        <x:v>12843509</x:v>
      </x:c>
      <x:c r="E24" s="77" t="n">
        <x:v>0.03723083302054257</x:v>
      </x:c>
      <x:c r="F24" s="59" t="str">
        <x:v>YES</x:v>
      </x:c>
      <x:c r="G24" s="59" t="str">
        <x:v>NO</x:v>
      </x:c>
      <x:c r="H24" s="78" t="n">
        <x:v>92.40079162099303</x:v>
      </x:c>
      <x:c r="I24" s="64" t="n">
        <x:f>Assumptions!$C$11</x:f>
        <x:v>1</x:v>
      </x:c>
      <x:c r="J24" s="79" t="n">
        <x:f>D24/SUM($D$8:$D$39)*(Assumptions!$C$9-Assumptions!$C$10*Assumptions!$C$11)</x:f>
        <x:v>1.489233320821703</x:v>
      </x:c>
      <x:c r="K24" s="79" t="n">
        <x:f>INT(J24)</x:f>
        <x:v>1</x:v>
      </x:c>
      <x:c r="L24" s="79" t="n">
        <x:f>J24-K24</x:f>
        <x:v>0.489233320821703</x:v>
      </x:c>
      <x:c r="M24" s="64" t="n">
        <x:f>COUNTIFS($L$8:$L$39,"&gt;"&amp;L24)+COUNTIFS($L$8:L24,L24)</x:f>
        <x:v>16</x:v>
      </x:c>
      <x:c r="N24" s="64" t="n">
        <x:f>K24+IF(M24&lt;=(Assumptions!$C$9-Assumptions!$C$10*Assumptions!$C$11-SUM($K$8:$K$39)),1,0)</x:f>
        <x:v>2</x:v>
      </x:c>
      <x:c r="O24" s="64" t="n">
        <x:f>I24+N24</x:f>
        <x:v>3</x:v>
      </x:c>
      <x:c r="P24" s="64" t="str">
        <x:f>IF(G24="YES","C1 ISLAND / TERRITORIAL",IF(F24="NO","C2 INLAND HARD-ACCESS",IF(OR(D24&gt;=15000000,H24&gt;=95),"C3 DENSE / COMPOUND",IF(H24&gt;=90,"C4 MULTIMODAL HIGH-EXPOSURE","C5 REGIONAL MULTIMODAL"))))</x:f>
        <x:v>C4 MULTIMODAL HIGH-EXPOSURE</x:v>
      </x:c>
      <x:c r="Q24" s="64" t="str">
        <x:f>INDEX(Assumptions!$H$8:$H$12,MATCH(P24,Assumptions!$G$8:$G$12,0))</x:f>
        <x:v>T3</x:v>
      </x:c>
      <x:c r="R24" s="64" t="n">
        <x:f>INDEX('Topology Library'!$D$8:$D$14,MATCH(Q24,'Topology Library'!$B$8:$B$14,0))</x:f>
        <x:v>9</x:v>
      </x:c>
      <x:c r="S24" s="64" t="n">
        <x:f>INDEX('Topology Library'!$F$8:$F$14,MATCH(Q24,'Topology Library'!$B$8:$B$14,0))</x:f>
        <x:v>3</x:v>
      </x:c>
      <x:c r="T24" s="64" t="n">
        <x:f>INDEX('Topology Library'!$H$8:$H$14,MATCH(Q24,'Topology Library'!$B$8:$B$14,0))</x:f>
        <x:v>2</x:v>
      </x:c>
      <x:c r="U24" s="64" t="n">
        <x:f>INDEX('Topology Library'!$J$8:$J$14,MATCH(Q24,'Topology Library'!$B$8:$B$14,0))</x:f>
        <x:v>15</x:v>
      </x:c>
      <x:c r="V24" s="63" t="n">
        <x:f>INDEX('Topology Library'!$AC$8:$AC$14,MATCH(Q24,'Topology Library'!$B$8:$B$14,0))</x:f>
        <x:v>39.174</x:v>
      </x:c>
      <x:c r="W24" s="64" t="n">
        <x:f>IF(S24=4,T24,0)</x:f>
        <x:v>0</x:v>
      </x:c>
      <x:c r="X24" s="80" t="str">
        <x:v>Pass 32 national receiving geography</x:v>
      </x:c>
      <x:c r="Y24" s="2"/>
      <x:c r="Z24" s="2"/>
      <x:c r="AA24" s="2"/>
      <x:c r="AB24" s="2"/>
      <x:c r="AC24" s="2"/>
      <x:c r="AD24" s="2"/>
      <x:c r="AE24" s="2"/>
    </x:row>
    <x:row r="25">
      <x:c r="B25" s="59" t="str">
        <x:v>SCA-18</x:v>
      </x:c>
      <x:c r="C25" s="59" t="str">
        <x:v>Hennepin County, MN</x:v>
      </x:c>
      <x:c r="D25" s="60" t="n">
        <x:v>11004680</x:v>
      </x:c>
      <x:c r="E25" s="77" t="n">
        <x:v>0.03190042561768006</x:v>
      </x:c>
      <x:c r="F25" s="59" t="str">
        <x:v>YES</x:v>
      </x:c>
      <x:c r="G25" s="59" t="str">
        <x:v>NO</x:v>
      </x:c>
      <x:c r="H25" s="78" t="n">
        <x:v>68.9572991879578</x:v>
      </x:c>
      <x:c r="I25" s="64" t="n">
        <x:f>Assumptions!$C$11</x:f>
        <x:v>1</x:v>
      </x:c>
      <x:c r="J25" s="79" t="n">
        <x:f>D25/SUM($D$8:$D$39)*(Assumptions!$C$9-Assumptions!$C$10*Assumptions!$C$11)</x:f>
        <x:v>1.2760170247072025</x:v>
      </x:c>
      <x:c r="K25" s="79" t="n">
        <x:f>INT(J25)</x:f>
        <x:v>1</x:v>
      </x:c>
      <x:c r="L25" s="79" t="n">
        <x:f>J25-K25</x:f>
        <x:v>0.27601702470720246</x:v>
      </x:c>
      <x:c r="M25" s="64" t="n">
        <x:f>COUNTIFS($L$8:$L$39,"&gt;"&amp;L25)+COUNTIFS($L$8:L25,L25)</x:f>
        <x:v>25</x:v>
      </x:c>
      <x:c r="N25" s="64" t="n">
        <x:f>K25+IF(M25&lt;=(Assumptions!$C$9-Assumptions!$C$10*Assumptions!$C$11-SUM($K$8:$K$39)),1,0)</x:f>
        <x:v>1</x:v>
      </x:c>
      <x:c r="O25" s="64" t="n">
        <x:f>I25+N25</x:f>
        <x:v>2</x:v>
      </x:c>
      <x:c r="P25" s="64" t="str">
        <x:f>IF(G25="YES","C1 ISLAND / TERRITORIAL",IF(F25="NO","C2 INLAND HARD-ACCESS",IF(OR(D25&gt;=15000000,H25&gt;=95),"C3 DENSE / COMPOUND",IF(H25&gt;=90,"C4 MULTIMODAL HIGH-EXPOSURE","C5 REGIONAL MULTIMODAL"))))</x:f>
        <x:v>C5 REGIONAL MULTIMODAL</x:v>
      </x:c>
      <x:c r="Q25" s="64" t="str">
        <x:f>INDEX(Assumptions!$H$8:$H$12,MATCH(P25,Assumptions!$G$8:$G$12,0))</x:f>
        <x:v>T4</x:v>
      </x:c>
      <x:c r="R25" s="64" t="n">
        <x:f>INDEX('Topology Library'!$D$8:$D$14,MATCH(Q25,'Topology Library'!$B$8:$B$14,0))</x:f>
        <x:v>6</x:v>
      </x:c>
      <x:c r="S25" s="64" t="n">
        <x:f>INDEX('Topology Library'!$F$8:$F$14,MATCH(Q25,'Topology Library'!$B$8:$B$14,0))</x:f>
        <x:v>3</x:v>
      </x:c>
      <x:c r="T25" s="64" t="n">
        <x:f>INDEX('Topology Library'!$H$8:$H$14,MATCH(Q25,'Topology Library'!$B$8:$B$14,0))</x:f>
        <x:v>4</x:v>
      </x:c>
      <x:c r="U25" s="64" t="n">
        <x:f>INDEX('Topology Library'!$J$8:$J$14,MATCH(Q25,'Topology Library'!$B$8:$B$14,0))</x:f>
        <x:v>18</x:v>
      </x:c>
      <x:c r="V25" s="63" t="n">
        <x:f>INDEX('Topology Library'!$AC$8:$AC$14,MATCH(Q25,'Topology Library'!$B$8:$B$14,0))</x:f>
        <x:v>48.827999999999996</x:v>
      </x:c>
      <x:c r="W25" s="64" t="n">
        <x:f>IF(S25=4,T25,0)</x:f>
        <x:v>0</x:v>
      </x:c>
      <x:c r="X25" s="80" t="str">
        <x:v>Pass 32 national receiving geography</x:v>
      </x:c>
      <x:c r="Y25" s="2"/>
      <x:c r="Z25" s="2"/>
      <x:c r="AA25" s="2"/>
      <x:c r="AB25" s="2"/>
      <x:c r="AC25" s="2"/>
      <x:c r="AD25" s="2"/>
      <x:c r="AE25" s="2"/>
    </x:row>
    <x:row r="26">
      <x:c r="B26" s="59" t="str">
        <x:v>SCA-19</x:v>
      </x:c>
      <x:c r="C26" s="59" t="str">
        <x:v>St. Louis County, MO</x:v>
      </x:c>
      <x:c r="D26" s="60" t="n">
        <x:v>6677653</x:v>
      </x:c>
      <x:c r="E26" s="77" t="n">
        <x:v>0.01935721645946798</x:v>
      </x:c>
      <x:c r="F26" s="59" t="str">
        <x:v>YES</x:v>
      </x:c>
      <x:c r="G26" s="59" t="str">
        <x:v>NO</x:v>
      </x:c>
      <x:c r="H26" s="78" t="n">
        <x:v>74.82833605200005</x:v>
      </x:c>
      <x:c r="I26" s="64" t="n">
        <x:f>Assumptions!$C$11</x:f>
        <x:v>1</x:v>
      </x:c>
      <x:c r="J26" s="79" t="n">
        <x:f>D26/SUM($D$8:$D$39)*(Assumptions!$C$9-Assumptions!$C$10*Assumptions!$C$11)</x:f>
        <x:v>0.7742886583787192</x:v>
      </x:c>
      <x:c r="K26" s="79" t="n">
        <x:f>INT(J26)</x:f>
        <x:v>0</x:v>
      </x:c>
      <x:c r="L26" s="79" t="n">
        <x:f>J26-K26</x:f>
        <x:v>0.7742886583787192</x:v>
      </x:c>
      <x:c r="M26" s="64" t="n">
        <x:f>COUNTIFS($L$8:$L$39,"&gt;"&amp;L26)+COUNTIFS($L$8:L26,L26)</x:f>
        <x:v>9</x:v>
      </x:c>
      <x:c r="N26" s="64" t="n">
        <x:f>K26+IF(M26&lt;=(Assumptions!$C$9-Assumptions!$C$10*Assumptions!$C$11-SUM($K$8:$K$39)),1,0)</x:f>
        <x:v>1</x:v>
      </x:c>
      <x:c r="O26" s="64" t="n">
        <x:f>I26+N26</x:f>
        <x:v>2</x:v>
      </x:c>
      <x:c r="P26" s="64" t="str">
        <x:f>IF(G26="YES","C1 ISLAND / TERRITORIAL",IF(F26="NO","C2 INLAND HARD-ACCESS",IF(OR(D26&gt;=15000000,H26&gt;=95),"C3 DENSE / COMPOUND",IF(H26&gt;=90,"C4 MULTIMODAL HIGH-EXPOSURE","C5 REGIONAL MULTIMODAL"))))</x:f>
        <x:v>C5 REGIONAL MULTIMODAL</x:v>
      </x:c>
      <x:c r="Q26" s="64" t="str">
        <x:f>INDEX(Assumptions!$H$8:$H$12,MATCH(P26,Assumptions!$G$8:$G$12,0))</x:f>
        <x:v>T4</x:v>
      </x:c>
      <x:c r="R26" s="64" t="n">
        <x:f>INDEX('Topology Library'!$D$8:$D$14,MATCH(Q26,'Topology Library'!$B$8:$B$14,0))</x:f>
        <x:v>6</x:v>
      </x:c>
      <x:c r="S26" s="64" t="n">
        <x:f>INDEX('Topology Library'!$F$8:$F$14,MATCH(Q26,'Topology Library'!$B$8:$B$14,0))</x:f>
        <x:v>3</x:v>
      </x:c>
      <x:c r="T26" s="64" t="n">
        <x:f>INDEX('Topology Library'!$H$8:$H$14,MATCH(Q26,'Topology Library'!$B$8:$B$14,0))</x:f>
        <x:v>4</x:v>
      </x:c>
      <x:c r="U26" s="64" t="n">
        <x:f>INDEX('Topology Library'!$J$8:$J$14,MATCH(Q26,'Topology Library'!$B$8:$B$14,0))</x:f>
        <x:v>18</x:v>
      </x:c>
      <x:c r="V26" s="63" t="n">
        <x:f>INDEX('Topology Library'!$AC$8:$AC$14,MATCH(Q26,'Topology Library'!$B$8:$B$14,0))</x:f>
        <x:v>48.827999999999996</x:v>
      </x:c>
      <x:c r="W26" s="64" t="n">
        <x:f>IF(S26=4,T26,0)</x:f>
        <x:v>0</x:v>
      </x:c>
      <x:c r="X26" s="80" t="str">
        <x:v>Pass 32 national receiving geography</x:v>
      </x:c>
      <x:c r="Y26" s="2"/>
      <x:c r="Z26" s="2"/>
      <x:c r="AA26" s="2"/>
      <x:c r="AB26" s="2"/>
      <x:c r="AC26" s="2"/>
      <x:c r="AD26" s="2"/>
      <x:c r="AE26" s="2"/>
    </x:row>
    <x:row r="27">
      <x:c r="B27" s="59" t="str">
        <x:v>SCA-20</x:v>
      </x:c>
      <x:c r="C27" s="59" t="str">
        <x:v>Shelby County, TN</x:v>
      </x:c>
      <x:c r="D27" s="60" t="n">
        <x:v>8490774</x:v>
      </x:c>
      <x:c r="E27" s="77" t="n">
        <x:v>0.02461310137355487</x:v>
      </x:c>
      <x:c r="F27" s="59" t="str">
        <x:v>YES</x:v>
      </x:c>
      <x:c r="G27" s="59" t="str">
        <x:v>NO</x:v>
      </x:c>
      <x:c r="H27" s="78" t="n">
        <x:v>75.84802817566946</x:v>
      </x:c>
      <x:c r="I27" s="64" t="n">
        <x:f>Assumptions!$C$11</x:f>
        <x:v>1</x:v>
      </x:c>
      <x:c r="J27" s="79" t="n">
        <x:f>D27/SUM($D$8:$D$39)*(Assumptions!$C$9-Assumptions!$C$10*Assumptions!$C$11)</x:f>
        <x:v>0.9845240549421947</x:v>
      </x:c>
      <x:c r="K27" s="79" t="n">
        <x:f>INT(J27)</x:f>
        <x:v>0</x:v>
      </x:c>
      <x:c r="L27" s="79" t="n">
        <x:f>J27-K27</x:f>
        <x:v>0.9845240549421947</x:v>
      </x:c>
      <x:c r="M27" s="64" t="n">
        <x:f>COUNTIFS($L$8:$L$39,"&gt;"&amp;L27)+COUNTIFS($L$8:L27,L27)</x:f>
        <x:v>1</x:v>
      </x:c>
      <x:c r="N27" s="64" t="n">
        <x:f>K27+IF(M27&lt;=(Assumptions!$C$9-Assumptions!$C$10*Assumptions!$C$11-SUM($K$8:$K$39)),1,0)</x:f>
        <x:v>1</x:v>
      </x:c>
      <x:c r="O27" s="64" t="n">
        <x:f>I27+N27</x:f>
        <x:v>2</x:v>
      </x:c>
      <x:c r="P27" s="64" t="str">
        <x:f>IF(G27="YES","C1 ISLAND / TERRITORIAL",IF(F27="NO","C2 INLAND HARD-ACCESS",IF(OR(D27&gt;=15000000,H27&gt;=95),"C3 DENSE / COMPOUND",IF(H27&gt;=90,"C4 MULTIMODAL HIGH-EXPOSURE","C5 REGIONAL MULTIMODAL"))))</x:f>
        <x:v>C5 REGIONAL MULTIMODAL</x:v>
      </x:c>
      <x:c r="Q27" s="64" t="str">
        <x:f>INDEX(Assumptions!$H$8:$H$12,MATCH(P27,Assumptions!$G$8:$G$12,0))</x:f>
        <x:v>T4</x:v>
      </x:c>
      <x:c r="R27" s="64" t="n">
        <x:f>INDEX('Topology Library'!$D$8:$D$14,MATCH(Q27,'Topology Library'!$B$8:$B$14,0))</x:f>
        <x:v>6</x:v>
      </x:c>
      <x:c r="S27" s="64" t="n">
        <x:f>INDEX('Topology Library'!$F$8:$F$14,MATCH(Q27,'Topology Library'!$B$8:$B$14,0))</x:f>
        <x:v>3</x:v>
      </x:c>
      <x:c r="T27" s="64" t="n">
        <x:f>INDEX('Topology Library'!$H$8:$H$14,MATCH(Q27,'Topology Library'!$B$8:$B$14,0))</x:f>
        <x:v>4</x:v>
      </x:c>
      <x:c r="U27" s="64" t="n">
        <x:f>INDEX('Topology Library'!$J$8:$J$14,MATCH(Q27,'Topology Library'!$B$8:$B$14,0))</x:f>
        <x:v>18</x:v>
      </x:c>
      <x:c r="V27" s="63" t="n">
        <x:f>INDEX('Topology Library'!$AC$8:$AC$14,MATCH(Q27,'Topology Library'!$B$8:$B$14,0))</x:f>
        <x:v>48.827999999999996</x:v>
      </x:c>
      <x:c r="W27" s="64" t="n">
        <x:f>IF(S27=4,T27,0)</x:f>
        <x:v>0</x:v>
      </x:c>
      <x:c r="X27" s="80" t="str">
        <x:v>Pass 32 national receiving geography</x:v>
      </x:c>
      <x:c r="Y27" s="2"/>
      <x:c r="Z27" s="2"/>
      <x:c r="AA27" s="2"/>
      <x:c r="AB27" s="2"/>
      <x:c r="AC27" s="2"/>
      <x:c r="AD27" s="2"/>
      <x:c r="AE27" s="2"/>
    </x:row>
    <x:row r="28">
      <x:c r="B28" s="59" t="str">
        <x:v>SCA-21</x:v>
      </x:c>
      <x:c r="C28" s="59" t="str">
        <x:v>Cook County, IL</x:v>
      </x:c>
      <x:c r="D28" s="60" t="n">
        <x:v>19593580</x:v>
      </x:c>
      <x:c r="E28" s="77" t="n">
        <x:v>0.05679797516820695</x:v>
      </x:c>
      <x:c r="F28" s="59" t="str">
        <x:v>YES</x:v>
      </x:c>
      <x:c r="G28" s="59" t="str">
        <x:v>NO</x:v>
      </x:c>
      <x:c r="H28" s="78" t="n">
        <x:v>86.33362811234163</x:v>
      </x:c>
      <x:c r="I28" s="64" t="n">
        <x:f>Assumptions!$C$11</x:f>
        <x:v>1</x:v>
      </x:c>
      <x:c r="J28" s="79" t="n">
        <x:f>D28/SUM($D$8:$D$39)*(Assumptions!$C$9-Assumptions!$C$10*Assumptions!$C$11)</x:f>
        <x:v>2.271919006728278</x:v>
      </x:c>
      <x:c r="K28" s="79" t="n">
        <x:f>INT(J28)</x:f>
        <x:v>2</x:v>
      </x:c>
      <x:c r="L28" s="79" t="n">
        <x:f>J28-K28</x:f>
        <x:v>0.27191900672827796</x:v>
      </x:c>
      <x:c r="M28" s="64" t="n">
        <x:f>COUNTIFS($L$8:$L$39,"&gt;"&amp;L28)+COUNTIFS($L$8:L28,L28)</x:f>
        <x:v>26</x:v>
      </x:c>
      <x:c r="N28" s="64" t="n">
        <x:f>K28+IF(M28&lt;=(Assumptions!$C$9-Assumptions!$C$10*Assumptions!$C$11-SUM($K$8:$K$39)),1,0)</x:f>
        <x:v>2</x:v>
      </x:c>
      <x:c r="O28" s="64" t="n">
        <x:f>I28+N28</x:f>
        <x:v>3</x:v>
      </x:c>
      <x:c r="P28" s="64" t="str">
        <x:f>IF(G28="YES","C1 ISLAND / TERRITORIAL",IF(F28="NO","C2 INLAND HARD-ACCESS",IF(OR(D28&gt;=15000000,H28&gt;=95),"C3 DENSE / COMPOUND",IF(H28&gt;=90,"C4 MULTIMODAL HIGH-EXPOSURE","C5 REGIONAL MULTIMODAL"))))</x:f>
        <x:v>C3 DENSE / COMPOUND</x:v>
      </x:c>
      <x:c r="Q28" s="64" t="str">
        <x:f>INDEX(Assumptions!$H$8:$H$12,MATCH(P28,Assumptions!$G$8:$G$12,0))</x:f>
        <x:v>T7</x:v>
      </x:c>
      <x:c r="R28" s="64" t="n">
        <x:f>INDEX('Topology Library'!$D$8:$D$14,MATCH(Q28,'Topology Library'!$B$8:$B$14,0))</x:f>
        <x:v>10</x:v>
      </x:c>
      <x:c r="S28" s="64" t="n">
        <x:f>INDEX('Topology Library'!$F$8:$F$14,MATCH(Q28,'Topology Library'!$B$8:$B$14,0))</x:f>
        <x:v>3</x:v>
      </x:c>
      <x:c r="T28" s="64" t="n">
        <x:f>INDEX('Topology Library'!$H$8:$H$14,MATCH(Q28,'Topology Library'!$B$8:$B$14,0))</x:f>
        <x:v>1</x:v>
      </x:c>
      <x:c r="U28" s="64" t="n">
        <x:f>INDEX('Topology Library'!$J$8:$J$14,MATCH(Q28,'Topology Library'!$B$8:$B$14,0))</x:f>
        <x:v>13</x:v>
      </x:c>
      <x:c r="V28" s="63" t="n">
        <x:f>INDEX('Topology Library'!$AC$8:$AC$14,MATCH(Q28,'Topology Library'!$B$8:$B$14,0))</x:f>
        <x:v>33.117000000000004</x:v>
      </x:c>
      <x:c r="W28" s="64" t="n">
        <x:f>IF(S28=4,T28,0)</x:f>
        <x:v>0</x:v>
      </x:c>
      <x:c r="X28" s="80" t="str">
        <x:v>Pass 32 national receiving geography</x:v>
      </x:c>
      <x:c r="Y28" s="2"/>
      <x:c r="Z28" s="2"/>
      <x:c r="AA28" s="2"/>
      <x:c r="AB28" s="2"/>
      <x:c r="AC28" s="2"/>
      <x:c r="AD28" s="2"/>
      <x:c r="AE28" s="2"/>
    </x:row>
    <x:row r="29">
      <x:c r="B29" s="59" t="str">
        <x:v>SCA-22</x:v>
      </x:c>
      <x:c r="C29" s="59" t="str">
        <x:v>Marion County, IN</x:v>
      </x:c>
      <x:c r="D29" s="60" t="n">
        <x:v>14732006</x:v>
      </x:c>
      <x:c r="E29" s="77" t="n">
        <x:v>0.042705218289147556</x:v>
      </x:c>
      <x:c r="F29" s="59" t="str">
        <x:v>YES</x:v>
      </x:c>
      <x:c r="G29" s="59" t="str">
        <x:v>NO</x:v>
      </x:c>
      <x:c r="H29" s="78" t="n">
        <x:v>74.21502781864899</x:v>
      </x:c>
      <x:c r="I29" s="64" t="n">
        <x:f>Assumptions!$C$11</x:f>
        <x:v>1</x:v>
      </x:c>
      <x:c r="J29" s="79" t="n">
        <x:f>D29/SUM($D$8:$D$39)*(Assumptions!$C$9-Assumptions!$C$10*Assumptions!$C$11)</x:f>
        <x:v>1.7082087315659022</x:v>
      </x:c>
      <x:c r="K29" s="79" t="n">
        <x:f>INT(J29)</x:f>
        <x:v>1</x:v>
      </x:c>
      <x:c r="L29" s="79" t="n">
        <x:f>J29-K29</x:f>
        <x:v>0.7082087315659022</x:v>
      </x:c>
      <x:c r="M29" s="64" t="n">
        <x:f>COUNTIFS($L$8:$L$39,"&gt;"&amp;L29)+COUNTIFS($L$8:L29,L29)</x:f>
        <x:v>11</x:v>
      </x:c>
      <x:c r="N29" s="64" t="n">
        <x:f>K29+IF(M29&lt;=(Assumptions!$C$9-Assumptions!$C$10*Assumptions!$C$11-SUM($K$8:$K$39)),1,0)</x:f>
        <x:v>2</x:v>
      </x:c>
      <x:c r="O29" s="64" t="n">
        <x:f>I29+N29</x:f>
        <x:v>3</x:v>
      </x:c>
      <x:c r="P29" s="64" t="str">
        <x:f>IF(G29="YES","C1 ISLAND / TERRITORIAL",IF(F29="NO","C2 INLAND HARD-ACCESS",IF(OR(D29&gt;=15000000,H29&gt;=95),"C3 DENSE / COMPOUND",IF(H29&gt;=90,"C4 MULTIMODAL HIGH-EXPOSURE","C5 REGIONAL MULTIMODAL"))))</x:f>
        <x:v>C5 REGIONAL MULTIMODAL</x:v>
      </x:c>
      <x:c r="Q29" s="64" t="str">
        <x:f>INDEX(Assumptions!$H$8:$H$12,MATCH(P29,Assumptions!$G$8:$G$12,0))</x:f>
        <x:v>T4</x:v>
      </x:c>
      <x:c r="R29" s="64" t="n">
        <x:f>INDEX('Topology Library'!$D$8:$D$14,MATCH(Q29,'Topology Library'!$B$8:$B$14,0))</x:f>
        <x:v>6</x:v>
      </x:c>
      <x:c r="S29" s="64" t="n">
        <x:f>INDEX('Topology Library'!$F$8:$F$14,MATCH(Q29,'Topology Library'!$B$8:$B$14,0))</x:f>
        <x:v>3</x:v>
      </x:c>
      <x:c r="T29" s="64" t="n">
        <x:f>INDEX('Topology Library'!$H$8:$H$14,MATCH(Q29,'Topology Library'!$B$8:$B$14,0))</x:f>
        <x:v>4</x:v>
      </x:c>
      <x:c r="U29" s="64" t="n">
        <x:f>INDEX('Topology Library'!$J$8:$J$14,MATCH(Q29,'Topology Library'!$B$8:$B$14,0))</x:f>
        <x:v>18</x:v>
      </x:c>
      <x:c r="V29" s="63" t="n">
        <x:f>INDEX('Topology Library'!$AC$8:$AC$14,MATCH(Q29,'Topology Library'!$B$8:$B$14,0))</x:f>
        <x:v>48.827999999999996</x:v>
      </x:c>
      <x:c r="W29" s="64" t="n">
        <x:f>IF(S29=4,T29,0)</x:f>
        <x:v>0</x:v>
      </x:c>
      <x:c r="X29" s="80" t="str">
        <x:v>Pass 32 national receiving geography</x:v>
      </x:c>
      <x:c r="Y29" s="2"/>
      <x:c r="Z29" s="2"/>
      <x:c r="AA29" s="2"/>
      <x:c r="AB29" s="2"/>
      <x:c r="AC29" s="2"/>
      <x:c r="AD29" s="2"/>
      <x:c r="AE29" s="2"/>
    </x:row>
    <x:row r="30">
      <x:c r="B30" s="59" t="str">
        <x:v>SCA-23</x:v>
      </x:c>
      <x:c r="C30" s="59" t="str">
        <x:v>Fulton County, GA</x:v>
      </x:c>
      <x:c r="D30" s="60" t="n">
        <x:v>20869310</x:v>
      </x:c>
      <x:c r="E30" s="77" t="n">
        <x:v>0.06049606815893844</x:v>
      </x:c>
      <x:c r="F30" s="59" t="str">
        <x:v>YES</x:v>
      </x:c>
      <x:c r="G30" s="59" t="str">
        <x:v>NO</x:v>
      </x:c>
      <x:c r="H30" s="78" t="n">
        <x:v>78.39653553270401</x:v>
      </x:c>
      <x:c r="I30" s="64" t="n">
        <x:f>Assumptions!$C$11</x:f>
        <x:v>1</x:v>
      </x:c>
      <x:c r="J30" s="79" t="n">
        <x:f>D30/SUM($D$8:$D$39)*(Assumptions!$C$9-Assumptions!$C$10*Assumptions!$C$11)</x:f>
        <x:v>2.4198427263575377</x:v>
      </x:c>
      <x:c r="K30" s="79" t="n">
        <x:f>INT(J30)</x:f>
        <x:v>2</x:v>
      </x:c>
      <x:c r="L30" s="79" t="n">
        <x:f>J30-K30</x:f>
        <x:v>0.4198427263575377</x:v>
      </x:c>
      <x:c r="M30" s="64" t="n">
        <x:f>COUNTIFS($L$8:$L$39,"&gt;"&amp;L30)+COUNTIFS($L$8:L30,L30)</x:f>
        <x:v>19</x:v>
      </x:c>
      <x:c r="N30" s="64" t="n">
        <x:f>K30+IF(M30&lt;=(Assumptions!$C$9-Assumptions!$C$10*Assumptions!$C$11-SUM($K$8:$K$39)),1,0)</x:f>
        <x:v>2</x:v>
      </x:c>
      <x:c r="O30" s="64" t="n">
        <x:f>I30+N30</x:f>
        <x:v>3</x:v>
      </x:c>
      <x:c r="P30" s="64" t="str">
        <x:f>IF(G30="YES","C1 ISLAND / TERRITORIAL",IF(F30="NO","C2 INLAND HARD-ACCESS",IF(OR(D30&gt;=15000000,H30&gt;=95),"C3 DENSE / COMPOUND",IF(H30&gt;=90,"C4 MULTIMODAL HIGH-EXPOSURE","C5 REGIONAL MULTIMODAL"))))</x:f>
        <x:v>C3 DENSE / COMPOUND</x:v>
      </x:c>
      <x:c r="Q30" s="64" t="str">
        <x:f>INDEX(Assumptions!$H$8:$H$12,MATCH(P30,Assumptions!$G$8:$G$12,0))</x:f>
        <x:v>T7</x:v>
      </x:c>
      <x:c r="R30" s="64" t="n">
        <x:f>INDEX('Topology Library'!$D$8:$D$14,MATCH(Q30,'Topology Library'!$B$8:$B$14,0))</x:f>
        <x:v>10</x:v>
      </x:c>
      <x:c r="S30" s="64" t="n">
        <x:f>INDEX('Topology Library'!$F$8:$F$14,MATCH(Q30,'Topology Library'!$B$8:$B$14,0))</x:f>
        <x:v>3</x:v>
      </x:c>
      <x:c r="T30" s="64" t="n">
        <x:f>INDEX('Topology Library'!$H$8:$H$14,MATCH(Q30,'Topology Library'!$B$8:$B$14,0))</x:f>
        <x:v>1</x:v>
      </x:c>
      <x:c r="U30" s="64" t="n">
        <x:f>INDEX('Topology Library'!$J$8:$J$14,MATCH(Q30,'Topology Library'!$B$8:$B$14,0))</x:f>
        <x:v>13</x:v>
      </x:c>
      <x:c r="V30" s="63" t="n">
        <x:f>INDEX('Topology Library'!$AC$8:$AC$14,MATCH(Q30,'Topology Library'!$B$8:$B$14,0))</x:f>
        <x:v>33.117000000000004</x:v>
      </x:c>
      <x:c r="W30" s="64" t="n">
        <x:f>IF(S30=4,T30,0)</x:f>
        <x:v>0</x:v>
      </x:c>
      <x:c r="X30" s="80" t="str">
        <x:v>Pass 32 national receiving geography</x:v>
      </x:c>
      <x:c r="Y30" s="2"/>
      <x:c r="Z30" s="2"/>
      <x:c r="AA30" s="2"/>
      <x:c r="AB30" s="2"/>
      <x:c r="AC30" s="2"/>
      <x:c r="AD30" s="2"/>
      <x:c r="AE30" s="2"/>
    </x:row>
    <x:row r="31">
      <x:c r="B31" s="59" t="str">
        <x:v>SCA-24</x:v>
      </x:c>
      <x:c r="C31" s="59" t="str">
        <x:v>Wayne County, MI</x:v>
      </x:c>
      <x:c r="D31" s="60" t="n">
        <x:v>11816161</x:v>
      </x:c>
      <x:c r="E31" s="77" t="n">
        <x:v>0.03425275110834954</x:v>
      </x:c>
      <x:c r="F31" s="59" t="str">
        <x:v>YES</x:v>
      </x:c>
      <x:c r="G31" s="59" t="str">
        <x:v>NO</x:v>
      </x:c>
      <x:c r="H31" s="78" t="n">
        <x:v>79.9772238468897</x:v>
      </x:c>
      <x:c r="I31" s="64" t="n">
        <x:f>Assumptions!$C$11</x:f>
        <x:v>1</x:v>
      </x:c>
      <x:c r="J31" s="79" t="n">
        <x:f>D31/SUM($D$8:$D$39)*(Assumptions!$C$9-Assumptions!$C$10*Assumptions!$C$11)</x:f>
        <x:v>1.3701100443339818</x:v>
      </x:c>
      <x:c r="K31" s="79" t="n">
        <x:f>INT(J31)</x:f>
        <x:v>1</x:v>
      </x:c>
      <x:c r="L31" s="79" t="n">
        <x:f>J31-K31</x:f>
        <x:v>0.37011004433398176</x:v>
      </x:c>
      <x:c r="M31" s="64" t="n">
        <x:f>COUNTIFS($L$8:$L$39,"&gt;"&amp;L31)+COUNTIFS($L$8:L31,L31)</x:f>
        <x:v>22</x:v>
      </x:c>
      <x:c r="N31" s="64" t="n">
        <x:f>K31+IF(M31&lt;=(Assumptions!$C$9-Assumptions!$C$10*Assumptions!$C$11-SUM($K$8:$K$39)),1,0)</x:f>
        <x:v>1</x:v>
      </x:c>
      <x:c r="O31" s="64" t="n">
        <x:f>I31+N31</x:f>
        <x:v>2</x:v>
      </x:c>
      <x:c r="P31" s="64" t="str">
        <x:f>IF(G31="YES","C1 ISLAND / TERRITORIAL",IF(F31="NO","C2 INLAND HARD-ACCESS",IF(OR(D31&gt;=15000000,H31&gt;=95),"C3 DENSE / COMPOUND",IF(H31&gt;=90,"C4 MULTIMODAL HIGH-EXPOSURE","C5 REGIONAL MULTIMODAL"))))</x:f>
        <x:v>C5 REGIONAL MULTIMODAL</x:v>
      </x:c>
      <x:c r="Q31" s="64" t="str">
        <x:f>INDEX(Assumptions!$H$8:$H$12,MATCH(P31,Assumptions!$G$8:$G$12,0))</x:f>
        <x:v>T4</x:v>
      </x:c>
      <x:c r="R31" s="64" t="n">
        <x:f>INDEX('Topology Library'!$D$8:$D$14,MATCH(Q31,'Topology Library'!$B$8:$B$14,0))</x:f>
        <x:v>6</x:v>
      </x:c>
      <x:c r="S31" s="64" t="n">
        <x:f>INDEX('Topology Library'!$F$8:$F$14,MATCH(Q31,'Topology Library'!$B$8:$B$14,0))</x:f>
        <x:v>3</x:v>
      </x:c>
      <x:c r="T31" s="64" t="n">
        <x:f>INDEX('Topology Library'!$H$8:$H$14,MATCH(Q31,'Topology Library'!$B$8:$B$14,0))</x:f>
        <x:v>4</x:v>
      </x:c>
      <x:c r="U31" s="64" t="n">
        <x:f>INDEX('Topology Library'!$J$8:$J$14,MATCH(Q31,'Topology Library'!$B$8:$B$14,0))</x:f>
        <x:v>18</x:v>
      </x:c>
      <x:c r="V31" s="63" t="n">
        <x:f>INDEX('Topology Library'!$AC$8:$AC$14,MATCH(Q31,'Topology Library'!$B$8:$B$14,0))</x:f>
        <x:v>48.827999999999996</x:v>
      </x:c>
      <x:c r="W31" s="64" t="n">
        <x:f>IF(S31=4,T31,0)</x:f>
        <x:v>0</x:v>
      </x:c>
      <x:c r="X31" s="80" t="str">
        <x:v>Pass 32 national receiving geography</x:v>
      </x:c>
      <x:c r="Y31" s="2"/>
      <x:c r="Z31" s="2"/>
      <x:c r="AA31" s="2"/>
      <x:c r="AB31" s="2"/>
      <x:c r="AC31" s="2"/>
      <x:c r="AD31" s="2"/>
      <x:c r="AE31" s="2"/>
    </x:row>
    <x:row r="32">
      <x:c r="B32" s="59" t="str">
        <x:v>SCA-25</x:v>
      </x:c>
      <x:c r="C32" s="59" t="str">
        <x:v>Duval County, FL</x:v>
      </x:c>
      <x:c r="D32" s="60" t="n">
        <x:v>6408394</x:v>
      </x:c>
      <x:c r="E32" s="77" t="n">
        <x:v>0.018576687020957192</x:v>
      </x:c>
      <x:c r="F32" s="59" t="str">
        <x:v>YES</x:v>
      </x:c>
      <x:c r="G32" s="59" t="str">
        <x:v>NO</x:v>
      </x:c>
      <x:c r="H32" s="78" t="n">
        <x:v>81.74604489256303</x:v>
      </x:c>
      <x:c r="I32" s="64" t="n">
        <x:f>Assumptions!$C$11</x:f>
        <x:v>1</x:v>
      </x:c>
      <x:c r="J32" s="79" t="n">
        <x:f>D32/SUM($D$8:$D$39)*(Assumptions!$C$9-Assumptions!$C$10*Assumptions!$C$11)</x:f>
        <x:v>0.7430674808382877</x:v>
      </x:c>
      <x:c r="K32" s="79" t="n">
        <x:f>INT(J32)</x:f>
        <x:v>0</x:v>
      </x:c>
      <x:c r="L32" s="79" t="n">
        <x:f>J32-K32</x:f>
        <x:v>0.7430674808382877</x:v>
      </x:c>
      <x:c r="M32" s="64" t="n">
        <x:f>COUNTIFS($L$8:$L$39,"&gt;"&amp;L32)+COUNTIFS($L$8:L32,L32)</x:f>
        <x:v>10</x:v>
      </x:c>
      <x:c r="N32" s="64" t="n">
        <x:f>K32+IF(M32&lt;=(Assumptions!$C$9-Assumptions!$C$10*Assumptions!$C$11-SUM($K$8:$K$39)),1,0)</x:f>
        <x:v>1</x:v>
      </x:c>
      <x:c r="O32" s="64" t="n">
        <x:f>I32+N32</x:f>
        <x:v>2</x:v>
      </x:c>
      <x:c r="P32" s="64" t="str">
        <x:f>IF(G32="YES","C1 ISLAND / TERRITORIAL",IF(F32="NO","C2 INLAND HARD-ACCESS",IF(OR(D32&gt;=15000000,H32&gt;=95),"C3 DENSE / COMPOUND",IF(H32&gt;=90,"C4 MULTIMODAL HIGH-EXPOSURE","C5 REGIONAL MULTIMODAL"))))</x:f>
        <x:v>C5 REGIONAL MULTIMODAL</x:v>
      </x:c>
      <x:c r="Q32" s="64" t="str">
        <x:f>INDEX(Assumptions!$H$8:$H$12,MATCH(P32,Assumptions!$G$8:$G$12,0))</x:f>
        <x:v>T4</x:v>
      </x:c>
      <x:c r="R32" s="64" t="n">
        <x:f>INDEX('Topology Library'!$D$8:$D$14,MATCH(Q32,'Topology Library'!$B$8:$B$14,0))</x:f>
        <x:v>6</x:v>
      </x:c>
      <x:c r="S32" s="64" t="n">
        <x:f>INDEX('Topology Library'!$F$8:$F$14,MATCH(Q32,'Topology Library'!$B$8:$B$14,0))</x:f>
        <x:v>3</x:v>
      </x:c>
      <x:c r="T32" s="64" t="n">
        <x:f>INDEX('Topology Library'!$H$8:$H$14,MATCH(Q32,'Topology Library'!$B$8:$B$14,0))</x:f>
        <x:v>4</x:v>
      </x:c>
      <x:c r="U32" s="64" t="n">
        <x:f>INDEX('Topology Library'!$J$8:$J$14,MATCH(Q32,'Topology Library'!$B$8:$B$14,0))</x:f>
        <x:v>18</x:v>
      </x:c>
      <x:c r="V32" s="63" t="n">
        <x:f>INDEX('Topology Library'!$AC$8:$AC$14,MATCH(Q32,'Topology Library'!$B$8:$B$14,0))</x:f>
        <x:v>48.827999999999996</x:v>
      </x:c>
      <x:c r="W32" s="64" t="n">
        <x:f>IF(S32=4,T32,0)</x:f>
        <x:v>0</x:v>
      </x:c>
      <x:c r="X32" s="80" t="str">
        <x:v>Pass 32 national receiving geography</x:v>
      </x:c>
      <x:c r="Y32" s="2"/>
      <x:c r="Z32" s="2"/>
      <x:c r="AA32" s="2"/>
      <x:c r="AB32" s="2"/>
      <x:c r="AC32" s="2"/>
      <x:c r="AD32" s="2"/>
      <x:c r="AE32" s="2"/>
    </x:row>
    <x:row r="33">
      <x:c r="B33" s="59" t="str">
        <x:v>SCA-26</x:v>
      </x:c>
      <x:c r="C33" s="59" t="str">
        <x:v>Hillsborough County, FL</x:v>
      </x:c>
      <x:c r="D33" s="60" t="n">
        <x:v>10737083</x:v>
      </x:c>
      <x:c r="E33" s="77" t="n">
        <x:v>0.031124713993715136</x:v>
      </x:c>
      <x:c r="F33" s="59" t="str">
        <x:v>YES</x:v>
      </x:c>
      <x:c r="G33" s="59" t="str">
        <x:v>NO</x:v>
      </x:c>
      <x:c r="H33" s="78" t="n">
        <x:v>96.22497357893404</x:v>
      </x:c>
      <x:c r="I33" s="64" t="n">
        <x:f>Assumptions!$C$11</x:f>
        <x:v>1</x:v>
      </x:c>
      <x:c r="J33" s="79" t="n">
        <x:f>D33/SUM($D$8:$D$39)*(Assumptions!$C$9-Assumptions!$C$10*Assumptions!$C$11)</x:f>
        <x:v>1.2449885597486055</x:v>
      </x:c>
      <x:c r="K33" s="79" t="n">
        <x:f>INT(J33)</x:f>
        <x:v>1</x:v>
      </x:c>
      <x:c r="L33" s="79" t="n">
        <x:f>J33-K33</x:f>
        <x:v>0.24498855974860545</x:v>
      </x:c>
      <x:c r="M33" s="64" t="n">
        <x:f>COUNTIFS($L$8:$L$39,"&gt;"&amp;L33)+COUNTIFS($L$8:L33,L33)</x:f>
        <x:v>28</x:v>
      </x:c>
      <x:c r="N33" s="64" t="n">
        <x:f>K33+IF(M33&lt;=(Assumptions!$C$9-Assumptions!$C$10*Assumptions!$C$11-SUM($K$8:$K$39)),1,0)</x:f>
        <x:v>1</x:v>
      </x:c>
      <x:c r="O33" s="64" t="n">
        <x:f>I33+N33</x:f>
        <x:v>2</x:v>
      </x:c>
      <x:c r="P33" s="64" t="str">
        <x:f>IF(G33="YES","C1 ISLAND / TERRITORIAL",IF(F33="NO","C2 INLAND HARD-ACCESS",IF(OR(D33&gt;=15000000,H33&gt;=95),"C3 DENSE / COMPOUND",IF(H33&gt;=90,"C4 MULTIMODAL HIGH-EXPOSURE","C5 REGIONAL MULTIMODAL"))))</x:f>
        <x:v>C3 DENSE / COMPOUND</x:v>
      </x:c>
      <x:c r="Q33" s="64" t="str">
        <x:f>INDEX(Assumptions!$H$8:$H$12,MATCH(P33,Assumptions!$G$8:$G$12,0))</x:f>
        <x:v>T7</x:v>
      </x:c>
      <x:c r="R33" s="64" t="n">
        <x:f>INDEX('Topology Library'!$D$8:$D$14,MATCH(Q33,'Topology Library'!$B$8:$B$14,0))</x:f>
        <x:v>10</x:v>
      </x:c>
      <x:c r="S33" s="64" t="n">
        <x:f>INDEX('Topology Library'!$F$8:$F$14,MATCH(Q33,'Topology Library'!$B$8:$B$14,0))</x:f>
        <x:v>3</x:v>
      </x:c>
      <x:c r="T33" s="64" t="n">
        <x:f>INDEX('Topology Library'!$H$8:$H$14,MATCH(Q33,'Topology Library'!$B$8:$B$14,0))</x:f>
        <x:v>1</x:v>
      </x:c>
      <x:c r="U33" s="64" t="n">
        <x:f>INDEX('Topology Library'!$J$8:$J$14,MATCH(Q33,'Topology Library'!$B$8:$B$14,0))</x:f>
        <x:v>13</x:v>
      </x:c>
      <x:c r="V33" s="63" t="n">
        <x:f>INDEX('Topology Library'!$AC$8:$AC$14,MATCH(Q33,'Topology Library'!$B$8:$B$14,0))</x:f>
        <x:v>33.117000000000004</x:v>
      </x:c>
      <x:c r="W33" s="64" t="n">
        <x:f>IF(S33=4,T33,0)</x:f>
        <x:v>0</x:v>
      </x:c>
      <x:c r="X33" s="80" t="str">
        <x:v>Pass 32 national receiving geography</x:v>
      </x:c>
      <x:c r="Y33" s="2"/>
      <x:c r="Z33" s="2"/>
      <x:c r="AA33" s="2"/>
      <x:c r="AB33" s="2"/>
      <x:c r="AC33" s="2"/>
      <x:c r="AD33" s="2"/>
      <x:c r="AE33" s="2"/>
    </x:row>
    <x:row r="34">
      <x:c r="B34" s="59" t="str">
        <x:v>SCA-27</x:v>
      </x:c>
      <x:c r="C34" s="59" t="str">
        <x:v>Miami-Dade County, FL</x:v>
      </x:c>
      <x:c r="D34" s="60" t="n">
        <x:v>7505606</x:v>
      </x:c>
      <x:c r="E34" s="77" t="n">
        <x:v>0.021757291072399484</x:v>
      </x:c>
      <x:c r="F34" s="59" t="str">
        <x:v>YES</x:v>
      </x:c>
      <x:c r="G34" s="59" t="str">
        <x:v>NO</x:v>
      </x:c>
      <x:c r="H34" s="78" t="n">
        <x:v>98.91566635990971</x:v>
      </x:c>
      <x:c r="I34" s="64" t="n">
        <x:f>Assumptions!$C$11</x:f>
        <x:v>1</x:v>
      </x:c>
      <x:c r="J34" s="79" t="n">
        <x:f>D34/SUM($D$8:$D$39)*(Assumptions!$C$9-Assumptions!$C$10*Assumptions!$C$11)</x:f>
        <x:v>0.8702916428959794</x:v>
      </x:c>
      <x:c r="K34" s="79" t="n">
        <x:f>INT(J34)</x:f>
        <x:v>0</x:v>
      </x:c>
      <x:c r="L34" s="79" t="n">
        <x:f>J34-K34</x:f>
        <x:v>0.8702916428959794</x:v>
      </x:c>
      <x:c r="M34" s="64" t="n">
        <x:f>COUNTIFS($L$8:$L$39,"&gt;"&amp;L34)+COUNTIFS($L$8:L34,L34)</x:f>
        <x:v>3</x:v>
      </x:c>
      <x:c r="N34" s="64" t="n">
        <x:f>K34+IF(M34&lt;=(Assumptions!$C$9-Assumptions!$C$10*Assumptions!$C$11-SUM($K$8:$K$39)),1,0)</x:f>
        <x:v>1</x:v>
      </x:c>
      <x:c r="O34" s="64" t="n">
        <x:f>I34+N34</x:f>
        <x:v>2</x:v>
      </x:c>
      <x:c r="P34" s="64" t="str">
        <x:f>IF(G34="YES","C1 ISLAND / TERRITORIAL",IF(F34="NO","C2 INLAND HARD-ACCESS",IF(OR(D34&gt;=15000000,H34&gt;=95),"C3 DENSE / COMPOUND",IF(H34&gt;=90,"C4 MULTIMODAL HIGH-EXPOSURE","C5 REGIONAL MULTIMODAL"))))</x:f>
        <x:v>C3 DENSE / COMPOUND</x:v>
      </x:c>
      <x:c r="Q34" s="64" t="str">
        <x:f>INDEX(Assumptions!$H$8:$H$12,MATCH(P34,Assumptions!$G$8:$G$12,0))</x:f>
        <x:v>T7</x:v>
      </x:c>
      <x:c r="R34" s="64" t="n">
        <x:f>INDEX('Topology Library'!$D$8:$D$14,MATCH(Q34,'Topology Library'!$B$8:$B$14,0))</x:f>
        <x:v>10</x:v>
      </x:c>
      <x:c r="S34" s="64" t="n">
        <x:f>INDEX('Topology Library'!$F$8:$F$14,MATCH(Q34,'Topology Library'!$B$8:$B$14,0))</x:f>
        <x:v>3</x:v>
      </x:c>
      <x:c r="T34" s="64" t="n">
        <x:f>INDEX('Topology Library'!$H$8:$H$14,MATCH(Q34,'Topology Library'!$B$8:$B$14,0))</x:f>
        <x:v>1</x:v>
      </x:c>
      <x:c r="U34" s="64" t="n">
        <x:f>INDEX('Topology Library'!$J$8:$J$14,MATCH(Q34,'Topology Library'!$B$8:$B$14,0))</x:f>
        <x:v>13</x:v>
      </x:c>
      <x:c r="V34" s="63" t="n">
        <x:f>INDEX('Topology Library'!$AC$8:$AC$14,MATCH(Q34,'Topology Library'!$B$8:$B$14,0))</x:f>
        <x:v>33.117000000000004</x:v>
      </x:c>
      <x:c r="W34" s="64" t="n">
        <x:f>IF(S34=4,T34,0)</x:f>
        <x:v>0</x:v>
      </x:c>
      <x:c r="X34" s="80" t="str">
        <x:v>Pass 32 national receiving geography</x:v>
      </x:c>
      <x:c r="Y34" s="2"/>
      <x:c r="Z34" s="2"/>
      <x:c r="AA34" s="2"/>
      <x:c r="AB34" s="2"/>
      <x:c r="AC34" s="2"/>
      <x:c r="AD34" s="2"/>
      <x:c r="AE34" s="2"/>
    </x:row>
    <x:row r="35">
      <x:c r="B35" s="59" t="str">
        <x:v>SCA-28</x:v>
      </x:c>
      <x:c r="C35" s="59" t="str">
        <x:v>Franklin County, OH</x:v>
      </x:c>
      <x:c r="D35" s="60" t="n">
        <x:v>21305157</x:v>
      </x:c>
      <x:c r="E35" s="77" t="n">
        <x:v>0.06175950378852412</x:v>
      </x:c>
      <x:c r="F35" s="59" t="str">
        <x:v>YES</x:v>
      </x:c>
      <x:c r="G35" s="59" t="str">
        <x:v>NO</x:v>
      </x:c>
      <x:c r="H35" s="78" t="n">
        <x:v>80.17296349403453</x:v>
      </x:c>
      <x:c r="I35" s="64" t="n">
        <x:f>Assumptions!$C$11</x:f>
        <x:v>1</x:v>
      </x:c>
      <x:c r="J35" s="79" t="n">
        <x:f>D35/SUM($D$8:$D$39)*(Assumptions!$C$9-Assumptions!$C$10*Assumptions!$C$11)</x:f>
        <x:v>2.4703801515409647</x:v>
      </x:c>
      <x:c r="K35" s="79" t="n">
        <x:f>INT(J35)</x:f>
        <x:v>2</x:v>
      </x:c>
      <x:c r="L35" s="79" t="n">
        <x:f>J35-K35</x:f>
        <x:v>0.4703801515409647</x:v>
      </x:c>
      <x:c r="M35" s="64" t="n">
        <x:f>COUNTIFS($L$8:$L$39,"&gt;"&amp;L35)+COUNTIFS($L$8:L35,L35)</x:f>
        <x:v>18</x:v>
      </x:c>
      <x:c r="N35" s="64" t="n">
        <x:f>K35+IF(M35&lt;=(Assumptions!$C$9-Assumptions!$C$10*Assumptions!$C$11-SUM($K$8:$K$39)),1,0)</x:f>
        <x:v>2</x:v>
      </x:c>
      <x:c r="O35" s="64" t="n">
        <x:f>I35+N35</x:f>
        <x:v>3</x:v>
      </x:c>
      <x:c r="P35" s="64" t="str">
        <x:f>IF(G35="YES","C1 ISLAND / TERRITORIAL",IF(F35="NO","C2 INLAND HARD-ACCESS",IF(OR(D35&gt;=15000000,H35&gt;=95),"C3 DENSE / COMPOUND",IF(H35&gt;=90,"C4 MULTIMODAL HIGH-EXPOSURE","C5 REGIONAL MULTIMODAL"))))</x:f>
        <x:v>C3 DENSE / COMPOUND</x:v>
      </x:c>
      <x:c r="Q35" s="64" t="str">
        <x:f>INDEX(Assumptions!$H$8:$H$12,MATCH(P35,Assumptions!$G$8:$G$12,0))</x:f>
        <x:v>T7</x:v>
      </x:c>
      <x:c r="R35" s="64" t="n">
        <x:f>INDEX('Topology Library'!$D$8:$D$14,MATCH(Q35,'Topology Library'!$B$8:$B$14,0))</x:f>
        <x:v>10</x:v>
      </x:c>
      <x:c r="S35" s="64" t="n">
        <x:f>INDEX('Topology Library'!$F$8:$F$14,MATCH(Q35,'Topology Library'!$B$8:$B$14,0))</x:f>
        <x:v>3</x:v>
      </x:c>
      <x:c r="T35" s="64" t="n">
        <x:f>INDEX('Topology Library'!$H$8:$H$14,MATCH(Q35,'Topology Library'!$B$8:$B$14,0))</x:f>
        <x:v>1</x:v>
      </x:c>
      <x:c r="U35" s="64" t="n">
        <x:f>INDEX('Topology Library'!$J$8:$J$14,MATCH(Q35,'Topology Library'!$B$8:$B$14,0))</x:f>
        <x:v>13</x:v>
      </x:c>
      <x:c r="V35" s="63" t="n">
        <x:f>INDEX('Topology Library'!$AC$8:$AC$14,MATCH(Q35,'Topology Library'!$B$8:$B$14,0))</x:f>
        <x:v>33.117000000000004</x:v>
      </x:c>
      <x:c r="W35" s="64" t="n">
        <x:f>IF(S35=4,T35,0)</x:f>
        <x:v>0</x:v>
      </x:c>
      <x:c r="X35" s="80" t="str">
        <x:v>Pass 32 national receiving geography</x:v>
      </x:c>
      <x:c r="Y35" s="2"/>
      <x:c r="Z35" s="2"/>
      <x:c r="AA35" s="2"/>
      <x:c r="AB35" s="2"/>
      <x:c r="AC35" s="2"/>
      <x:c r="AD35" s="2"/>
      <x:c r="AE35" s="2"/>
    </x:row>
    <x:row r="36">
      <x:c r="B36" s="59" t="str">
        <x:v>SCA-29</x:v>
      </x:c>
      <x:c r="C36" s="59" t="str">
        <x:v>Wake County, NC</x:v>
      </x:c>
      <x:c r="D36" s="60" t="n">
        <x:v>19271685</x:v>
      </x:c>
      <x:c r="E36" s="77" t="n">
        <x:v>0.055864864209578154</x:v>
      </x:c>
      <x:c r="F36" s="59" t="str">
        <x:v>YES</x:v>
      </x:c>
      <x:c r="G36" s="59" t="str">
        <x:v>NO</x:v>
      </x:c>
      <x:c r="H36" s="78" t="n">
        <x:v>76.07301143076826</x:v>
      </x:c>
      <x:c r="I36" s="64" t="n">
        <x:f>Assumptions!$C$11</x:f>
        <x:v>1</x:v>
      </x:c>
      <x:c r="J36" s="79" t="n">
        <x:f>D36/SUM($D$8:$D$39)*(Assumptions!$C$9-Assumptions!$C$10*Assumptions!$C$11)</x:f>
        <x:v>2.2345945683831263</x:v>
      </x:c>
      <x:c r="K36" s="79" t="n">
        <x:f>INT(J36)</x:f>
        <x:v>2</x:v>
      </x:c>
      <x:c r="L36" s="79" t="n">
        <x:f>J36-K36</x:f>
        <x:v>0.2345945683831263</x:v>
      </x:c>
      <x:c r="M36" s="64" t="n">
        <x:f>COUNTIFS($L$8:$L$39,"&gt;"&amp;L36)+COUNTIFS($L$8:L36,L36)</x:f>
        <x:v>29</x:v>
      </x:c>
      <x:c r="N36" s="64" t="n">
        <x:f>K36+IF(M36&lt;=(Assumptions!$C$9-Assumptions!$C$10*Assumptions!$C$11-SUM($K$8:$K$39)),1,0)</x:f>
        <x:v>2</x:v>
      </x:c>
      <x:c r="O36" s="64" t="n">
        <x:f>I36+N36</x:f>
        <x:v>3</x:v>
      </x:c>
      <x:c r="P36" s="64" t="str">
        <x:f>IF(G36="YES","C1 ISLAND / TERRITORIAL",IF(F36="NO","C2 INLAND HARD-ACCESS",IF(OR(D36&gt;=15000000,H36&gt;=95),"C3 DENSE / COMPOUND",IF(H36&gt;=90,"C4 MULTIMODAL HIGH-EXPOSURE","C5 REGIONAL MULTIMODAL"))))</x:f>
        <x:v>C3 DENSE / COMPOUND</x:v>
      </x:c>
      <x:c r="Q36" s="64" t="str">
        <x:f>INDEX(Assumptions!$H$8:$H$12,MATCH(P36,Assumptions!$G$8:$G$12,0))</x:f>
        <x:v>T7</x:v>
      </x:c>
      <x:c r="R36" s="64" t="n">
        <x:f>INDEX('Topology Library'!$D$8:$D$14,MATCH(Q36,'Topology Library'!$B$8:$B$14,0))</x:f>
        <x:v>10</x:v>
      </x:c>
      <x:c r="S36" s="64" t="n">
        <x:f>INDEX('Topology Library'!$F$8:$F$14,MATCH(Q36,'Topology Library'!$B$8:$B$14,0))</x:f>
        <x:v>3</x:v>
      </x:c>
      <x:c r="T36" s="64" t="n">
        <x:f>INDEX('Topology Library'!$H$8:$H$14,MATCH(Q36,'Topology Library'!$B$8:$B$14,0))</x:f>
        <x:v>1</x:v>
      </x:c>
      <x:c r="U36" s="64" t="n">
        <x:f>INDEX('Topology Library'!$J$8:$J$14,MATCH(Q36,'Topology Library'!$B$8:$B$14,0))</x:f>
        <x:v>13</x:v>
      </x:c>
      <x:c r="V36" s="63" t="n">
        <x:f>INDEX('Topology Library'!$AC$8:$AC$14,MATCH(Q36,'Topology Library'!$B$8:$B$14,0))</x:f>
        <x:v>33.117000000000004</x:v>
      </x:c>
      <x:c r="W36" s="64" t="n">
        <x:f>IF(S36=4,T36,0)</x:f>
        <x:v>0</x:v>
      </x:c>
      <x:c r="X36" s="80" t="str">
        <x:v>Pass 32 national receiving geography</x:v>
      </x:c>
      <x:c r="Y36" s="2"/>
      <x:c r="Z36" s="2"/>
      <x:c r="AA36" s="2"/>
      <x:c r="AB36" s="2"/>
      <x:c r="AC36" s="2"/>
      <x:c r="AD36" s="2"/>
      <x:c r="AE36" s="2"/>
    </x:row>
    <x:row r="37">
      <x:c r="B37" s="59" t="str">
        <x:v>SCA-30</x:v>
      </x:c>
      <x:c r="C37" s="59" t="str">
        <x:v>Kings County, NY</x:v>
      </x:c>
      <x:c r="D37" s="60" t="n">
        <x:v>41291847</x:v>
      </x:c>
      <x:c r="E37" s="77" t="n">
        <x:v>0.11969702834068101</x:v>
      </x:c>
      <x:c r="F37" s="59" t="str">
        <x:v>YES</x:v>
      </x:c>
      <x:c r="G37" s="59" t="str">
        <x:v>NO</x:v>
      </x:c>
      <x:c r="H37" s="78" t="n">
        <x:v>92.59682222725827</x:v>
      </x:c>
      <x:c r="I37" s="64" t="n">
        <x:f>Assumptions!$C$11</x:f>
        <x:v>1</x:v>
      </x:c>
      <x:c r="J37" s="79" t="n">
        <x:f>D37/SUM($D$8:$D$39)*(Assumptions!$C$9-Assumptions!$C$10*Assumptions!$C$11)</x:f>
        <x:v>4.78788113362724</x:v>
      </x:c>
      <x:c r="K37" s="79" t="n">
        <x:f>INT(J37)</x:f>
        <x:v>4</x:v>
      </x:c>
      <x:c r="L37" s="79" t="n">
        <x:f>J37-K37</x:f>
        <x:v>0.7878811336272404</x:v>
      </x:c>
      <x:c r="M37" s="64" t="n">
        <x:f>COUNTIFS($L$8:$L$39,"&gt;"&amp;L37)+COUNTIFS($L$8:L37,L37)</x:f>
        <x:v>7</x:v>
      </x:c>
      <x:c r="N37" s="64" t="n">
        <x:f>K37+IF(M37&lt;=(Assumptions!$C$9-Assumptions!$C$10*Assumptions!$C$11-SUM($K$8:$K$39)),1,0)</x:f>
        <x:v>5</x:v>
      </x:c>
      <x:c r="O37" s="64" t="n">
        <x:f>I37+N37</x:f>
        <x:v>6</x:v>
      </x:c>
      <x:c r="P37" s="64" t="str">
        <x:f>IF(G37="YES","C1 ISLAND / TERRITORIAL",IF(F37="NO","C2 INLAND HARD-ACCESS",IF(OR(D37&gt;=15000000,H37&gt;=95),"C3 DENSE / COMPOUND",IF(H37&gt;=90,"C4 MULTIMODAL HIGH-EXPOSURE","C5 REGIONAL MULTIMODAL"))))</x:f>
        <x:v>C3 DENSE / COMPOUND</x:v>
      </x:c>
      <x:c r="Q37" s="64" t="str">
        <x:f>INDEX(Assumptions!$H$8:$H$12,MATCH(P37,Assumptions!$G$8:$G$12,0))</x:f>
        <x:v>T7</x:v>
      </x:c>
      <x:c r="R37" s="64" t="n">
        <x:f>INDEX('Topology Library'!$D$8:$D$14,MATCH(Q37,'Topology Library'!$B$8:$B$14,0))</x:f>
        <x:v>10</x:v>
      </x:c>
      <x:c r="S37" s="64" t="n">
        <x:f>INDEX('Topology Library'!$F$8:$F$14,MATCH(Q37,'Topology Library'!$B$8:$B$14,0))</x:f>
        <x:v>3</x:v>
      </x:c>
      <x:c r="T37" s="64" t="n">
        <x:f>INDEX('Topology Library'!$H$8:$H$14,MATCH(Q37,'Topology Library'!$B$8:$B$14,0))</x:f>
        <x:v>1</x:v>
      </x:c>
      <x:c r="U37" s="64" t="n">
        <x:f>INDEX('Topology Library'!$J$8:$J$14,MATCH(Q37,'Topology Library'!$B$8:$B$14,0))</x:f>
        <x:v>13</x:v>
      </x:c>
      <x:c r="V37" s="63" t="n">
        <x:f>INDEX('Topology Library'!$AC$8:$AC$14,MATCH(Q37,'Topology Library'!$B$8:$B$14,0))</x:f>
        <x:v>33.117000000000004</x:v>
      </x:c>
      <x:c r="W37" s="64" t="n">
        <x:f>IF(S37=4,T37,0)</x:f>
        <x:v>0</x:v>
      </x:c>
      <x:c r="X37" s="80" t="str">
        <x:v>Pass 32 national receiving geography</x:v>
      </x:c>
      <x:c r="Y37" s="2"/>
      <x:c r="Z37" s="2"/>
      <x:c r="AA37" s="2"/>
      <x:c r="AB37" s="2"/>
      <x:c r="AC37" s="2"/>
      <x:c r="AD37" s="2"/>
      <x:c r="AE37" s="2"/>
    </x:row>
    <x:row r="38">
      <x:c r="B38" s="59" t="str">
        <x:v>SCA-31</x:v>
      </x:c>
      <x:c r="C38" s="59" t="str">
        <x:v>Middlesex County, MA</x:v>
      </x:c>
      <x:c r="D38" s="60" t="n">
        <x:v>14227128</x:v>
      </x:c>
      <x:c r="E38" s="77" t="n">
        <x:v>0.041241675225196305</x:v>
      </x:c>
      <x:c r="F38" s="59" t="str">
        <x:v>YES</x:v>
      </x:c>
      <x:c r="G38" s="59" t="str">
        <x:v>NO</x:v>
      </x:c>
      <x:c r="H38" s="78" t="n">
        <x:v>83.57202893168522</x:v>
      </x:c>
      <x:c r="I38" s="64" t="n">
        <x:f>Assumptions!$C$11</x:f>
        <x:v>1</x:v>
      </x:c>
      <x:c r="J38" s="79" t="n">
        <x:f>D38/SUM($D$8:$D$39)*(Assumptions!$C$9-Assumptions!$C$10*Assumptions!$C$11)</x:f>
        <x:v>1.6496670090078522</x:v>
      </x:c>
      <x:c r="K38" s="79" t="n">
        <x:f>INT(J38)</x:f>
        <x:v>1</x:v>
      </x:c>
      <x:c r="L38" s="79" t="n">
        <x:f>J38-K38</x:f>
        <x:v>0.6496670090078522</x:v>
      </x:c>
      <x:c r="M38" s="64" t="n">
        <x:f>COUNTIFS($L$8:$L$39,"&gt;"&amp;L38)+COUNTIFS($L$8:L38,L38)</x:f>
        <x:v>13</x:v>
      </x:c>
      <x:c r="N38" s="64" t="n">
        <x:f>K38+IF(M38&lt;=(Assumptions!$C$9-Assumptions!$C$10*Assumptions!$C$11-SUM($K$8:$K$39)),1,0)</x:f>
        <x:v>2</x:v>
      </x:c>
      <x:c r="O38" s="64" t="n">
        <x:f>I38+N38</x:f>
        <x:v>3</x:v>
      </x:c>
      <x:c r="P38" s="64" t="str">
        <x:f>IF(G38="YES","C1 ISLAND / TERRITORIAL",IF(F38="NO","C2 INLAND HARD-ACCESS",IF(OR(D38&gt;=15000000,H38&gt;=95),"C3 DENSE / COMPOUND",IF(H38&gt;=90,"C4 MULTIMODAL HIGH-EXPOSURE","C5 REGIONAL MULTIMODAL"))))</x:f>
        <x:v>C5 REGIONAL MULTIMODAL</x:v>
      </x:c>
      <x:c r="Q38" s="64" t="str">
        <x:f>INDEX(Assumptions!$H$8:$H$12,MATCH(P38,Assumptions!$G$8:$G$12,0))</x:f>
        <x:v>T4</x:v>
      </x:c>
      <x:c r="R38" s="64" t="n">
        <x:f>INDEX('Topology Library'!$D$8:$D$14,MATCH(Q38,'Topology Library'!$B$8:$B$14,0))</x:f>
        <x:v>6</x:v>
      </x:c>
      <x:c r="S38" s="64" t="n">
        <x:f>INDEX('Topology Library'!$F$8:$F$14,MATCH(Q38,'Topology Library'!$B$8:$B$14,0))</x:f>
        <x:v>3</x:v>
      </x:c>
      <x:c r="T38" s="64" t="n">
        <x:f>INDEX('Topology Library'!$H$8:$H$14,MATCH(Q38,'Topology Library'!$B$8:$B$14,0))</x:f>
        <x:v>4</x:v>
      </x:c>
      <x:c r="U38" s="64" t="n">
        <x:f>INDEX('Topology Library'!$J$8:$J$14,MATCH(Q38,'Topology Library'!$B$8:$B$14,0))</x:f>
        <x:v>18</x:v>
      </x:c>
      <x:c r="V38" s="63" t="n">
        <x:f>INDEX('Topology Library'!$AC$8:$AC$14,MATCH(Q38,'Topology Library'!$B$8:$B$14,0))</x:f>
        <x:v>48.827999999999996</x:v>
      </x:c>
      <x:c r="W38" s="64" t="n">
        <x:f>IF(S38=4,T38,0)</x:f>
        <x:v>0</x:v>
      </x:c>
      <x:c r="X38" s="80" t="str">
        <x:v>Pass 32 national receiving geography</x:v>
      </x:c>
      <x:c r="Y38" s="2"/>
      <x:c r="Z38" s="2"/>
      <x:c r="AA38" s="2"/>
      <x:c r="AB38" s="2"/>
      <x:c r="AC38" s="2"/>
      <x:c r="AD38" s="2"/>
      <x:c r="AE38" s="2"/>
    </x:row>
    <x:row r="39">
      <x:c r="B39" s="66" t="str">
        <x:v>SCA-32</x:v>
      </x:c>
      <x:c r="C39" s="66" t="str">
        <x:v>San Juan Municipio, PR</x:v>
      </x:c>
      <x:c r="D39" s="67" t="n">
        <x:v>3184835</x:v>
      </x:c>
      <x:c r="E39" s="81" t="n">
        <x:v>0.00923221684066089</x:v>
      </x:c>
      <x:c r="F39" s="66" t="str">
        <x:v>YES</x:v>
      </x:c>
      <x:c r="G39" s="66" t="str">
        <x:v>YES</x:v>
      </x:c>
      <x:c r="H39" s="82"/>
      <x:c r="I39" s="71" t="n">
        <x:f>Assumptions!$C$11</x:f>
        <x:v>1</x:v>
      </x:c>
      <x:c r="J39" s="83" t="n">
        <x:f>D39/SUM($D$8:$D$39)*(Assumptions!$C$9-Assumptions!$C$10*Assumptions!$C$11)</x:f>
        <x:v>0.3692886736264356</x:v>
      </x:c>
      <x:c r="K39" s="83" t="n">
        <x:f>INT(J39)</x:f>
        <x:v>0</x:v>
      </x:c>
      <x:c r="L39" s="83" t="n">
        <x:f>J39-K39</x:f>
        <x:v>0.3692886736264356</x:v>
      </x:c>
      <x:c r="M39" s="71" t="n">
        <x:f>COUNTIFS($L$8:$L$39,"&gt;"&amp;L39)+COUNTIFS($L$8:L39,L39)</x:f>
        <x:v>23</x:v>
      </x:c>
      <x:c r="N39" s="71" t="n">
        <x:f>K39+IF(M39&lt;=(Assumptions!$C$9-Assumptions!$C$10*Assumptions!$C$11-SUM($K$8:$K$39)),1,0)</x:f>
        <x:v>0</x:v>
      </x:c>
      <x:c r="O39" s="71" t="n">
        <x:f>I39+N39</x:f>
        <x:v>1</x:v>
      </x:c>
      <x:c r="P39" s="71" t="str">
        <x:f>IF(G39="YES","C1 ISLAND / TERRITORIAL",IF(F39="NO","C2 INLAND HARD-ACCESS",IF(OR(D39&gt;=15000000,H39&gt;=95),"C3 DENSE / COMPOUND",IF(H39&gt;=90,"C4 MULTIMODAL HIGH-EXPOSURE","C5 REGIONAL MULTIMODAL"))))</x:f>
        <x:v>C1 ISLAND / TERRITORIAL</x:v>
      </x:c>
      <x:c r="Q39" s="71" t="str">
        <x:f>INDEX(Assumptions!$H$8:$H$12,MATCH(P39,Assumptions!$G$8:$G$12,0))</x:f>
        <x:v>T6</x:v>
      </x:c>
      <x:c r="R39" s="71" t="n">
        <x:f>INDEX('Topology Library'!$D$8:$D$14,MATCH(Q39,'Topology Library'!$B$8:$B$14,0))</x:f>
        <x:v>8</x:v>
      </x:c>
      <x:c r="S39" s="71" t="n">
        <x:f>INDEX('Topology Library'!$F$8:$F$14,MATCH(Q39,'Topology Library'!$B$8:$B$14,0))</x:f>
        <x:v>4</x:v>
      </x:c>
      <x:c r="T39" s="71" t="n">
        <x:f>INDEX('Topology Library'!$H$8:$H$14,MATCH(Q39,'Topology Library'!$B$8:$B$14,0))</x:f>
        <x:v>2</x:v>
      </x:c>
      <x:c r="U39" s="71" t="n">
        <x:f>INDEX('Topology Library'!$J$8:$J$14,MATCH(Q39,'Topology Library'!$B$8:$B$14,0))</x:f>
        <x:v>16</x:v>
      </x:c>
      <x:c r="V39" s="70" t="n">
        <x:f>INDEX('Topology Library'!$AC$8:$AC$14,MATCH(Q39,'Topology Library'!$B$8:$B$14,0))</x:f>
        <x:v>45.714</x:v>
      </x:c>
      <x:c r="W39" s="71" t="n">
        <x:f>IF(S39=4,T39,0)</x:f>
        <x:v>2</x:v>
      </x:c>
      <x:c r="X39" s="84" t="str">
        <x:v>Pass 32 national receiving geography</x:v>
      </x:c>
      <x:c r="Y39" s="2"/>
      <x:c r="Z39" s="2"/>
      <x:c r="AA39" s="2"/>
      <x:c r="AB39" s="2"/>
      <x:c r="AC39" s="2"/>
      <x:c r="AD39" s="2"/>
      <x:c r="AE39" s="2"/>
    </x:row>
    <x:row r="40"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</x:row>
    <x:row r="41"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</x:row>
    <x:row r="42">
      <x:c r="B42" s="8" t="str">
        <x:v>Allocation controls</x:v>
      </x:c>
      <x:c r="C42" s="9" t="str">
        <x:v>Allocation controls</x:v>
      </x:c>
      <x:c r="D42" s="9" t="str">
        <x:v>Allocation controls</x:v>
      </x:c>
      <x:c r="E42" s="9" t="str">
        <x:v>Allocation controls</x:v>
      </x:c>
      <x:c r="F42" s="9" t="str">
        <x:v>Allocation controls</x:v>
      </x:c>
      <x:c r="G42" s="9" t="str">
        <x:v>Allocation controls</x:v>
      </x:c>
      <x:c r="H42" s="10" t="str">
        <x:v>Allocation controls</x:v>
      </x:c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</x:row>
    <x:row r="43">
      <x:c r="B43" s="24" t="str">
        <x:v>Metric</x:v>
      </x:c>
      <x:c r="C43" s="25" t="str">
        <x:v>Value</x:v>
      </x:c>
      <x:c r="D43" s="25" t="str">
        <x:v>Expected</x:v>
      </x:c>
      <x:c r="E43" s="25" t="str">
        <x:v>Difference</x:v>
      </x:c>
      <x:c r="F43" s="25" t="str">
        <x:v>Status</x:v>
      </x:c>
      <x:c r="G43" s="25" t="str">
        <x:v>Meaning</x:v>
      </x:c>
      <x:c r="H43" s="25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</x:row>
    <x:row r="44">
      <x:c r="B44" s="26" t="str">
        <x:v>SCA count</x:v>
      </x:c>
      <x:c r="C44" s="26" t="n">
        <x:f>COUNTIFS(B8:B39,"&lt;&gt;")</x:f>
        <x:v>32</x:v>
      </x:c>
      <x:c r="D44" s="26" t="n">
        <x:v>32</x:v>
      </x:c>
      <x:c r="E44" s="26" t="n">
        <x:f>C44-D44</x:f>
        <x:v>0</x:v>
      </x:c>
      <x:c r="F44" s="26" t="str">
        <x:f>IF(E44=0,"PASS","FAIL")</x:f>
        <x:v>PASS</x:v>
      </x:c>
      <x:c r="G44" s="26" t="str">
        <x:v>all Pass 32 catchments retained</x:v>
      </x:c>
      <x:c r="H44" s="28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</x:row>
    <x:row r="45">
      <x:c r="B45" s="26" t="str">
        <x:v>National group count</x:v>
      </x:c>
      <x:c r="C45" s="26" t="n">
        <x:f>SUM(O8:O39)</x:f>
        <x:v>72</x:v>
      </x:c>
      <x:c r="D45" s="26" t="n">
        <x:v>72</x:v>
      </x:c>
      <x:c r="E45" s="26" t="n">
        <x:f>C45-D45</x:f>
        <x:v>0</x:v>
      </x:c>
      <x:c r="F45" s="26" t="str">
        <x:f>IF(E45=0,"PASS","FAIL")</x:f>
        <x:v>PASS</x:v>
      </x:c>
      <x:c r="G45" s="26" t="str">
        <x:v>floor plus largest remainders</x:v>
      </x:c>
      <x:c r="H45" s="28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</x:row>
    <x:row r="46">
      <x:c r="B46" s="26" t="str">
        <x:v>Minimum groups in any SCA</x:v>
      </x:c>
      <x:c r="C46" s="26" t="n">
        <x:f>MIN(O8:O39)</x:f>
        <x:v>1</x:v>
      </x:c>
      <x:c r="D46" s="26" t="n">
        <x:v>1</x:v>
      </x:c>
      <x:c r="E46" s="26" t="n">
        <x:f>C46-D46</x:f>
        <x:v>0</x:v>
      </x:c>
      <x:c r="F46" s="26" t="str">
        <x:f>IF(E46=0,"PASS","FAIL")</x:f>
        <x:v>PASS</x:v>
      </x:c>
      <x:c r="G46" s="26" t="str">
        <x:v>geographic floor preserved</x:v>
      </x:c>
      <x:c r="H46" s="28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</x:row>
    <x:row r="47">
      <x:c r="B47" s="29" t="str">
        <x:v>Fourth-path groups</x:v>
      </x:c>
      <x:c r="C47" s="29" t="n">
        <x:f>SUMIFS(O8:O39,S8:S39,4)</x:f>
        <x:v>11</x:v>
      </x:c>
      <x:c r="D47" s="29"/>
      <x:c r="E47" s="29"/>
      <x:c r="F47" s="29"/>
      <x:c r="G47" s="29" t="str">
        <x:v>research exposure; not operational credit</x:v>
      </x:c>
      <x:c r="H47" s="31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</x:row>
    <x:row r="48"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</x:row>
    <x:row r="49"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</x:row>
    <x:row r="50"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</x:row>
    <x:row r="51"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</x:row>
    <x:row r="52"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</x:row>
    <x:row r="53"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</x:row>
    <x:row r="54"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</x:row>
    <x:row r="55"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</x:row>
    <x:row r="56"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</x:row>
    <x:row r="57"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</x:row>
    <x:row r="58"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</x:row>
    <x:row r="59"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</x:row>
    <x:row r="60"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</x:row>
    <x:row r="61"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</x:row>
    <x:row r="62"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</x:row>
    <x:row r="63"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</x:row>
    <x:row r="64"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</x:row>
    <x:row r="65"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</x:row>
    <x:row r="66"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</x:row>
    <x:row r="67"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</x:row>
    <x:row r="68"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</x:row>
    <x:row r="69"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</x:row>
    <x:row r="70"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</x:row>
    <x:row r="71"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</x:row>
    <x:row r="72"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</x:row>
    <x:row r="73"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</x:row>
    <x:row r="74"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</x:row>
    <x:row r="75"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</x:row>
    <x:row r="76"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</x:row>
    <x:row r="77"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</x:row>
    <x:row r="78"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</x:row>
    <x:row r="79"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</x:row>
    <x:row r="80"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</x:row>
    <x:row r="81"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</x:row>
    <x:row r="82"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</x:row>
    <x:row r="83"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</x:row>
    <x:row r="84"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</x:row>
    <x:row r="85"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</x:row>
    <x:row r="86"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</x:row>
    <x:row r="87"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</x:row>
    <x:row r="88"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</x:row>
    <x:row r="89"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</x:row>
    <x:row r="90"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</x:row>
    <x:row r="91"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</x:row>
    <x:row r="92"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</x:row>
    <x:row r="93"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</x:row>
    <x:row r="94"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</x:row>
    <x:row r="95"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</x:row>
    <x:row r="96"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</x:row>
    <x:row r="97"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</x:row>
    <x:row r="98"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</x:row>
    <x:row r="99"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</x:row>
    <x:row r="100"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</x:row>
    <x:row r="101"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</x:row>
    <x:row r="102"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</x:row>
    <x:row r="103"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</x:row>
    <x:row r="104"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</x:row>
    <x:row r="105"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</x:row>
    <x:row r="106"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</x:row>
    <x:row r="107"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</x:row>
    <x:row r="108"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</x:row>
    <x:row r="109"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</x:row>
    <x:row r="110"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</x:row>
    <x:row r="111"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</x:row>
    <x:row r="112"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</x:row>
    <x:row r="113"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</x:row>
    <x:row r="114"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</x:row>
    <x:row r="115"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</x:row>
    <x:row r="116"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</x:row>
    <x:row r="117"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</x:row>
    <x:row r="118"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</x:row>
    <x:row r="119"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</x:row>
    <x:row r="120"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</x:row>
    <x:row r="121"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</x:row>
    <x:row r="122"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</x:row>
    <x:row r="123"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</x:row>
    <x:row r="124"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</x:row>
    <x:row r="125"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</x:row>
    <x:row r="126"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</x:row>
    <x:row r="127"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</x:row>
    <x:row r="128"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</x:row>
    <x:row r="129"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</x:row>
    <x:row r="130"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</x:row>
    <x:row r="131"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</x:row>
    <x:row r="132"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</x:row>
    <x:row r="133"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</x:row>
    <x:row r="134"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</x:row>
    <x:row r="135"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</x:row>
    <x:row r="136"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</x:row>
    <x:row r="137"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</x:row>
    <x:row r="138"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</x:row>
    <x:row r="139"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</x:row>
    <x:row r="140"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</x:row>
    <x:row r="141"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</x:row>
    <x:row r="142"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</x:row>
    <x:row r="143"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</x:row>
    <x:row r="144"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</x:row>
    <x:row r="145"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</x:row>
    <x:row r="146"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</x:row>
    <x:row r="147"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</x:row>
    <x:row r="148"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</x:row>
    <x:row r="149"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</x:row>
    <x:row r="150"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</x:row>
    <x:row r="151"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</x:row>
    <x:row r="152"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</x:row>
    <x:row r="153"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</x:row>
    <x:row r="154"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</x:row>
    <x:row r="155"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</x:row>
    <x:row r="156"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</x:row>
    <x:row r="157"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</x:row>
    <x:row r="158"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</x:row>
    <x:row r="159"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</x:row>
    <x:row r="160"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</x:row>
    <x:row r="161"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</x:row>
    <x:row r="162"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</x:row>
    <x:row r="163"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</x:row>
    <x:row r="164"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</x:row>
    <x:row r="165"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</x:row>
    <x:row r="166"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</x:row>
    <x:row r="167"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</x:row>
    <x:row r="168"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</x:row>
    <x:row r="169"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</x:row>
    <x:row r="170"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</x:row>
    <x:row r="171"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</x:row>
    <x:row r="172"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</x:row>
    <x:row r="173"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</x:row>
    <x:row r="174"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</x:row>
    <x:row r="175"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</x:row>
    <x:row r="176"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</x:row>
    <x:row r="177"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</x:row>
    <x:row r="178"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</x:row>
    <x:row r="179"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</x:row>
    <x:row r="180"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</x:row>
    <x:row r="181"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</x:row>
    <x:row r="182"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</x:row>
    <x:row r="183"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</x:row>
    <x:row r="184"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</x:row>
    <x:row r="185"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</x:row>
    <x:row r="186"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</x:row>
    <x:row r="187"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</x:row>
    <x:row r="188"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</x:row>
    <x:row r="189"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</x:row>
    <x:row r="190"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</x:row>
    <x:row r="191"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</x:row>
    <x:row r="192"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</x:row>
    <x:row r="193"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</x:row>
    <x:row r="194"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</x:row>
    <x:row r="195"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</x:row>
    <x:row r="196"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</x:row>
    <x:row r="197"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</x:row>
    <x:row r="198"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</x:row>
    <x:row r="199"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</x:row>
    <x:row r="200"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</x:row>
    <x:row r="201"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</x:row>
    <x:row r="202"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</x:row>
    <x:row r="203"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</x:row>
    <x:row r="204"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</x:row>
    <x:row r="205"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</x:row>
    <x:row r="206"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</x:row>
    <x:row r="207"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</x:row>
    <x:row r="208"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</x:row>
    <x:row r="209"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</x:row>
    <x:row r="210"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</x:row>
    <x:row r="211"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</x:row>
    <x:row r="212"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</x:row>
    <x:row r="213"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</x:row>
    <x:row r="214"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</x:row>
    <x:row r="215"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</x:row>
    <x:row r="216"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</x:row>
    <x:row r="217"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</x:row>
    <x:row r="218"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</x:row>
    <x:row r="219"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</x:row>
    <x:row r="220"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</x:row>
    <x:row r="221"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</x:row>
    <x:row r="222"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</x:row>
    <x:row r="223"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</x:row>
    <x:row r="224"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</x:row>
    <x:row r="225"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</x:row>
    <x:row r="226"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</x:row>
    <x:row r="227"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</x:row>
    <x:row r="228"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</x:row>
    <x:row r="229"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</x:row>
    <x:row r="230"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</x:row>
    <x:row r="231"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</x:row>
    <x:row r="232"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</x:row>
    <x:row r="233"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</x:row>
    <x:row r="234"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</x:row>
    <x:row r="235"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</x:row>
    <x:row r="236"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</x:row>
    <x:row r="237"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</x:row>
    <x:row r="238"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</x:row>
    <x:row r="239"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</x:row>
    <x:row r="240"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</x:row>
    <x:row r="241"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</x:row>
    <x:row r="242"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</x:row>
    <x:row r="243"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</x:row>
    <x:row r="244"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</x:row>
    <x:row r="245"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</x:row>
    <x:row r="246"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</x:row>
    <x:row r="247"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</x:row>
    <x:row r="248"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</x:row>
    <x:row r="249"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</x:row>
    <x:row r="250"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</x:row>
    <x:row r="251"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</x:row>
    <x:row r="252"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</x:row>
    <x:row r="253"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</x:row>
    <x:row r="254"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</x:row>
    <x:row r="255"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</x:row>
    <x:row r="256"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</x:row>
    <x:row r="257"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</x:row>
    <x:row r="258"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</x:row>
    <x:row r="259"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</x:row>
    <x:row r="260"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</x:row>
    <x:row r="261"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</x:row>
    <x:row r="262"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</x:row>
    <x:row r="263"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</x:row>
    <x:row r="264"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</x:row>
    <x:row r="265"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</x:row>
    <x:row r="266"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</x:row>
    <x:row r="267"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</x:row>
    <x:row r="268"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</x:row>
    <x:row r="269"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</x:row>
    <x:row r="270"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</x:row>
    <x:row r="271"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</x:row>
    <x:row r="272"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</x:row>
    <x:row r="273"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</x:row>
    <x:row r="274"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</x:row>
    <x:row r="275"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</x:row>
    <x:row r="276"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</x:row>
    <x:row r="277"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</x:row>
    <x:row r="278"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</x:row>
    <x:row r="279"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</x:row>
    <x:row r="280"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</x:row>
    <x:row r="281"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</x:row>
    <x:row r="282"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</x:row>
    <x:row r="283"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</x:row>
    <x:row r="284"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</x:row>
    <x:row r="285"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</x:row>
    <x:row r="286"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</x:row>
    <x:row r="287"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</x:row>
    <x:row r="288"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</x:row>
    <x:row r="289"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</x:row>
    <x:row r="290"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</x:row>
    <x:row r="291"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</x:row>
    <x:row r="292"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</x:row>
    <x:row r="293"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</x:row>
    <x:row r="294"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</x:row>
    <x:row r="295"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</x:row>
    <x:row r="296"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</x:row>
    <x:row r="297"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</x:row>
    <x:row r="298"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</x:row>
    <x:row r="299"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</x:row>
    <x:row r="300"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</x:row>
    <x:row r="301"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</x:row>
    <x:row r="302"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</x:row>
    <x:row r="303"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</x:row>
    <x:row r="304"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</x:row>
    <x:row r="305"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</x:row>
    <x:row r="306"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</x:row>
    <x:row r="307"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</x:row>
    <x:row r="308"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</x:row>
    <x:row r="309"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</x:row>
    <x:row r="310"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</x:row>
    <x:row r="311"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</x:row>
    <x:row r="312"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</x:row>
    <x:row r="313"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</x:row>
    <x:row r="314"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</x:row>
    <x:row r="315"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</x:row>
    <x:row r="316"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</x:row>
    <x:row r="317"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</x:row>
    <x:row r="318"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</x:row>
    <x:row r="319"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</x:row>
    <x:row r="320"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</x:row>
  </x:sheetData>
  <x:mergeCells>
    <x:mergeCell ref="B6:X6"/>
    <x:mergeCell ref="B42:H4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2" max="2" width="9" hidden="0" customWidth="1"/>
    <x:col min="3" max="3" width="31" hidden="0" customWidth="1"/>
    <x:col min="4" max="4" width="12" hidden="0" customWidth="1"/>
    <x:col min="5" max="5" width="12" hidden="0" customWidth="1"/>
    <x:col min="6" max="6" width="12" hidden="0" customWidth="1"/>
    <x:col min="7" max="7" width="14" hidden="0" customWidth="1"/>
    <x:col min="8" max="8" width="15" hidden="0" customWidth="1"/>
    <x:col min="9" max="9" width="16" hidden="0" customWidth="1"/>
    <x:col min="10" max="10" width="15" hidden="0" customWidth="1"/>
    <x:col min="11" max="11" width="15" hidden="0" customWidth="1"/>
    <x:col min="12" max="12" width="13" hidden="0" customWidth="1"/>
    <x:col min="13" max="13" width="14" hidden="0" customWidth="1"/>
    <x:col min="14" max="14" width="14" hidden="0" customWidth="1"/>
    <x:col min="15" max="15" width="16" hidden="0" customWidth="1"/>
    <x:col min="16" max="16" width="16" hidden="0" customWidth="1"/>
    <x:col min="17" max="17" width="13" hidden="0" customWidth="1"/>
    <x:col min="18" max="18" width="14" hidden="0" customWidth="1"/>
    <x:col min="19" max="19" width="14" hidden="0" customWidth="1"/>
    <x:col min="20" max="20" width="13" hidden="0" customWidth="1"/>
    <x:col min="21" max="21" width="13" hidden="0" customWidth="1"/>
    <x:col min="22" max="22" width="15" hidden="0" customWidth="1"/>
    <x:col min="23" max="23" width="14" hidden="0" customWidth="1"/>
    <x:col min="24" max="24" width="14" hidden="0" customWidth="1"/>
    <x:col min="25" max="25" width="52" hidden="0" customWidth="1"/>
    <x:col min="26" max="26" width="16" hidden="0" customWidth="1"/>
    <x:col min="27" max="27" width="17" hidden="0" customWidth="1"/>
    <x:col min="28" max="28" width="17" hidden="0" customWidth="1"/>
    <x:col min="29" max="29" width="17" hidden="0" customWidth="1"/>
    <x:col min="30" max="30" width="18" hidden="0" customWidth="1"/>
    <x:col min="31" max="31" width="13" hidden="0" customWidth="1"/>
    <x:col min="32" max="32" width="24" hidden="0" customWidth="1"/>
  </x:cols>
  <x:sheetData>
    <x:row r="2">
      <x:c r="B2" s="3" t="str">
        <x:v>Readiness topology library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119"/>
    </x:row>
    <x:row r="3">
      <x:c r="B3" s="4" t="str">
        <x:v>Six rival ways to store ten complete service cells across fixed geography and independent access domains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  <x:c r="AE3" s="4"/>
      <x:c r="AF3" s="119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5"/>
      <x:c r="W4" s="5"/>
      <x:c r="X4" s="5"/>
      <x:c r="Y4" s="5"/>
      <x:c r="Z4" s="5"/>
      <x:c r="AA4" s="5"/>
      <x:c r="AB4" s="5"/>
      <x:c r="AC4" s="5"/>
      <x:c r="AD4" s="5"/>
      <x:c r="AE4" s="5"/>
      <x:c r="AF4" s="119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119"/>
    </x:row>
    <x:row r="6">
      <x:c r="B6" s="8" t="str">
        <x:v>Topology definitions and calculated guarantees</x:v>
      </x:c>
      <x:c r="C6" s="9" t="str">
        <x:v>Topology definitions and calculated guarantees</x:v>
      </x:c>
      <x:c r="D6" s="9" t="str">
        <x:v>Topology definitions and calculated guarantees</x:v>
      </x:c>
      <x:c r="E6" s="9" t="str">
        <x:v>Topology definitions and calculated guarantees</x:v>
      </x:c>
      <x:c r="F6" s="9" t="str">
        <x:v>Topology definitions and calculated guarantees</x:v>
      </x:c>
      <x:c r="G6" s="9" t="str">
        <x:v>Topology definitions and calculated guarantees</x:v>
      </x:c>
      <x:c r="H6" s="9" t="str">
        <x:v>Topology definitions and calculated guarantees</x:v>
      </x:c>
      <x:c r="I6" s="9" t="str">
        <x:v>Topology definitions and calculated guarantees</x:v>
      </x:c>
      <x:c r="J6" s="9" t="str">
        <x:v>Topology definitions and calculated guarantees</x:v>
      </x:c>
      <x:c r="K6" s="9" t="str">
        <x:v>Topology definitions and calculated guarantees</x:v>
      </x:c>
      <x:c r="L6" s="9" t="str">
        <x:v>Topology definitions and calculated guarantees</x:v>
      </x:c>
      <x:c r="M6" s="9" t="str">
        <x:v>Topology definitions and calculated guarantees</x:v>
      </x:c>
      <x:c r="N6" s="9" t="str">
        <x:v>Topology definitions and calculated guarantees</x:v>
      </x:c>
      <x:c r="O6" s="9" t="str">
        <x:v>Topology definitions and calculated guarantees</x:v>
      </x:c>
      <x:c r="P6" s="9" t="str">
        <x:v>Topology definitions and calculated guarantees</x:v>
      </x:c>
      <x:c r="Q6" s="9" t="str">
        <x:v>Topology definitions and calculated guarantees</x:v>
      </x:c>
      <x:c r="R6" s="9" t="str">
        <x:v>Topology definitions and calculated guarantees</x:v>
      </x:c>
      <x:c r="S6" s="9" t="str">
        <x:v>Topology definitions and calculated guarantees</x:v>
      </x:c>
      <x:c r="T6" s="9" t="str">
        <x:v>Topology definitions and calculated guarantees</x:v>
      </x:c>
      <x:c r="U6" s="9" t="str">
        <x:v>Topology definitions and calculated guarantees</x:v>
      </x:c>
      <x:c r="V6" s="9" t="str">
        <x:v>Topology definitions and calculated guarantees</x:v>
      </x:c>
      <x:c r="W6" s="9" t="str">
        <x:v>Topology definitions and calculated guarantees</x:v>
      </x:c>
      <x:c r="X6" s="9" t="str">
        <x:v>Topology definitions and calculated guarantees</x:v>
      </x:c>
      <x:c r="Y6" s="9" t="str">
        <x:v>Topology definitions and calculated guarantees</x:v>
      </x:c>
      <x:c r="Z6" s="9" t="str">
        <x:v>Topology definitions and calculated guarantees</x:v>
      </x:c>
      <x:c r="AA6" s="9" t="str">
        <x:v>Topology definitions and calculated guarantees</x:v>
      </x:c>
      <x:c r="AB6" s="9" t="str">
        <x:v>Topology definitions and calculated guarantees</x:v>
      </x:c>
      <x:c r="AC6" s="9" t="str">
        <x:v>Topology definitions and calculated guarantees</x:v>
      </x:c>
      <x:c r="AD6" s="9" t="str">
        <x:v>Topology definitions and calculated guarantees</x:v>
      </x:c>
      <x:c r="AE6" s="10" t="str">
        <x:v>Topology definitions and calculated guarantees</x:v>
      </x:c>
      <x:c r="AF6" s="119"/>
    </x:row>
    <x:row r="7">
      <x:c r="B7" s="24" t="str">
        <x:v>Code</x:v>
      </x:c>
      <x:c r="C7" s="25" t="str">
        <x:v>Topology</x:v>
      </x:c>
      <x:c r="D7" s="25" t="str">
        <x:v>Fixed cells p</x:v>
      </x:c>
      <x:c r="E7" s="25" t="str">
        <x:v>Fixed islands d</x:v>
      </x:c>
      <x:c r="F7" s="25" t="str">
        <x:v>Access modes m</x:v>
      </x:c>
      <x:c r="G7" s="25" t="str">
        <x:v>Promised mode losses k</x:v>
      </x:c>
      <x:c r="H7" s="25" t="str">
        <x:v>Designed cells / mode</x:v>
      </x:c>
      <x:c r="I7" s="25" t="str">
        <x:v>Transport lower bound / mode</x:v>
      </x:c>
      <x:c r="J7" s="25" t="str">
        <x:v>Total packages / group</x:v>
      </x:c>
      <x:c r="K7" s="25" t="str">
        <x:v>Largest fixed-island loss</x:v>
      </x:c>
      <x:c r="L7" s="25" t="str">
        <x:v>Baseline cells</x:v>
      </x:c>
      <x:c r="M7" s="25" t="str">
        <x:v>After any two modes</x:v>
      </x:c>
      <x:c r="N7" s="25" t="str">
        <x:v>After one fixed island</x:v>
      </x:c>
      <x:c r="O7" s="25" t="str">
        <x:v>Fixed island + one mode</x:v>
      </x:c>
      <x:c r="P7" s="25" t="str">
        <x:v>Fixed island + two modes</x:v>
      </x:c>
      <x:c r="Q7" s="25" t="str">
        <x:v>Source domains</x:v>
      </x:c>
      <x:c r="R7" s="25" t="str">
        <x:v>Launch-base domains</x:v>
      </x:c>
      <x:c r="S7" s="25" t="str">
        <x:v>Crew-school domains</x:v>
      </x:c>
      <x:c r="T7" s="25" t="str">
        <x:v>Control domains</x:v>
      </x:c>
      <x:c r="U7" s="25" t="str">
        <x:v>Heat-sink domains</x:v>
      </x:c>
      <x:c r="V7" s="25" t="str">
        <x:v>Receiver-interface domains</x:v>
      </x:c>
      <x:c r="W7" s="25" t="str">
        <x:v>Second-mission factor</x:v>
      </x:c>
      <x:c r="X7" s="25" t="str">
        <x:v>National-pool factor</x:v>
      </x:c>
      <x:c r="Y7" s="25" t="str">
        <x:v>Promise boundary</x:v>
      </x:c>
      <x:c r="Z7" s="25" t="str">
        <x:v>Fixed lifecycle / group $B</x:v>
      </x:c>
      <x:c r="AA7" s="25" t="str">
        <x:v>Legacy mobile lifecycle / group $B</x:v>
      </x:c>
      <x:c r="AB7" s="25" t="str">
        <x:v>Fourth-path lifecycle / group $B</x:v>
      </x:c>
      <x:c r="AC7" s="25" t="str">
        <x:v>Cell lifecycle / group $B</x:v>
      </x:c>
      <x:c r="AD7" s="25" t="str">
        <x:v>National cell layer $B</x:v>
      </x:c>
      <x:c r="AE7" s="25" t="str">
        <x:v>Worlds passed</x:v>
      </x:c>
      <x:c r="AF7" s="25" t="str">
        <x:v>Research state</x:v>
      </x:c>
    </x:row>
    <x:row r="8">
      <x:c r="B8" s="59" t="str">
        <x:v>T1</x:v>
      </x:c>
      <x:c r="C8" s="59" t="str">
        <x:v>Expeditionary triple replication</x:v>
      </x:c>
      <x:c r="D8" s="60" t="n">
        <x:v>0</x:v>
      </x:c>
      <x:c r="E8" s="60" t="n">
        <x:v>0</x:v>
      </x:c>
      <x:c r="F8" s="60" t="n">
        <x:v>3</x:v>
      </x:c>
      <x:c r="G8" s="60" t="n">
        <x:v>2</x:v>
      </x:c>
      <x:c r="H8" s="60" t="n">
        <x:v>10</x:v>
      </x:c>
      <x:c r="I8" s="61" t="n">
        <x:f>ROUNDUP(MAX(0,Assumptions!$C$8-D8)/(F8-G8),0)</x:f>
        <x:v>10</x:v>
      </x:c>
      <x:c r="J8" s="61" t="n">
        <x:f>D8+F8*H8</x:f>
        <x:v>30</x:v>
      </x:c>
      <x:c r="K8" s="61" t="n">
        <x:f>IF(E8=0,0,ROUNDUP(D8/E8,0))</x:f>
        <x:v>0</x:v>
      </x:c>
      <x:c r="L8" s="61" t="n">
        <x:f>D8+F8*H8</x:f>
        <x:v>30</x:v>
      </x:c>
      <x:c r="M8" s="61" t="n">
        <x:f>D8+MAX(0,F8-2)*H8</x:f>
        <x:v>10</x:v>
      </x:c>
      <x:c r="N8" s="61" t="n">
        <x:f>MAX(0,D8-K8)+F8*H8</x:f>
        <x:v>30</x:v>
      </x:c>
      <x:c r="O8" s="61" t="n">
        <x:f>MAX(0,D8-K8)+MAX(0,F8-1)*H8</x:f>
        <x:v>20</x:v>
      </x:c>
      <x:c r="P8" s="61" t="n">
        <x:f>MAX(0,D8-K8)+MAX(0,F8-2)*H8</x:f>
        <x:v>10</x:v>
      </x:c>
      <x:c r="Q8" s="60" t="n">
        <x:v>3</x:v>
      </x:c>
      <x:c r="R8" s="60" t="n">
        <x:v>3</x:v>
      </x:c>
      <x:c r="S8" s="60" t="n">
        <x:v>2</x:v>
      </x:c>
      <x:c r="T8" s="60" t="n">
        <x:v>2</x:v>
      </x:c>
      <x:c r="U8" s="60" t="n">
        <x:v>2</x:v>
      </x:c>
      <x:c r="V8" s="60" t="n">
        <x:v>1</x:v>
      </x:c>
      <x:c r="W8" s="62" t="n">
        <x:v>0.75</x:v>
      </x:c>
      <x:c r="X8" s="62" t="n">
        <x:v>0.65</x:v>
      </x:c>
      <x:c r="Y8" s="59" t="str">
        <x:v>unprepared receiver; any two of three access modes</x:v>
      </x:c>
      <x:c r="Z8" s="63" t="n">
        <x:f>D8*Assumptions!$E$22</x:f>
        <x:v>0</x:v>
      </x:c>
      <x:c r="AA8" s="63" t="n">
        <x:f>H8*SUM(Assumptions!$E$23:$E$25)</x:f>
        <x:v>85.16999999999999</x:v>
      </x:c>
      <x:c r="AB8" s="63" t="n">
        <x:f>IF(F8=4,H8*Assumptions!$E$26,0)</x:f>
        <x:v>0</x:v>
      </x:c>
      <x:c r="AC8" s="63" t="n">
        <x:f>SUM(Z8:AB8)</x:f>
        <x:v>85.16999999999999</x:v>
      </x:c>
      <x:c r="AD8" s="63" t="n">
        <x:f>AC8*Assumptions!$C$9</x:f>
        <x:v>6132.239999999999</x:v>
      </x:c>
      <x:c r="AE8" s="64" t="n">
        <x:f>COUNTIFS('Topology Worlds'!$B$8:$B$133,B8,'Topology Worlds'!$L$8:$L$133,"PASS")</x:f>
        <x:v>16</x:v>
      </x:c>
      <x:c r="AF8" s="120" t="str">
        <x:v>COMPETE — NOT ADMITTED</x:v>
      </x:c>
    </x:row>
    <x:row r="9">
      <x:c r="B9" s="59" t="str">
        <x:v>T2</x:v>
      </x:c>
      <x:c r="C9" s="59" t="str">
        <x:v>Concentrated forward anchor</x:v>
      </x:c>
      <x:c r="D9" s="60" t="n">
        <x:v>9</x:v>
      </x:c>
      <x:c r="E9" s="60" t="n">
        <x:v>1</x:v>
      </x:c>
      <x:c r="F9" s="60" t="n">
        <x:v>3</x:v>
      </x:c>
      <x:c r="G9" s="60" t="n">
        <x:v>2</x:v>
      </x:c>
      <x:c r="H9" s="60" t="n">
        <x:v>1</x:v>
      </x:c>
      <x:c r="I9" s="61" t="n">
        <x:f>ROUNDUP(MAX(0,Assumptions!$C$8-D9)/(F9-G9),0)</x:f>
        <x:v>1</x:v>
      </x:c>
      <x:c r="J9" s="61" t="n">
        <x:f>D9+F9*H9</x:f>
        <x:v>12</x:v>
      </x:c>
      <x:c r="K9" s="61" t="n">
        <x:f>IF(E9=0,0,ROUNDUP(D9/E9,0))</x:f>
        <x:v>9</x:v>
      </x:c>
      <x:c r="L9" s="61" t="n">
        <x:f>D9+F9*H9</x:f>
        <x:v>12</x:v>
      </x:c>
      <x:c r="M9" s="61" t="n">
        <x:f>D9+MAX(0,F9-2)*H9</x:f>
        <x:v>10</x:v>
      </x:c>
      <x:c r="N9" s="61" t="n">
        <x:f>MAX(0,D9-K9)+F9*H9</x:f>
        <x:v>3</x:v>
      </x:c>
      <x:c r="O9" s="61" t="n">
        <x:f>MAX(0,D9-K9)+MAX(0,F9-1)*H9</x:f>
        <x:v>2</x:v>
      </x:c>
      <x:c r="P9" s="61" t="n">
        <x:f>MAX(0,D9-K9)+MAX(0,F9-2)*H9</x:f>
        <x:v>1</x:v>
      </x:c>
      <x:c r="Q9" s="60" t="n">
        <x:v>2</x:v>
      </x:c>
      <x:c r="R9" s="60" t="n">
        <x:v>1</x:v>
      </x:c>
      <x:c r="S9" s="60" t="n">
        <x:v>1</x:v>
      </x:c>
      <x:c r="T9" s="60" t="n">
        <x:v>1</x:v>
      </x:c>
      <x:c r="U9" s="60" t="n">
        <x:v>1</x:v>
      </x:c>
      <x:c r="V9" s="60" t="n">
        <x:v>1</x:v>
      </x:c>
      <x:c r="W9" s="62" t="n">
        <x:v>0.8</x:v>
      </x:c>
      <x:c r="X9" s="62" t="n">
        <x:v>0.8</x:v>
      </x:c>
      <x:c r="Y9" s="59" t="str">
        <x:v>any two access modes while one concentrated anchor survives</x:v>
      </x:c>
      <x:c r="Z9" s="63" t="n">
        <x:f>D9*Assumptions!$E$22</x:f>
        <x:v>22.14</x:v>
      </x:c>
      <x:c r="AA9" s="63" t="n">
        <x:f>H9*SUM(Assumptions!$E$23:$E$25)</x:f>
        <x:v>8.517</x:v>
      </x:c>
      <x:c r="AB9" s="63" t="n">
        <x:f>IF(F9=4,H9*Assumptions!$E$26,0)</x:f>
        <x:v>0</x:v>
      </x:c>
      <x:c r="AC9" s="63" t="n">
        <x:f>SUM(Z9:AB9)</x:f>
        <x:v>30.657</x:v>
      </x:c>
      <x:c r="AD9" s="63" t="n">
        <x:f>AC9*Assumptions!$C$9</x:f>
        <x:v>2207.304</x:v>
      </x:c>
      <x:c r="AE9" s="64" t="n">
        <x:f>COUNTIFS('Topology Worlds'!$B$8:$B$133,B9,'Topology Worlds'!$L$8:$L$133,"PASS")</x:f>
        <x:v>3</x:v>
      </x:c>
      <x:c r="AF9" s="120" t="str">
        <x:v>COMPETE — NOT ADMITTED</x:v>
      </x:c>
    </x:row>
    <x:row r="10">
      <x:c r="B10" s="59" t="str">
        <x:v>T3</x:v>
      </x:c>
      <x:c r="C10" s="59" t="str">
        <x:v>Federated forward lattice</x:v>
      </x:c>
      <x:c r="D10" s="60" t="n">
        <x:v>9</x:v>
      </x:c>
      <x:c r="E10" s="60" t="n">
        <x:v>3</x:v>
      </x:c>
      <x:c r="F10" s="60" t="n">
        <x:v>3</x:v>
      </x:c>
      <x:c r="G10" s="60" t="n">
        <x:v>2</x:v>
      </x:c>
      <x:c r="H10" s="60" t="n">
        <x:v>2</x:v>
      </x:c>
      <x:c r="I10" s="61" t="n">
        <x:f>ROUNDUP(MAX(0,Assumptions!$C$8-D10)/(F10-G10),0)</x:f>
        <x:v>1</x:v>
      </x:c>
      <x:c r="J10" s="61" t="n">
        <x:f>D10+F10*H10</x:f>
        <x:v>15</x:v>
      </x:c>
      <x:c r="K10" s="61" t="n">
        <x:f>IF(E10=0,0,ROUNDUP(D10/E10,0))</x:f>
        <x:v>3</x:v>
      </x:c>
      <x:c r="L10" s="61" t="n">
        <x:f>D10+F10*H10</x:f>
        <x:v>15</x:v>
      </x:c>
      <x:c r="M10" s="61" t="n">
        <x:f>D10+MAX(0,F10-2)*H10</x:f>
        <x:v>11</x:v>
      </x:c>
      <x:c r="N10" s="61" t="n">
        <x:f>MAX(0,D10-K10)+F10*H10</x:f>
        <x:v>12</x:v>
      </x:c>
      <x:c r="O10" s="61" t="n">
        <x:f>MAX(0,D10-K10)+MAX(0,F10-1)*H10</x:f>
        <x:v>10</x:v>
      </x:c>
      <x:c r="P10" s="61" t="n">
        <x:f>MAX(0,D10-K10)+MAX(0,F10-2)*H10</x:f>
        <x:v>8</x:v>
      </x:c>
      <x:c r="Q10" s="60" t="n">
        <x:v>3</x:v>
      </x:c>
      <x:c r="R10" s="60" t="n">
        <x:v>3</x:v>
      </x:c>
      <x:c r="S10" s="60" t="n">
        <x:v>2</x:v>
      </x:c>
      <x:c r="T10" s="60" t="n">
        <x:v>2</x:v>
      </x:c>
      <x:c r="U10" s="60" t="n">
        <x:v>3</x:v>
      </x:c>
      <x:c r="V10" s="60" t="n">
        <x:v>3</x:v>
      </x:c>
      <x:c r="W10" s="62" t="n">
        <x:v>0.8</x:v>
      </x:c>
      <x:c r="X10" s="62" t="n">
        <x:v>0.85</x:v>
      </x:c>
      <x:c r="Y10" s="59" t="str">
        <x:v>one fixed island plus one access mode, or any two access modes</x:v>
      </x:c>
      <x:c r="Z10" s="63" t="n">
        <x:f>D10*Assumptions!$E$22</x:f>
        <x:v>22.14</x:v>
      </x:c>
      <x:c r="AA10" s="63" t="n">
        <x:f>H10*SUM(Assumptions!$E$23:$E$25)</x:f>
        <x:v>17.034</x:v>
      </x:c>
      <x:c r="AB10" s="63" t="n">
        <x:f>IF(F10=4,H10*Assumptions!$E$26,0)</x:f>
        <x:v>0</x:v>
      </x:c>
      <x:c r="AC10" s="63" t="n">
        <x:f>SUM(Z10:AB10)</x:f>
        <x:v>39.174</x:v>
      </x:c>
      <x:c r="AD10" s="63" t="n">
        <x:f>AC10*Assumptions!$C$9</x:f>
        <x:v>2820.528</x:v>
      </x:c>
      <x:c r="AE10" s="64" t="n">
        <x:f>COUNTIFS('Topology Worlds'!$B$8:$B$133,B10,'Topology Worlds'!$L$8:$L$133,"PASS")</x:f>
        <x:v>12</x:v>
      </x:c>
      <x:c r="AF10" s="120" t="str">
        <x:v>COMPETE — NOT ADMITTED</x:v>
      </x:c>
    </x:row>
    <x:row r="11">
      <x:c r="B11" s="59" t="str">
        <x:v>T4</x:v>
      </x:c>
      <x:c r="C11" s="59" t="str">
        <x:v>Balanced six-cell hybrid</x:v>
      </x:c>
      <x:c r="D11" s="60" t="n">
        <x:v>6</x:v>
      </x:c>
      <x:c r="E11" s="60" t="n">
        <x:v>3</x:v>
      </x:c>
      <x:c r="F11" s="60" t="n">
        <x:v>3</x:v>
      </x:c>
      <x:c r="G11" s="60" t="n">
        <x:v>2</x:v>
      </x:c>
      <x:c r="H11" s="60" t="n">
        <x:v>4</x:v>
      </x:c>
      <x:c r="I11" s="61" t="n">
        <x:f>ROUNDUP(MAX(0,Assumptions!$C$8-D11)/(F11-G11),0)</x:f>
        <x:v>4</x:v>
      </x:c>
      <x:c r="J11" s="61" t="n">
        <x:f>D11+F11*H11</x:f>
        <x:v>18</x:v>
      </x:c>
      <x:c r="K11" s="61" t="n">
        <x:f>IF(E11=0,0,ROUNDUP(D11/E11,0))</x:f>
        <x:v>2</x:v>
      </x:c>
      <x:c r="L11" s="61" t="n">
        <x:f>D11+F11*H11</x:f>
        <x:v>18</x:v>
      </x:c>
      <x:c r="M11" s="61" t="n">
        <x:f>D11+MAX(0,F11-2)*H11</x:f>
        <x:v>10</x:v>
      </x:c>
      <x:c r="N11" s="61" t="n">
        <x:f>MAX(0,D11-K11)+F11*H11</x:f>
        <x:v>16</x:v>
      </x:c>
      <x:c r="O11" s="61" t="n">
        <x:f>MAX(0,D11-K11)+MAX(0,F11-1)*H11</x:f>
        <x:v>12</x:v>
      </x:c>
      <x:c r="P11" s="61" t="n">
        <x:f>MAX(0,D11-K11)+MAX(0,F11-2)*H11</x:f>
        <x:v>8</x:v>
      </x:c>
      <x:c r="Q11" s="60" t="n">
        <x:v>3</x:v>
      </x:c>
      <x:c r="R11" s="60" t="n">
        <x:v>3</x:v>
      </x:c>
      <x:c r="S11" s="60" t="n">
        <x:v>2</x:v>
      </x:c>
      <x:c r="T11" s="60" t="n">
        <x:v>2</x:v>
      </x:c>
      <x:c r="U11" s="60" t="n">
        <x:v>3</x:v>
      </x:c>
      <x:c r="V11" s="60" t="n">
        <x:v>3</x:v>
      </x:c>
      <x:c r="W11" s="62" t="n">
        <x:v>0.83</x:v>
      </x:c>
      <x:c r="X11" s="62" t="n">
        <x:v>0.82</x:v>
      </x:c>
      <x:c r="Y11" s="59" t="str">
        <x:v>any two access modes; one fixed island plus one access mode</x:v>
      </x:c>
      <x:c r="Z11" s="63" t="n">
        <x:f>D11*Assumptions!$E$22</x:f>
        <x:v>14.76</x:v>
      </x:c>
      <x:c r="AA11" s="63" t="n">
        <x:f>H11*SUM(Assumptions!$E$23:$E$25)</x:f>
        <x:v>34.068</x:v>
      </x:c>
      <x:c r="AB11" s="63" t="n">
        <x:f>IF(F11=4,H11*Assumptions!$E$26,0)</x:f>
        <x:v>0</x:v>
      </x:c>
      <x:c r="AC11" s="63" t="n">
        <x:f>SUM(Z11:AB11)</x:f>
        <x:v>48.827999999999996</x:v>
      </x:c>
      <x:c r="AD11" s="63" t="n">
        <x:f>AC11*Assumptions!$C$9</x:f>
        <x:v>3515.6159999999995</x:v>
      </x:c>
      <x:c r="AE11" s="64" t="n">
        <x:f>COUNTIFS('Topology Worlds'!$B$8:$B$133,B11,'Topology Worlds'!$L$8:$L$133,"PASS")</x:f>
        <x:v>12</x:v>
      </x:c>
      <x:c r="AF11" s="120" t="str">
        <x:v>COMPETE — NOT ADMITTED</x:v>
      </x:c>
    </x:row>
    <x:row r="12">
      <x:c r="B12" s="59" t="str">
        <x:v>T5</x:v>
      </x:c>
      <x:c r="C12" s="59" t="str">
        <x:v>Four-path expeditionary lattice</x:v>
      </x:c>
      <x:c r="D12" s="60" t="n">
        <x:v>0</x:v>
      </x:c>
      <x:c r="E12" s="60" t="n">
        <x:v>0</x:v>
      </x:c>
      <x:c r="F12" s="60" t="n">
        <x:v>4</x:v>
      </x:c>
      <x:c r="G12" s="60" t="n">
        <x:v>2</x:v>
      </x:c>
      <x:c r="H12" s="60" t="n">
        <x:v>5</x:v>
      </x:c>
      <x:c r="I12" s="61" t="n">
        <x:f>ROUNDUP(MAX(0,Assumptions!$C$8-D12)/(F12-G12),0)</x:f>
        <x:v>5</x:v>
      </x:c>
      <x:c r="J12" s="61" t="n">
        <x:f>D12+F12*H12</x:f>
        <x:v>20</x:v>
      </x:c>
      <x:c r="K12" s="61" t="n">
        <x:f>IF(E12=0,0,ROUNDUP(D12/E12,0))</x:f>
        <x:v>0</x:v>
      </x:c>
      <x:c r="L12" s="61" t="n">
        <x:f>D12+F12*H12</x:f>
        <x:v>20</x:v>
      </x:c>
      <x:c r="M12" s="61" t="n">
        <x:f>D12+MAX(0,F12-2)*H12</x:f>
        <x:v>10</x:v>
      </x:c>
      <x:c r="N12" s="61" t="n">
        <x:f>MAX(0,D12-K12)+F12*H12</x:f>
        <x:v>20</x:v>
      </x:c>
      <x:c r="O12" s="61" t="n">
        <x:f>MAX(0,D12-K12)+MAX(0,F12-1)*H12</x:f>
        <x:v>15</x:v>
      </x:c>
      <x:c r="P12" s="61" t="n">
        <x:f>MAX(0,D12-K12)+MAX(0,F12-2)*H12</x:f>
        <x:v>10</x:v>
      </x:c>
      <x:c r="Q12" s="60" t="n">
        <x:v>4</x:v>
      </x:c>
      <x:c r="R12" s="60" t="n">
        <x:v>4</x:v>
      </x:c>
      <x:c r="S12" s="60" t="n">
        <x:v>3</x:v>
      </x:c>
      <x:c r="T12" s="60" t="n">
        <x:v>3</x:v>
      </x:c>
      <x:c r="U12" s="60" t="n">
        <x:v>3</x:v>
      </x:c>
      <x:c r="V12" s="60" t="n">
        <x:v>1</x:v>
      </x:c>
      <x:c r="W12" s="62" t="n">
        <x:v>0.75</x:v>
      </x:c>
      <x:c r="X12" s="62" t="n">
        <x:v>0.7</x:v>
      </x:c>
      <x:c r="Y12" s="59" t="str">
        <x:v>unprepared receiver; any two of four genuinely independent access modes</x:v>
      </x:c>
      <x:c r="Z12" s="63" t="n">
        <x:f>D12*Assumptions!$E$22</x:f>
        <x:v>0</x:v>
      </x:c>
      <x:c r="AA12" s="63" t="n">
        <x:f>H12*SUM(Assumptions!$E$23:$E$25)</x:f>
        <x:v>42.584999999999994</x:v>
      </x:c>
      <x:c r="AB12" s="63" t="n">
        <x:f>IF(F12=4,H12*Assumptions!$E$26,0)</x:f>
        <x:v>22.5</x:v>
      </x:c>
      <x:c r="AC12" s="63" t="n">
        <x:f>SUM(Z12:AB12)</x:f>
        <x:v>65.085</x:v>
      </x:c>
      <x:c r="AD12" s="63" t="n">
        <x:f>AC12*Assumptions!$C$9</x:f>
        <x:v>4686.12</x:v>
      </x:c>
      <x:c r="AE12" s="64" t="n">
        <x:f>COUNTIFS('Topology Worlds'!$B$8:$B$133,B12,'Topology Worlds'!$L$8:$L$133,"PASS")</x:f>
        <x:v>16</x:v>
      </x:c>
      <x:c r="AF12" s="120" t="str">
        <x:v>COMPETE — NOT ADMITTED</x:v>
      </x:c>
    </x:row>
    <x:row r="13">
      <x:c r="B13" s="59" t="str">
        <x:v>T6</x:v>
      </x:c>
      <x:c r="C13" s="59" t="str">
        <x:v>Layered eight-cell lattice</x:v>
      </x:c>
      <x:c r="D13" s="60" t="n">
        <x:v>8</x:v>
      </x:c>
      <x:c r="E13" s="60" t="n">
        <x:v>4</x:v>
      </x:c>
      <x:c r="F13" s="60" t="n">
        <x:v>4</x:v>
      </x:c>
      <x:c r="G13" s="60" t="n">
        <x:v>2</x:v>
      </x:c>
      <x:c r="H13" s="60" t="n">
        <x:v>2</x:v>
      </x:c>
      <x:c r="I13" s="61" t="n">
        <x:f>ROUNDUP(MAX(0,Assumptions!$C$8-D13)/(F13-G13),0)</x:f>
        <x:v>1</x:v>
      </x:c>
      <x:c r="J13" s="61" t="n">
        <x:f>D13+F13*H13</x:f>
        <x:v>16</x:v>
      </x:c>
      <x:c r="K13" s="61" t="n">
        <x:f>IF(E13=0,0,ROUNDUP(D13/E13,0))</x:f>
        <x:v>2</x:v>
      </x:c>
      <x:c r="L13" s="61" t="n">
        <x:f>D13+F13*H13</x:f>
        <x:v>16</x:v>
      </x:c>
      <x:c r="M13" s="61" t="n">
        <x:f>D13+MAX(0,F13-2)*H13</x:f>
        <x:v>12</x:v>
      </x:c>
      <x:c r="N13" s="61" t="n">
        <x:f>MAX(0,D13-K13)+F13*H13</x:f>
        <x:v>14</x:v>
      </x:c>
      <x:c r="O13" s="61" t="n">
        <x:f>MAX(0,D13-K13)+MAX(0,F13-1)*H13</x:f>
        <x:v>12</x:v>
      </x:c>
      <x:c r="P13" s="61" t="n">
        <x:f>MAX(0,D13-K13)+MAX(0,F13-2)*H13</x:f>
        <x:v>10</x:v>
      </x:c>
      <x:c r="Q13" s="60" t="n">
        <x:v>4</x:v>
      </x:c>
      <x:c r="R13" s="60" t="n">
        <x:v>4</x:v>
      </x:c>
      <x:c r="S13" s="60" t="n">
        <x:v>4</x:v>
      </x:c>
      <x:c r="T13" s="60" t="n">
        <x:v>4</x:v>
      </x:c>
      <x:c r="U13" s="60" t="n">
        <x:v>4</x:v>
      </x:c>
      <x:c r="V13" s="60" t="n">
        <x:v>4</x:v>
      </x:c>
      <x:c r="W13" s="62" t="n">
        <x:v>0.9</x:v>
      </x:c>
      <x:c r="X13" s="62" t="n">
        <x:v>0.9</x:v>
      </x:c>
      <x:c r="Y13" s="59" t="str">
        <x:v>one fixed island plus any two of four access modes</x:v>
      </x:c>
      <x:c r="Z13" s="63" t="n">
        <x:f>D13*Assumptions!$E$22</x:f>
        <x:v>19.68</x:v>
      </x:c>
      <x:c r="AA13" s="63" t="n">
        <x:f>H13*SUM(Assumptions!$E$23:$E$25)</x:f>
        <x:v>17.034</x:v>
      </x:c>
      <x:c r="AB13" s="63" t="n">
        <x:f>IF(F13=4,H13*Assumptions!$E$26,0)</x:f>
        <x:v>9</x:v>
      </x:c>
      <x:c r="AC13" s="63" t="n">
        <x:f>SUM(Z13:AB13)</x:f>
        <x:v>45.714</x:v>
      </x:c>
      <x:c r="AD13" s="63" t="n">
        <x:f>AC13*Assumptions!$C$9</x:f>
        <x:v>3291.408</x:v>
      </x:c>
      <x:c r="AE13" s="64" t="n">
        <x:f>COUNTIFS('Topology Worlds'!$B$8:$B$133,B13,'Topology Worlds'!$L$8:$L$133,"PASS")</x:f>
        <x:v>17</x:v>
      </x:c>
      <x:c r="AF13" s="120" t="str">
        <x:v>COMPETE — NOT ADMITTED</x:v>
      </x:c>
    </x:row>
    <x:row r="14">
      <x:c r="B14" s="66" t="str">
        <x:v>T7</x:v>
      </x:c>
      <x:c r="C14" s="66" t="str">
        <x:v>Ten-island neighborhood lattice</x:v>
      </x:c>
      <x:c r="D14" s="67" t="n">
        <x:v>10</x:v>
      </x:c>
      <x:c r="E14" s="67" t="n">
        <x:v>10</x:v>
      </x:c>
      <x:c r="F14" s="67" t="n">
        <x:v>3</x:v>
      </x:c>
      <x:c r="G14" s="67" t="n">
        <x:v>2</x:v>
      </x:c>
      <x:c r="H14" s="67" t="n">
        <x:v>1</x:v>
      </x:c>
      <x:c r="I14" s="68" t="n">
        <x:f>ROUNDUP(MAX(0,Assumptions!$C$8-D14)/(F14-G14),0)</x:f>
        <x:v>0</x:v>
      </x:c>
      <x:c r="J14" s="68" t="n">
        <x:f>D14+F14*H14</x:f>
        <x:v>13</x:v>
      </x:c>
      <x:c r="K14" s="68" t="n">
        <x:f>IF(E14=0,0,ROUNDUP(D14/E14,0))</x:f>
        <x:v>1</x:v>
      </x:c>
      <x:c r="L14" s="68" t="n">
        <x:f>D14+F14*H14</x:f>
        <x:v>13</x:v>
      </x:c>
      <x:c r="M14" s="68" t="n">
        <x:f>D14+MAX(0,F14-2)*H14</x:f>
        <x:v>11</x:v>
      </x:c>
      <x:c r="N14" s="68" t="n">
        <x:f>MAX(0,D14-K14)+F14*H14</x:f>
        <x:v>12</x:v>
      </x:c>
      <x:c r="O14" s="68" t="n">
        <x:f>MAX(0,D14-K14)+MAX(0,F14-1)*H14</x:f>
        <x:v>11</x:v>
      </x:c>
      <x:c r="P14" s="68" t="n">
        <x:f>MAX(0,D14-K14)+MAX(0,F14-2)*H14</x:f>
        <x:v>10</x:v>
      </x:c>
      <x:c r="Q14" s="67" t="n">
        <x:v>5</x:v>
      </x:c>
      <x:c r="R14" s="67" t="n">
        <x:v>3</x:v>
      </x:c>
      <x:c r="S14" s="67" t="n">
        <x:v>5</x:v>
      </x:c>
      <x:c r="T14" s="67" t="n">
        <x:v>5</x:v>
      </x:c>
      <x:c r="U14" s="67" t="n">
        <x:v>5</x:v>
      </x:c>
      <x:c r="V14" s="67" t="n">
        <x:v>10</x:v>
      </x:c>
      <x:c r="W14" s="69" t="n">
        <x:v>0.92</x:v>
      </x:c>
      <x:c r="X14" s="69" t="n">
        <x:v>0.92</x:v>
      </x:c>
      <x:c r="Y14" s="66" t="str">
        <x:v>one fixed cell-island plus any two legacy access modes</x:v>
      </x:c>
      <x:c r="Z14" s="70" t="n">
        <x:f>D14*Assumptions!$E$22</x:f>
        <x:v>24.6</x:v>
      </x:c>
      <x:c r="AA14" s="70" t="n">
        <x:f>H14*SUM(Assumptions!$E$23:$E$25)</x:f>
        <x:v>8.517</x:v>
      </x:c>
      <x:c r="AB14" s="70" t="n">
        <x:f>IF(F14=4,H14*Assumptions!$E$26,0)</x:f>
        <x:v>0</x:v>
      </x:c>
      <x:c r="AC14" s="70" t="n">
        <x:f>SUM(Z14:AB14)</x:f>
        <x:v>33.117000000000004</x:v>
      </x:c>
      <x:c r="AD14" s="70" t="n">
        <x:f>AC14*Assumptions!$C$9</x:f>
        <x:v>2384.4240000000004</x:v>
      </x:c>
      <x:c r="AE14" s="71" t="n">
        <x:f>COUNTIFS('Topology Worlds'!$B$8:$B$133,B14,'Topology Worlds'!$L$8:$L$133,"PASS")</x:f>
        <x:v>16</x:v>
      </x:c>
      <x:c r="AF14" s="121" t="str">
        <x:v>COMPETE — NOT ADMITTED</x:v>
      </x:c>
    </x:row>
    <x:row r="15"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119"/>
    </x:row>
    <x:row r="16"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119"/>
    </x:row>
    <x:row r="17"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119"/>
    </x:row>
    <x:row r="18"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119"/>
    </x:row>
    <x:row r="19"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119"/>
    </x:row>
    <x:row r="20"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119"/>
    </x:row>
    <x:row r="21"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119"/>
    </x:row>
    <x:row r="22"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119"/>
    </x:row>
    <x:row r="23"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119"/>
    </x:row>
    <x:row r="24"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119"/>
    </x:row>
    <x:row r="25"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119"/>
    </x:row>
    <x:row r="26"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119"/>
    </x:row>
    <x:row r="27"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119"/>
    </x:row>
    <x:row r="28"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119"/>
    </x:row>
    <x:row r="29"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119"/>
    </x:row>
    <x:row r="30"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119"/>
    </x:row>
    <x:row r="31"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119"/>
    </x:row>
    <x:row r="32"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119"/>
    </x:row>
    <x:row r="33"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119"/>
    </x:row>
    <x:row r="34"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119"/>
    </x:row>
    <x:row r="35"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119"/>
    </x:row>
    <x:row r="36"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119"/>
    </x:row>
    <x:row r="37"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119"/>
    </x:row>
    <x:row r="38"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119"/>
    </x:row>
    <x:row r="39"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119"/>
    </x:row>
    <x:row r="40"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119"/>
    </x:row>
    <x:row r="41"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119"/>
    </x:row>
    <x:row r="42"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119"/>
    </x:row>
    <x:row r="43"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119"/>
    </x:row>
    <x:row r="44"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119"/>
    </x:row>
    <x:row r="45"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119"/>
    </x:row>
    <x:row r="46"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119"/>
    </x:row>
    <x:row r="47"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119"/>
    </x:row>
    <x:row r="48"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119"/>
    </x:row>
    <x:row r="49"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119"/>
    </x:row>
    <x:row r="50"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119"/>
    </x:row>
    <x:row r="51"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119"/>
    </x:row>
    <x:row r="52"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119"/>
    </x:row>
    <x:row r="53"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119"/>
    </x:row>
    <x:row r="54"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119"/>
    </x:row>
    <x:row r="55"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119"/>
    </x:row>
    <x:row r="56"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119"/>
    </x:row>
    <x:row r="57"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119"/>
    </x:row>
    <x:row r="58"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119"/>
    </x:row>
    <x:row r="59"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119"/>
    </x:row>
    <x:row r="60"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119"/>
    </x:row>
    <x:row r="61"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119"/>
    </x:row>
    <x:row r="62"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119"/>
    </x:row>
    <x:row r="63"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119"/>
    </x:row>
    <x:row r="64"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119"/>
    </x:row>
    <x:row r="65"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119"/>
    </x:row>
    <x:row r="66"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119"/>
    </x:row>
    <x:row r="67"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119"/>
    </x:row>
    <x:row r="68"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119"/>
    </x:row>
    <x:row r="69"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119"/>
    </x:row>
    <x:row r="70"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119"/>
    </x:row>
    <x:row r="71"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119"/>
    </x:row>
    <x:row r="72"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119"/>
    </x:row>
    <x:row r="73"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119"/>
    </x:row>
    <x:row r="74"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119"/>
    </x:row>
    <x:row r="75"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119"/>
    </x:row>
    <x:row r="76"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119"/>
    </x:row>
    <x:row r="77"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119"/>
    </x:row>
    <x:row r="78"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119"/>
    </x:row>
    <x:row r="79"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119"/>
    </x:row>
    <x:row r="80"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119"/>
    </x:row>
    <x:row r="81"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119"/>
    </x:row>
    <x:row r="82"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119"/>
    </x:row>
    <x:row r="83"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119"/>
    </x:row>
    <x:row r="84"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119"/>
    </x:row>
    <x:row r="85"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119"/>
    </x:row>
    <x:row r="86"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119"/>
    </x:row>
    <x:row r="87"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119"/>
    </x:row>
    <x:row r="88"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119"/>
    </x:row>
    <x:row r="89"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119"/>
    </x:row>
    <x:row r="90"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119"/>
    </x:row>
    <x:row r="91"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119"/>
    </x:row>
    <x:row r="92"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119"/>
    </x:row>
    <x:row r="93"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119"/>
    </x:row>
    <x:row r="94"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119"/>
    </x:row>
    <x:row r="95"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119"/>
    </x:row>
    <x:row r="96"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119"/>
    </x:row>
    <x:row r="97"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119"/>
    </x:row>
    <x:row r="98"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119"/>
    </x:row>
    <x:row r="99"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119"/>
    </x:row>
    <x:row r="100"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119"/>
    </x:row>
    <x:row r="101"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119"/>
    </x:row>
    <x:row r="102"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119"/>
    </x:row>
    <x:row r="103"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119"/>
    </x:row>
    <x:row r="104"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119"/>
    </x:row>
    <x:row r="105"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119"/>
    </x:row>
    <x:row r="106"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119"/>
    </x:row>
    <x:row r="107"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119"/>
    </x:row>
    <x:row r="108"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119"/>
    </x:row>
    <x:row r="109"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119"/>
    </x:row>
    <x:row r="110"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119"/>
    </x:row>
    <x:row r="111"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119"/>
    </x:row>
    <x:row r="112"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119"/>
    </x:row>
    <x:row r="113"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119"/>
    </x:row>
    <x:row r="114"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119"/>
    </x:row>
    <x:row r="115"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119"/>
    </x:row>
    <x:row r="116"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119"/>
    </x:row>
    <x:row r="117"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119"/>
    </x:row>
    <x:row r="118"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119"/>
    </x:row>
    <x:row r="119"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119"/>
    </x:row>
    <x:row r="120"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119"/>
    </x:row>
    <x:row r="121"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119"/>
    </x:row>
    <x:row r="122"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119"/>
    </x:row>
    <x:row r="123"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119"/>
    </x:row>
    <x:row r="124"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119"/>
    </x:row>
    <x:row r="125"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119"/>
    </x:row>
    <x:row r="126"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119"/>
    </x:row>
    <x:row r="127"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119"/>
    </x:row>
    <x:row r="128"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119"/>
    </x:row>
    <x:row r="129"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119"/>
    </x:row>
    <x:row r="130"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119"/>
    </x:row>
    <x:row r="131"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119"/>
    </x:row>
    <x:row r="132"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119"/>
    </x:row>
    <x:row r="133"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119"/>
    </x:row>
    <x:row r="134"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119"/>
    </x:row>
    <x:row r="135"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119"/>
    </x:row>
    <x:row r="136"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119"/>
    </x:row>
    <x:row r="137"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119"/>
    </x:row>
    <x:row r="138"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119"/>
    </x:row>
    <x:row r="139"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119"/>
    </x:row>
    <x:row r="140"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119"/>
    </x:row>
    <x:row r="141"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119"/>
    </x:row>
    <x:row r="142"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119"/>
    </x:row>
    <x:row r="143"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119"/>
    </x:row>
    <x:row r="144"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119"/>
    </x:row>
    <x:row r="145"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119"/>
    </x:row>
    <x:row r="146"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119"/>
    </x:row>
    <x:row r="147"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119"/>
    </x:row>
    <x:row r="148"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119"/>
    </x:row>
    <x:row r="149"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119"/>
    </x:row>
    <x:row r="150"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119"/>
    </x:row>
    <x:row r="151"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119"/>
    </x:row>
    <x:row r="152"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119"/>
    </x:row>
    <x:row r="153"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119"/>
    </x:row>
    <x:row r="154"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119"/>
    </x:row>
    <x:row r="155"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119"/>
    </x:row>
    <x:row r="156"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119"/>
    </x:row>
    <x:row r="157"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119"/>
    </x:row>
    <x:row r="158"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119"/>
    </x:row>
    <x:row r="159"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119"/>
    </x:row>
    <x:row r="160"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119"/>
    </x:row>
    <x:row r="161"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119"/>
    </x:row>
    <x:row r="162"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119"/>
    </x:row>
    <x:row r="163"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119"/>
    </x:row>
    <x:row r="164"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119"/>
    </x:row>
    <x:row r="165"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119"/>
    </x:row>
    <x:row r="166"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119"/>
    </x:row>
    <x:row r="167"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119"/>
    </x:row>
    <x:row r="168"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119"/>
    </x:row>
    <x:row r="169"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119"/>
    </x:row>
    <x:row r="170"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119"/>
    </x:row>
    <x:row r="171"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119"/>
    </x:row>
    <x:row r="172"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119"/>
    </x:row>
    <x:row r="173"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119"/>
    </x:row>
    <x:row r="174"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119"/>
    </x:row>
    <x:row r="175"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119"/>
    </x:row>
    <x:row r="176"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119"/>
    </x:row>
    <x:row r="177"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119"/>
    </x:row>
    <x:row r="178"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119"/>
    </x:row>
    <x:row r="179"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119"/>
    </x:row>
    <x:row r="180"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119"/>
    </x:row>
    <x:row r="181"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119"/>
    </x:row>
    <x:row r="182"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119"/>
    </x:row>
    <x:row r="183"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119"/>
    </x:row>
    <x:row r="184"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119"/>
    </x:row>
    <x:row r="185"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119"/>
    </x:row>
    <x:row r="186"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119"/>
    </x:row>
    <x:row r="187"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119"/>
    </x:row>
    <x:row r="188"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119"/>
    </x:row>
    <x:row r="189"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119"/>
    </x:row>
    <x:row r="190"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119"/>
    </x:row>
    <x:row r="191"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119"/>
    </x:row>
    <x:row r="192"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119"/>
    </x:row>
    <x:row r="193"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119"/>
    </x:row>
    <x:row r="194"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119"/>
    </x:row>
    <x:row r="195"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119"/>
    </x:row>
    <x:row r="196"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119"/>
    </x:row>
    <x:row r="197"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119"/>
    </x:row>
    <x:row r="198"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119"/>
    </x:row>
    <x:row r="199"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119"/>
    </x:row>
    <x:row r="200"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119"/>
    </x:row>
    <x:row r="201"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119"/>
    </x:row>
    <x:row r="202"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119"/>
    </x:row>
    <x:row r="203"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119"/>
    </x:row>
    <x:row r="204"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119"/>
    </x:row>
    <x:row r="205"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119"/>
    </x:row>
    <x:row r="206"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119"/>
    </x:row>
    <x:row r="207"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119"/>
    </x:row>
    <x:row r="208"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119"/>
    </x:row>
    <x:row r="209"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119"/>
    </x:row>
    <x:row r="210"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119"/>
    </x:row>
    <x:row r="211"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119"/>
    </x:row>
    <x:row r="212"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119"/>
    </x:row>
    <x:row r="213"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119"/>
    </x:row>
    <x:row r="214"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119"/>
    </x:row>
    <x:row r="215"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119"/>
    </x:row>
    <x:row r="216"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119"/>
    </x:row>
    <x:row r="217"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119"/>
    </x:row>
    <x:row r="218"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119"/>
    </x:row>
    <x:row r="219"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119"/>
    </x:row>
    <x:row r="220"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119"/>
    </x:row>
    <x:row r="221"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119"/>
    </x:row>
    <x:row r="222"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119"/>
    </x:row>
    <x:row r="223"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119"/>
    </x:row>
    <x:row r="224"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119"/>
    </x:row>
    <x:row r="225"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119"/>
    </x:row>
    <x:row r="226"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119"/>
    </x:row>
    <x:row r="227"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119"/>
    </x:row>
    <x:row r="228"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119"/>
    </x:row>
    <x:row r="229"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119"/>
    </x:row>
    <x:row r="230"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119"/>
    </x:row>
    <x:row r="231"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119"/>
    </x:row>
    <x:row r="232"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119"/>
    </x:row>
    <x:row r="233"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119"/>
    </x:row>
    <x:row r="234"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119"/>
    </x:row>
    <x:row r="235"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119"/>
    </x:row>
    <x:row r="236"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119"/>
    </x:row>
    <x:row r="237"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119"/>
    </x:row>
    <x:row r="238"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119"/>
    </x:row>
    <x:row r="239"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  <x:c r="AF239" s="119"/>
    </x:row>
    <x:row r="240"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  <x:c r="AF240" s="119"/>
    </x:row>
    <x:row r="241"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  <x:c r="AF241" s="119"/>
    </x:row>
    <x:row r="242"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  <x:c r="AF242" s="119"/>
    </x:row>
    <x:row r="243"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  <x:c r="AF243" s="119"/>
    </x:row>
    <x:row r="244"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  <x:c r="AF244" s="119"/>
    </x:row>
    <x:row r="245"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  <x:c r="AF245" s="119"/>
    </x:row>
    <x:row r="246"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  <x:c r="AF246" s="119"/>
    </x:row>
    <x:row r="247"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  <x:c r="AF247" s="119"/>
    </x:row>
    <x:row r="248"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  <x:c r="AF248" s="119"/>
    </x:row>
    <x:row r="249"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  <x:c r="AF249" s="119"/>
    </x:row>
    <x:row r="250"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  <x:c r="AF250" s="119"/>
    </x:row>
    <x:row r="251"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  <x:c r="AF251" s="119"/>
    </x:row>
    <x:row r="252"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  <x:c r="AF252" s="119"/>
    </x:row>
    <x:row r="253"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  <x:c r="AF253" s="119"/>
    </x:row>
    <x:row r="254"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  <x:c r="AF254" s="119"/>
    </x:row>
    <x:row r="255"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  <x:c r="AF255" s="119"/>
    </x:row>
    <x:row r="256"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  <x:c r="AF256" s="119"/>
    </x:row>
    <x:row r="257"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  <x:c r="AF257" s="119"/>
    </x:row>
    <x:row r="258"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  <x:c r="AF258" s="119"/>
    </x:row>
    <x:row r="259"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  <x:c r="AF259" s="119"/>
    </x:row>
    <x:row r="260"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  <x:c r="AF260" s="119"/>
    </x:row>
    <x:row r="261"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  <x:c r="AF261" s="119"/>
    </x:row>
    <x:row r="262"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  <x:c r="AF262" s="119"/>
    </x:row>
    <x:row r="263"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  <x:c r="AF263" s="119"/>
    </x:row>
    <x:row r="264"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  <x:c r="AF264" s="119"/>
    </x:row>
    <x:row r="265"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  <x:c r="AF265" s="119"/>
    </x:row>
    <x:row r="266"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  <x:c r="AF266" s="119"/>
    </x:row>
    <x:row r="267"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  <x:c r="AF267" s="119"/>
    </x:row>
    <x:row r="268"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  <x:c r="AF268" s="119"/>
    </x:row>
    <x:row r="269"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  <x:c r="AF269" s="119"/>
    </x:row>
    <x:row r="270"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  <x:c r="AF270" s="119"/>
    </x:row>
    <x:row r="271"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  <x:c r="AF271" s="119"/>
    </x:row>
    <x:row r="272"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  <x:c r="AF272" s="119"/>
    </x:row>
    <x:row r="273"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  <x:c r="AF273" s="119"/>
    </x:row>
    <x:row r="274"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  <x:c r="AF274" s="119"/>
    </x:row>
    <x:row r="275"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  <x:c r="AF275" s="119"/>
    </x:row>
    <x:row r="276"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  <x:c r="AF276" s="119"/>
    </x:row>
    <x:row r="277"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  <x:c r="AF277" s="119"/>
    </x:row>
    <x:row r="278"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  <x:c r="AF278" s="119"/>
    </x:row>
    <x:row r="279"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  <x:c r="AF279" s="119"/>
    </x:row>
    <x:row r="280"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  <x:c r="AF280" s="119"/>
    </x:row>
    <x:row r="281"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  <x:c r="AF281" s="119"/>
    </x:row>
    <x:row r="282"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  <x:c r="AF282" s="119"/>
    </x:row>
    <x:row r="283"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  <x:c r="AF283" s="119"/>
    </x:row>
    <x:row r="284"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  <x:c r="AF284" s="119"/>
    </x:row>
    <x:row r="285"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  <x:c r="AF285" s="119"/>
    </x:row>
    <x:row r="286"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  <x:c r="AF286" s="119"/>
    </x:row>
    <x:row r="287"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  <x:c r="AF287" s="119"/>
    </x:row>
    <x:row r="288"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  <x:c r="AF288" s="119"/>
    </x:row>
    <x:row r="289"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  <x:c r="AF289" s="119"/>
    </x:row>
    <x:row r="290"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  <x:c r="AF290" s="119"/>
    </x:row>
    <x:row r="291"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  <x:c r="AF291" s="119"/>
    </x:row>
    <x:row r="292"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  <x:c r="AF292" s="119"/>
    </x:row>
    <x:row r="293"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  <x:c r="AF293" s="119"/>
    </x:row>
    <x:row r="294"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  <x:c r="AF294" s="119"/>
    </x:row>
    <x:row r="295"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  <x:c r="AF295" s="119"/>
    </x:row>
    <x:row r="296"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  <x:c r="AF296" s="119"/>
    </x:row>
    <x:row r="297"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  <x:c r="AF297" s="119"/>
    </x:row>
    <x:row r="298"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  <x:c r="AF298" s="119"/>
    </x:row>
    <x:row r="299"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  <x:c r="AF299" s="119"/>
    </x:row>
    <x:row r="300"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  <x:c r="AF300" s="119"/>
    </x:row>
    <x:row r="301"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  <x:c r="AF301" s="119"/>
    </x:row>
    <x:row r="302"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  <x:c r="AF302" s="119"/>
    </x:row>
    <x:row r="303"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  <x:c r="AF303" s="119"/>
    </x:row>
    <x:row r="304"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  <x:c r="AF304" s="119"/>
    </x:row>
    <x:row r="305"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  <x:c r="AF305" s="119"/>
    </x:row>
    <x:row r="306"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  <x:c r="AF306" s="119"/>
    </x:row>
    <x:row r="307"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  <x:c r="AF307" s="119"/>
    </x:row>
    <x:row r="308"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  <x:c r="AF308" s="119"/>
    </x:row>
    <x:row r="309"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  <x:c r="AF309" s="119"/>
    </x:row>
    <x:row r="310"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  <x:c r="AF310" s="119"/>
    </x:row>
    <x:row r="311"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  <x:c r="AF311" s="119"/>
    </x:row>
    <x:row r="312"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  <x:c r="AF312" s="119"/>
    </x:row>
    <x:row r="313"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  <x:c r="AF313" s="119"/>
    </x:row>
    <x:row r="314"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  <x:c r="AF314" s="119"/>
    </x:row>
    <x:row r="315"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  <x:c r="AF315" s="119"/>
    </x:row>
    <x:row r="316"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  <x:c r="AF316" s="119"/>
    </x:row>
    <x:row r="317"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  <x:c r="AF317" s="119"/>
    </x:row>
    <x:row r="318"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  <x:c r="AF318" s="119"/>
    </x:row>
    <x:row r="319"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  <x:c r="AF319" s="119"/>
    </x:row>
    <x:row r="320"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  <x:c r="AF320" s="119"/>
    </x:row>
  </x:sheetData>
  <x:mergeCells>
    <x:mergeCell ref="B6:AE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2" max="2" width="10" hidden="0" customWidth="1"/>
    <x:col min="3" max="3" width="9" hidden="0" customWidth="1"/>
    <x:col min="4" max="4" width="35" hidden="0" customWidth="1"/>
    <x:col min="5" max="5" width="13" hidden="0" customWidth="1"/>
    <x:col min="6" max="6" width="13" hidden="0" customWidth="1"/>
    <x:col min="7" max="7" width="16" hidden="0" customWidth="1"/>
    <x:col min="8" max="8" width="15" hidden="0" customWidth="1"/>
    <x:col min="9" max="9" width="14" hidden="0" customWidth="1"/>
    <x:col min="10" max="10" width="16" hidden="0" customWidth="1"/>
    <x:col min="11" max="11" width="13" hidden="0" customWidth="1"/>
    <x:col min="12" max="12" width="12" hidden="0" customWidth="1"/>
    <x:col min="13" max="13" width="40" hidden="0" customWidth="1"/>
  </x:cols>
  <x:sheetData>
    <x:row r="2">
      <x:c r="B2" s="3" t="str">
        <x:v>Deterministic topology worlds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</x:row>
    <x:row r="3">
      <x:c r="B3" s="4" t="str">
        <x:v>Failure identities are retained; pass counts are indexes, not weighted scores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</x:row>
    <x:row r="6">
      <x:c r="B6" s="8" t="str">
        <x:v>Seven topologies by eighteen integrated worlds</x:v>
      </x:c>
      <x:c r="C6" s="9" t="str">
        <x:v>Seven topologies by eighteen integrated worlds</x:v>
      </x:c>
      <x:c r="D6" s="9" t="str">
        <x:v>Seven topologies by eighteen integrated worlds</x:v>
      </x:c>
      <x:c r="E6" s="9" t="str">
        <x:v>Seven topologies by eighteen integrated worlds</x:v>
      </x:c>
      <x:c r="F6" s="9" t="str">
        <x:v>Seven topologies by eighteen integrated worlds</x:v>
      </x:c>
      <x:c r="G6" s="9" t="str">
        <x:v>Seven topologies by eighteen integrated worlds</x:v>
      </x:c>
      <x:c r="H6" s="9" t="str">
        <x:v>Seven topologies by eighteen integrated worlds</x:v>
      </x:c>
      <x:c r="I6" s="9" t="str">
        <x:v>Seven topologies by eighteen integrated worlds</x:v>
      </x:c>
      <x:c r="J6" s="9" t="str">
        <x:v>Seven topologies by eighteen integrated worlds</x:v>
      </x:c>
      <x:c r="K6" s="9" t="str">
        <x:v>Seven topologies by eighteen integrated worlds</x:v>
      </x:c>
      <x:c r="L6" s="9" t="str">
        <x:v>Seven topologies by eighteen integrated worlds</x:v>
      </x:c>
      <x:c r="M6" s="10" t="str">
        <x:v>Seven topologies by eighteen integrated worlds</x:v>
      </x:c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</x:row>
    <x:row r="7">
      <x:c r="B7" s="24" t="str">
        <x:v>Topology</x:v>
      </x:c>
      <x:c r="C7" s="25" t="str">
        <x:v>World</x:v>
      </x:c>
      <x:c r="D7" s="25" t="str">
        <x:v>World name</x:v>
      </x:c>
      <x:c r="E7" s="25" t="str">
        <x:v>Fixed units lost</x:v>
      </x:c>
      <x:c r="F7" s="25" t="str">
        <x:v>Access modes lost</x:v>
      </x:c>
      <x:c r="G7" s="25" t="str">
        <x:v>Special loss</x:v>
      </x:c>
      <x:c r="H7" s="25" t="str">
        <x:v>Pre-ancestry cells</x:v>
      </x:c>
      <x:c r="I7" s="25" t="str">
        <x:v>Ancestry loss</x:v>
      </x:c>
      <x:c r="J7" s="25" t="str">
        <x:v>Retained complete cells</x:v>
      </x:c>
      <x:c r="K7" s="25" t="str">
        <x:v>Required cells</x:v>
      </x:c>
      <x:c r="L7" s="25" t="str">
        <x:v>Result</x:v>
      </x:c>
      <x:c r="M7" s="25" t="str">
        <x:v>Failure identity</x:v>
      </x:c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</x:row>
    <x:row r="8">
      <x:c r="B8" s="59" t="str">
        <x:v>T1</x:v>
      </x:c>
      <x:c r="C8" s="59" t="str">
        <x:v>W01</x:v>
      </x:c>
      <x:c r="D8" s="59" t="str">
        <x:v>Baseline release</x:v>
      </x:c>
      <x:c r="E8" s="59" t="n">
        <x:v>0</x:v>
      </x:c>
      <x:c r="F8" s="59" t="n">
        <x:v>0</x:v>
      </x:c>
      <x:c r="G8" s="59" t="str">
        <x:v>NONE</x:v>
      </x:c>
      <x:c r="H8" s="64" t="n">
        <x:f>MAX(0,INDEX('Topology Library'!$D$8:$D$14,MATCH(B8,'Topology Library'!$B$8:$B$14,0))-E8)+MAX(0,INDEX('Topology Library'!$F$8:$F$14,MATCH(B8,'Topology Library'!$B$8:$B$14,0))-F8)*INDEX('Topology Library'!$H$8:$H$14,MATCH(B8,'Topology Library'!$B$8:$B$14,0))</x:f>
        <x:v>30</x:v>
      </x:c>
      <x:c r="I8" s="64" t="n">
        <x:v>0</x:v>
      </x:c>
      <x:c r="J8" s="64" t="n">
        <x:f>MAX(0,H8-I8)</x:f>
        <x:v>30</x:v>
      </x:c>
      <x:c r="K8" s="64" t="n">
        <x:f>Assumptions!$C$8</x:f>
        <x:v>10</x:v>
      </x:c>
      <x:c r="L8" s="64" t="str">
        <x:f>IF(J8&gt;=K8,"PASS","FAIL")</x:f>
        <x:v>PASS</x:v>
      </x:c>
      <x:c r="M8" s="80" t="str">
        <x:v>all declared positions available</x:v>
      </x:c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</x:row>
    <x:row r="9">
      <x:c r="B9" s="59" t="str">
        <x:v>T1</x:v>
      </x:c>
      <x:c r="C9" s="59" t="str">
        <x:v>W02</x:v>
      </x:c>
      <x:c r="D9" s="59" t="str">
        <x:v>Any one access mode lost</x:v>
      </x:c>
      <x:c r="E9" s="59" t="n">
        <x:v>0</x:v>
      </x:c>
      <x:c r="F9" s="59" t="n">
        <x:v>1</x:v>
      </x:c>
      <x:c r="G9" s="59" t="str">
        <x:v>NONE</x:v>
      </x:c>
      <x:c r="H9" s="64" t="n">
        <x:f>MAX(0,INDEX('Topology Library'!$D$8:$D$14,MATCH(B9,'Topology Library'!$B$8:$B$14,0))-E9)+MAX(0,INDEX('Topology Library'!$F$8:$F$14,MATCH(B9,'Topology Library'!$B$8:$B$14,0))-F9)*INDEX('Topology Library'!$H$8:$H$14,MATCH(B9,'Topology Library'!$B$8:$B$14,0))</x:f>
        <x:v>20</x:v>
      </x:c>
      <x:c r="I9" s="64" t="n">
        <x:v>0</x:v>
      </x:c>
      <x:c r="J9" s="64" t="n">
        <x:f>MAX(0,H9-I9)</x:f>
        <x:v>20</x:v>
      </x:c>
      <x:c r="K9" s="64" t="n">
        <x:f>Assumptions!$C$8</x:f>
        <x:v>10</x:v>
      </x:c>
      <x:c r="L9" s="64" t="str">
        <x:f>IF(J9&gt;=K9,"PASS","FAIL")</x:f>
        <x:v>PASS</x:v>
      </x:c>
      <x:c r="M9" s="80" t="str">
        <x:v>largest mode-equivalent denial</x:v>
      </x:c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</x:row>
    <x:row r="10">
      <x:c r="B10" s="59" t="str">
        <x:v>T1</x:v>
      </x:c>
      <x:c r="C10" s="59" t="str">
        <x:v>W03</x:v>
      </x:c>
      <x:c r="D10" s="59" t="str">
        <x:v>Any two access modes lost</x:v>
      </x:c>
      <x:c r="E10" s="59" t="n">
        <x:v>0</x:v>
      </x:c>
      <x:c r="F10" s="59" t="n">
        <x:v>2</x:v>
      </x:c>
      <x:c r="G10" s="59" t="str">
        <x:v>NONE</x:v>
      </x:c>
      <x:c r="H10" s="64" t="n">
        <x:f>MAX(0,INDEX('Topology Library'!$D$8:$D$14,MATCH(B10,'Topology Library'!$B$8:$B$14,0))-E10)+MAX(0,INDEX('Topology Library'!$F$8:$F$14,MATCH(B10,'Topology Library'!$B$8:$B$14,0))-F10)*INDEX('Topology Library'!$H$8:$H$14,MATCH(B10,'Topology Library'!$B$8:$B$14,0))</x:f>
        <x:v>10</x:v>
      </x:c>
      <x:c r="I10" s="64" t="n">
        <x:v>0</x:v>
      </x:c>
      <x:c r="J10" s="64" t="n">
        <x:f>MAX(0,H10-I10)</x:f>
        <x:v>10</x:v>
      </x:c>
      <x:c r="K10" s="64" t="n">
        <x:f>Assumptions!$C$8</x:f>
        <x:v>10</x:v>
      </x:c>
      <x:c r="L10" s="64" t="str">
        <x:f>IF(J10&gt;=K10,"PASS","FAIL")</x:f>
        <x:v>PASS</x:v>
      </x:c>
      <x:c r="M10" s="80" t="str">
        <x:v>Pass 75 transport guarantee</x:v>
      </x:c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</x:row>
    <x:row r="11">
      <x:c r="B11" s="59" t="str">
        <x:v>T1</x:v>
      </x:c>
      <x:c r="C11" s="59" t="str">
        <x:v>W04</x:v>
      </x:c>
      <x:c r="D11" s="59" t="str">
        <x:v>Three legacy access modes lost</x:v>
      </x:c>
      <x:c r="E11" s="59" t="n">
        <x:v>0</x:v>
      </x:c>
      <x:c r="F11" s="59" t="n">
        <x:v>3</x:v>
      </x:c>
      <x:c r="G11" s="59" t="str">
        <x:v>NONE</x:v>
      </x:c>
      <x:c r="H11" s="64" t="n">
        <x:f>MAX(0,INDEX('Topology Library'!$D$8:$D$14,MATCH(B11,'Topology Library'!$B$8:$B$14,0))-E11)+MAX(0,INDEX('Topology Library'!$F$8:$F$14,MATCH(B11,'Topology Library'!$B$8:$B$14,0))-F11)*INDEX('Topology Library'!$H$8:$H$14,MATCH(B11,'Topology Library'!$B$8:$B$14,0))</x:f>
        <x:v>0</x:v>
      </x:c>
      <x:c r="I11" s="64" t="n">
        <x:v>0</x:v>
      </x:c>
      <x:c r="J11" s="64" t="n">
        <x:f>MAX(0,H11-I11)</x:f>
        <x:v>0</x:v>
      </x:c>
      <x:c r="K11" s="64" t="n">
        <x:f>Assumptions!$C$8</x:f>
        <x:v>10</x:v>
      </x:c>
      <x:c r="L11" s="64" t="str">
        <x:f>IF(J11&gt;=K11,"PASS","FAIL")</x:f>
        <x:v>FAIL</x:v>
      </x:c>
      <x:c r="M11" s="80" t="str">
        <x:v>tests value of a fourth independent path</x:v>
      </x:c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</x:row>
    <x:row r="12">
      <x:c r="B12" s="59" t="str">
        <x:v>T1</x:v>
      </x:c>
      <x:c r="C12" s="59" t="str">
        <x:v>W05</x:v>
      </x:c>
      <x:c r="D12" s="59" t="str">
        <x:v>One fixed island lost</x:v>
      </x:c>
      <x:c r="E12" s="59" t="n">
        <x:f>IF(INDEX('Topology Library'!$E$8:$E$14,MATCH(B12,'Topology Library'!$B$8:$B$14,0))=0,0,INDEX('Topology Library'!$K$8:$K$14,MATCH(B12,'Topology Library'!$B$8:$B$14,0)))</x:f>
        <x:v>0</x:v>
      </x:c>
      <x:c r="F12" s="59" t="n">
        <x:v>0</x:v>
      </x:c>
      <x:c r="G12" s="59" t="str">
        <x:v>NONE</x:v>
      </x:c>
      <x:c r="H12" s="64" t="n">
        <x:f>MAX(0,INDEX('Topology Library'!$D$8:$D$14,MATCH(B12,'Topology Library'!$B$8:$B$14,0))-E12)+MAX(0,INDEX('Topology Library'!$F$8:$F$14,MATCH(B12,'Topology Library'!$B$8:$B$14,0))-F12)*INDEX('Topology Library'!$H$8:$H$14,MATCH(B12,'Topology Library'!$B$8:$B$14,0))</x:f>
        <x:v>30</x:v>
      </x:c>
      <x:c r="I12" s="64" t="n">
        <x:v>0</x:v>
      </x:c>
      <x:c r="J12" s="64" t="n">
        <x:f>MAX(0,H12-I12)</x:f>
        <x:v>30</x:v>
      </x:c>
      <x:c r="K12" s="64" t="n">
        <x:f>Assumptions!$C$8</x:f>
        <x:v>10</x:v>
      </x:c>
      <x:c r="L12" s="64" t="str">
        <x:f>IF(J12&gt;=K12,"PASS","FAIL")</x:f>
        <x:v>PASS</x:v>
      </x:c>
      <x:c r="M12" s="80" t="str">
        <x:v>largest fixed-island share removed</x:v>
      </x:c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</x:row>
    <x:row r="13">
      <x:c r="B13" s="59" t="str">
        <x:v>T1</x:v>
      </x:c>
      <x:c r="C13" s="59" t="str">
        <x:v>W06</x:v>
      </x:c>
      <x:c r="D13" s="59" t="str">
        <x:v>Fixed island plus one access mode</x:v>
      </x:c>
      <x:c r="E13" s="59" t="n">
        <x:f>IF(INDEX('Topology Library'!$E$8:$E$14,MATCH(B13,'Topology Library'!$B$8:$B$14,0))=0,0,INDEX('Topology Library'!$K$8:$K$14,MATCH(B13,'Topology Library'!$B$8:$B$14,0)))</x:f>
        <x:v>0</x:v>
      </x:c>
      <x:c r="F13" s="59" t="n">
        <x:v>1</x:v>
      </x:c>
      <x:c r="G13" s="59" t="str">
        <x:v>NONE</x:v>
      </x:c>
      <x:c r="H13" s="64" t="n">
        <x:f>MAX(0,INDEX('Topology Library'!$D$8:$D$14,MATCH(B13,'Topology Library'!$B$8:$B$14,0))-E13)+MAX(0,INDEX('Topology Library'!$F$8:$F$14,MATCH(B13,'Topology Library'!$B$8:$B$14,0))-F13)*INDEX('Topology Library'!$H$8:$H$14,MATCH(B13,'Topology Library'!$B$8:$B$14,0))</x:f>
        <x:v>20</x:v>
      </x:c>
      <x:c r="I13" s="64" t="n">
        <x:v>0</x:v>
      </x:c>
      <x:c r="J13" s="64" t="n">
        <x:f>MAX(0,H13-I13)</x:f>
        <x:v>20</x:v>
      </x:c>
      <x:c r="K13" s="64" t="n">
        <x:f>Assumptions!$C$8</x:f>
        <x:v>10</x:v>
      </x:c>
      <x:c r="L13" s="64" t="str">
        <x:f>IF(J13&gt;=K13,"PASS","FAIL")</x:f>
        <x:v>PASS</x:v>
      </x:c>
      <x:c r="M13" s="80" t="str">
        <x:v>mixed geography and route denial</x:v>
      </x:c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</x:row>
    <x:row r="14">
      <x:c r="B14" s="59" t="str">
        <x:v>T1</x:v>
      </x:c>
      <x:c r="C14" s="59" t="str">
        <x:v>W07</x:v>
      </x:c>
      <x:c r="D14" s="59" t="str">
        <x:v>Fixed island plus two access modes</x:v>
      </x:c>
      <x:c r="E14" s="59" t="n">
        <x:f>IF(INDEX('Topology Library'!$E$8:$E$14,MATCH(B14,'Topology Library'!$B$8:$B$14,0))=0,0,INDEX('Topology Library'!$K$8:$K$14,MATCH(B14,'Topology Library'!$B$8:$B$14,0)))</x:f>
        <x:v>0</x:v>
      </x:c>
      <x:c r="F14" s="59" t="n">
        <x:v>2</x:v>
      </x:c>
      <x:c r="G14" s="59" t="str">
        <x:v>NONE</x:v>
      </x:c>
      <x:c r="H14" s="64" t="n">
        <x:f>MAX(0,INDEX('Topology Library'!$D$8:$D$14,MATCH(B14,'Topology Library'!$B$8:$B$14,0))-E14)+MAX(0,INDEX('Topology Library'!$F$8:$F$14,MATCH(B14,'Topology Library'!$B$8:$B$14,0))-F14)*INDEX('Topology Library'!$H$8:$H$14,MATCH(B14,'Topology Library'!$B$8:$B$14,0))</x:f>
        <x:v>10</x:v>
      </x:c>
      <x:c r="I14" s="64" t="n">
        <x:v>0</x:v>
      </x:c>
      <x:c r="J14" s="64" t="n">
        <x:f>MAX(0,H14-I14)</x:f>
        <x:v>10</x:v>
      </x:c>
      <x:c r="K14" s="64" t="n">
        <x:f>Assumptions!$C$8</x:f>
        <x:v>10</x:v>
      </x:c>
      <x:c r="L14" s="64" t="str">
        <x:f>IF(J14&gt;=K14,"PASS","FAIL")</x:f>
        <x:v>PASS</x:v>
      </x:c>
      <x:c r="M14" s="80" t="str">
        <x:v>strong layered guarantee</x:v>
      </x:c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</x:row>
    <x:row r="15">
      <x:c r="B15" s="59" t="str">
        <x:v>T1</x:v>
      </x:c>
      <x:c r="C15" s="59" t="str">
        <x:v>W08</x:v>
      </x:c>
      <x:c r="D15" s="59" t="str">
        <x:v>Entire fixed lattice plus one access mode</x:v>
      </x:c>
      <x:c r="E15" s="59" t="n">
        <x:f>INDEX('Topology Library'!$D$8:$D$14,MATCH(B15,'Topology Library'!$B$8:$B$14,0))</x:f>
        <x:v>0</x:v>
      </x:c>
      <x:c r="F15" s="59" t="n">
        <x:v>1</x:v>
      </x:c>
      <x:c r="G15" s="59" t="str">
        <x:v>NONE</x:v>
      </x:c>
      <x:c r="H15" s="64" t="n">
        <x:f>MAX(0,INDEX('Topology Library'!$D$8:$D$14,MATCH(B15,'Topology Library'!$B$8:$B$14,0))-E15)+MAX(0,INDEX('Topology Library'!$F$8:$F$14,MATCH(B15,'Topology Library'!$B$8:$B$14,0))-F15)*INDEX('Topology Library'!$H$8:$H$14,MATCH(B15,'Topology Library'!$B$8:$B$14,0))</x:f>
        <x:v>20</x:v>
      </x:c>
      <x:c r="I15" s="64" t="n">
        <x:v>0</x:v>
      </x:c>
      <x:c r="J15" s="64" t="n">
        <x:f>MAX(0,H15-I15)</x:f>
        <x:v>20</x:v>
      </x:c>
      <x:c r="K15" s="64" t="n">
        <x:f>Assumptions!$C$8</x:f>
        <x:v>10</x:v>
      </x:c>
      <x:c r="L15" s="64" t="str">
        <x:f>IF(J15&gt;=K15,"PASS","FAIL")</x:f>
        <x:v>PASS</x:v>
      </x:c>
      <x:c r="M15" s="80" t="str">
        <x:v>loss of all forward readiness</x:v>
      </x:c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</x:row>
    <x:row r="16">
      <x:c r="B16" s="59" t="str">
        <x:v>T1</x:v>
      </x:c>
      <x:c r="C16" s="59" t="str">
        <x:v>W09</x:v>
      </x:c>
      <x:c r="D16" s="59" t="str">
        <x:v>Largest source lineage lost</x:v>
      </x:c>
      <x:c r="E16" s="59" t="n">
        <x:v>0</x:v>
      </x:c>
      <x:c r="F16" s="59" t="n">
        <x:v>0</x:v>
      </x:c>
      <x:c r="G16" s="59" t="str">
        <x:v>SOURCE</x:v>
      </x:c>
      <x:c r="H16" s="64" t="n">
        <x:f>MAX(0,INDEX('Topology Library'!$D$8:$D$14,MATCH(B16,'Topology Library'!$B$8:$B$14,0))-E16)+MAX(0,INDEX('Topology Library'!$F$8:$F$14,MATCH(B16,'Topology Library'!$B$8:$B$14,0))-F16)*INDEX('Topology Library'!$H$8:$H$14,MATCH(B16,'Topology Library'!$B$8:$B$14,0))</x:f>
        <x:v>30</x:v>
      </x:c>
      <x:c r="I16" s="64" t="n">
        <x:f>ROUNDUP(H16/INDEX('Topology Library'!$Q$8:$Q$14,MATCH(B16,'Topology Library'!$B$8:$B$14,0)),0)</x:f>
        <x:v>10</x:v>
      </x:c>
      <x:c r="J16" s="64" t="n">
        <x:f>MAX(0,H16-I16)</x:f>
        <x:v>20</x:v>
      </x:c>
      <x:c r="K16" s="64" t="n">
        <x:f>Assumptions!$C$8</x:f>
        <x:v>10</x:v>
      </x:c>
      <x:c r="L16" s="64" t="str">
        <x:f>IF(J16&gt;=K16,"PASS","FAIL")</x:f>
        <x:v>PASS</x:v>
      </x:c>
      <x:c r="M16" s="80" t="str">
        <x:v>serialized source ancestry</x:v>
      </x:c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</x:row>
    <x:row r="17">
      <x:c r="B17" s="59" t="str">
        <x:v>T1</x:v>
      </x:c>
      <x:c r="C17" s="59" t="str">
        <x:v>W10</x:v>
      </x:c>
      <x:c r="D17" s="59" t="str">
        <x:v>Largest launch-base domain lost</x:v>
      </x:c>
      <x:c r="E17" s="59" t="n">
        <x:v>0</x:v>
      </x:c>
      <x:c r="F17" s="59" t="n">
        <x:v>0</x:v>
      </x:c>
      <x:c r="G17" s="59" t="str">
        <x:v>BASE</x:v>
      </x:c>
      <x:c r="H17" s="64" t="n">
        <x:f>MAX(0,INDEX('Topology Library'!$D$8:$D$14,MATCH(B17,'Topology Library'!$B$8:$B$14,0))-E17)+MAX(0,INDEX('Topology Library'!$F$8:$F$14,MATCH(B17,'Topology Library'!$B$8:$B$14,0))-F17)*INDEX('Topology Library'!$H$8:$H$14,MATCH(B17,'Topology Library'!$B$8:$B$14,0))</x:f>
        <x:v>30</x:v>
      </x:c>
      <x:c r="I17" s="64" t="n">
        <x:f>MIN(H17,ROUNDUP(INDEX('Topology Library'!$F$8:$F$14,MATCH(B17,'Topology Library'!$B$8:$B$14,0))/INDEX('Topology Library'!$R$8:$R$14,MATCH(B17,'Topology Library'!$B$8:$B$14,0)),0)*INDEX('Topology Library'!$H$8:$H$14,MATCH(B17,'Topology Library'!$B$8:$B$14,0)))</x:f>
        <x:v>10</x:v>
      </x:c>
      <x:c r="J17" s="64" t="n">
        <x:f>MAX(0,H17-I17)</x:f>
        <x:v>20</x:v>
      </x:c>
      <x:c r="K17" s="64" t="n">
        <x:f>Assumptions!$C$8</x:f>
        <x:v>10</x:v>
      </x:c>
      <x:c r="L17" s="64" t="str">
        <x:f>IF(J17&gt;=K17,"PASS","FAIL")</x:f>
        <x:v>PASS</x:v>
      </x:c>
      <x:c r="M17" s="80" t="str">
        <x:v>base and depot independence</x:v>
      </x:c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</x:row>
    <x:row r="18">
      <x:c r="B18" s="59" t="str">
        <x:v>T1</x:v>
      </x:c>
      <x:c r="C18" s="59" t="str">
        <x:v>W11</x:v>
      </x:c>
      <x:c r="D18" s="59" t="str">
        <x:v>Largest crew-school domain lost</x:v>
      </x:c>
      <x:c r="E18" s="59" t="n">
        <x:v>0</x:v>
      </x:c>
      <x:c r="F18" s="59" t="n">
        <x:v>0</x:v>
      </x:c>
      <x:c r="G18" s="59" t="str">
        <x:v>CREW</x:v>
      </x:c>
      <x:c r="H18" s="64" t="n">
        <x:f>MAX(0,INDEX('Topology Library'!$D$8:$D$14,MATCH(B18,'Topology Library'!$B$8:$B$14,0))-E18)+MAX(0,INDEX('Topology Library'!$F$8:$F$14,MATCH(B18,'Topology Library'!$B$8:$B$14,0))-F18)*INDEX('Topology Library'!$H$8:$H$14,MATCH(B18,'Topology Library'!$B$8:$B$14,0))</x:f>
        <x:v>30</x:v>
      </x:c>
      <x:c r="I18" s="64" t="n">
        <x:f>ROUNDUP(H18/INDEX('Topology Library'!$S$8:$S$14,MATCH(B18,'Topology Library'!$B$8:$B$14,0)),0)</x:f>
        <x:v>15</x:v>
      </x:c>
      <x:c r="J18" s="64" t="n">
        <x:f>MAX(0,H18-I18)</x:f>
        <x:v>15</x:v>
      </x:c>
      <x:c r="K18" s="64" t="n">
        <x:f>Assumptions!$C$8</x:f>
        <x:v>10</x:v>
      </x:c>
      <x:c r="L18" s="64" t="str">
        <x:f>IF(J18&gt;=K18,"PASS","FAIL")</x:f>
        <x:v>PASS</x:v>
      </x:c>
      <x:c r="M18" s="80" t="str">
        <x:v>operator qualification independence</x:v>
      </x:c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</x:row>
    <x:row r="19">
      <x:c r="B19" s="59" t="str">
        <x:v>T1</x:v>
      </x:c>
      <x:c r="C19" s="59" t="str">
        <x:v>W12</x:v>
      </x:c>
      <x:c r="D19" s="59" t="str">
        <x:v>Largest control domain lost</x:v>
      </x:c>
      <x:c r="E19" s="59" t="n">
        <x:v>0</x:v>
      </x:c>
      <x:c r="F19" s="59" t="n">
        <x:v>0</x:v>
      </x:c>
      <x:c r="G19" s="59" t="str">
        <x:v>CONTROL</x:v>
      </x:c>
      <x:c r="H19" s="64" t="n">
        <x:f>MAX(0,INDEX('Topology Library'!$D$8:$D$14,MATCH(B19,'Topology Library'!$B$8:$B$14,0))-E19)+MAX(0,INDEX('Topology Library'!$F$8:$F$14,MATCH(B19,'Topology Library'!$B$8:$B$14,0))-F19)*INDEX('Topology Library'!$H$8:$H$14,MATCH(B19,'Topology Library'!$B$8:$B$14,0))</x:f>
        <x:v>30</x:v>
      </x:c>
      <x:c r="I19" s="64" t="n">
        <x:f>ROUNDUP(H19/INDEX('Topology Library'!$T$8:$T$14,MATCH(B19,'Topology Library'!$B$8:$B$14,0)),0)</x:f>
        <x:v>15</x:v>
      </x:c>
      <x:c r="J19" s="64" t="n">
        <x:f>MAX(0,H19-I19)</x:f>
        <x:v>15</x:v>
      </x:c>
      <x:c r="K19" s="64" t="n">
        <x:f>Assumptions!$C$8</x:f>
        <x:v>10</x:v>
      </x:c>
      <x:c r="L19" s="64" t="str">
        <x:f>IF(J19&gt;=K19,"PASS","FAIL")</x:f>
        <x:v>PASS</x:v>
      </x:c>
      <x:c r="M19" s="80" t="str">
        <x:v>offline command and protection partitions</x:v>
      </x:c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</x:row>
    <x:row r="20">
      <x:c r="B20" s="59" t="str">
        <x:v>T1</x:v>
      </x:c>
      <x:c r="C20" s="59" t="str">
        <x:v>W13</x:v>
      </x:c>
      <x:c r="D20" s="59" t="str">
        <x:v>Largest heat-sink lineage lost</x:v>
      </x:c>
      <x:c r="E20" s="59" t="n">
        <x:v>0</x:v>
      </x:c>
      <x:c r="F20" s="59" t="n">
        <x:v>0</x:v>
      </x:c>
      <x:c r="G20" s="59" t="str">
        <x:v>HEAT</x:v>
      </x:c>
      <x:c r="H20" s="64" t="n">
        <x:f>MAX(0,INDEX('Topology Library'!$D$8:$D$14,MATCH(B20,'Topology Library'!$B$8:$B$14,0))-E20)+MAX(0,INDEX('Topology Library'!$F$8:$F$14,MATCH(B20,'Topology Library'!$B$8:$B$14,0))-F20)*INDEX('Topology Library'!$H$8:$H$14,MATCH(B20,'Topology Library'!$B$8:$B$14,0))</x:f>
        <x:v>30</x:v>
      </x:c>
      <x:c r="I20" s="64" t="n">
        <x:f>ROUNDUP(H20/INDEX('Topology Library'!$U$8:$U$14,MATCH(B20,'Topology Library'!$B$8:$B$14,0)),0)</x:f>
        <x:v>15</x:v>
      </x:c>
      <x:c r="J20" s="64" t="n">
        <x:f>MAX(0,H20-I20)</x:f>
        <x:v>15</x:v>
      </x:c>
      <x:c r="K20" s="64" t="n">
        <x:f>Assumptions!$C$8</x:f>
        <x:v>10</x:v>
      </x:c>
      <x:c r="L20" s="64" t="str">
        <x:f>IF(J20&gt;=K20,"PASS","FAIL")</x:f>
        <x:v>PASS</x:v>
      </x:c>
      <x:c r="M20" s="80" t="str">
        <x:v>final heat destination independence</x:v>
      </x:c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</x:row>
    <x:row r="21">
      <x:c r="B21" s="59" t="str">
        <x:v>T1</x:v>
      </x:c>
      <x:c r="C21" s="59" t="str">
        <x:v>W14</x:v>
      </x:c>
      <x:c r="D21" s="59" t="str">
        <x:v>Largest receiver-interface domain lost</x:v>
      </x:c>
      <x:c r="E21" s="59" t="n">
        <x:v>0</x:v>
      </x:c>
      <x:c r="F21" s="59" t="n">
        <x:v>0</x:v>
      </x:c>
      <x:c r="G21" s="59" t="str">
        <x:v>RECEIVER</x:v>
      </x:c>
      <x:c r="H21" s="64" t="n">
        <x:f>MAX(0,INDEX('Topology Library'!$D$8:$D$14,MATCH(B21,'Topology Library'!$B$8:$B$14,0))-E21)+MAX(0,INDEX('Topology Library'!$F$8:$F$14,MATCH(B21,'Topology Library'!$B$8:$B$14,0))-F21)*INDEX('Topology Library'!$H$8:$H$14,MATCH(B21,'Topology Library'!$B$8:$B$14,0))</x:f>
        <x:v>30</x:v>
      </x:c>
      <x:c r="I21" s="64" t="n">
        <x:f>ROUNDUP(H21/INDEX('Topology Library'!$V$8:$V$14,MATCH(B21,'Topology Library'!$B$8:$B$14,0)),0)</x:f>
        <x:v>30</x:v>
      </x:c>
      <x:c r="J21" s="64" t="n">
        <x:f>MAX(0,H21-I21)</x:f>
        <x:v>0</x:v>
      </x:c>
      <x:c r="K21" s="64" t="n">
        <x:f>Assumptions!$C$8</x:f>
        <x:v>10</x:v>
      </x:c>
      <x:c r="L21" s="64" t="str">
        <x:f>IF(J21&gt;=K21,"PASS","FAIL")</x:f>
        <x:v>FAIL</x:v>
      </x:c>
      <x:c r="M21" s="80" t="str">
        <x:v>site release and utility boundary</x:v>
      </x:c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</x:row>
    <x:row r="22">
      <x:c r="B22" s="59" t="str">
        <x:v>T1</x:v>
      </x:c>
      <x:c r="C22" s="59" t="str">
        <x:v>W15</x:v>
      </x:c>
      <x:c r="D22" s="59" t="str">
        <x:v>Second mission before full reset</x:v>
      </x:c>
      <x:c r="E22" s="59" t="n">
        <x:v>0</x:v>
      </x:c>
      <x:c r="F22" s="59" t="n">
        <x:v>0</x:v>
      </x:c>
      <x:c r="G22" s="59" t="str">
        <x:v>RESET</x:v>
      </x:c>
      <x:c r="H22" s="64" t="n">
        <x:f>MAX(0,INDEX('Topology Library'!$D$8:$D$14,MATCH(B22,'Topology Library'!$B$8:$B$14,0))-E22)+MAX(0,INDEX('Topology Library'!$F$8:$F$14,MATCH(B22,'Topology Library'!$B$8:$B$14,0))-F22)*INDEX('Topology Library'!$H$8:$H$14,MATCH(B22,'Topology Library'!$B$8:$B$14,0))</x:f>
        <x:v>30</x:v>
      </x:c>
      <x:c r="I22" s="64" t="n">
        <x:f>H22-ROUNDDOWN(H22*INDEX('Topology Library'!$W$8:$W$14,MATCH(B22,'Topology Library'!$B$8:$B$14,0)),0)</x:f>
        <x:v>8</x:v>
      </x:c>
      <x:c r="J22" s="64" t="n">
        <x:f>MAX(0,H22-I22)</x:f>
        <x:v>22</x:v>
      </x:c>
      <x:c r="K22" s="64" t="n">
        <x:f>Assumptions!$C$8</x:f>
        <x:v>10</x:v>
      </x:c>
      <x:c r="L22" s="64" t="str">
        <x:f>IF(J22&gt;=K22,"PASS","FAIL")</x:f>
        <x:v>PASS</x:v>
      </x:c>
      <x:c r="M22" s="80" t="str">
        <x:v>reconstitution capacity</x:v>
      </x:c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</x:row>
    <x:row r="23">
      <x:c r="B23" s="59" t="str">
        <x:v>T1</x:v>
      </x:c>
      <x:c r="C23" s="59" t="str">
        <x:v>W16</x:v>
      </x:c>
      <x:c r="D23" s="59" t="str">
        <x:v>Source lineage plus one access mode</x:v>
      </x:c>
      <x:c r="E23" s="59" t="n">
        <x:v>0</x:v>
      </x:c>
      <x:c r="F23" s="59" t="n">
        <x:v>1</x:v>
      </x:c>
      <x:c r="G23" s="59" t="str">
        <x:v>SOURCE</x:v>
      </x:c>
      <x:c r="H23" s="64" t="n">
        <x:f>MAX(0,INDEX('Topology Library'!$D$8:$D$14,MATCH(B23,'Topology Library'!$B$8:$B$14,0))-E23)+MAX(0,INDEX('Topology Library'!$F$8:$F$14,MATCH(B23,'Topology Library'!$B$8:$B$14,0))-F23)*INDEX('Topology Library'!$H$8:$H$14,MATCH(B23,'Topology Library'!$B$8:$B$14,0))</x:f>
        <x:v>20</x:v>
      </x:c>
      <x:c r="I23" s="64" t="n">
        <x:f>ROUNDUP(H23/INDEX('Topology Library'!$Q$8:$Q$14,MATCH(B23,'Topology Library'!$B$8:$B$14,0)),0)</x:f>
        <x:v>7</x:v>
      </x:c>
      <x:c r="J23" s="64" t="n">
        <x:f>MAX(0,H23-I23)</x:f>
        <x:v>13</x:v>
      </x:c>
      <x:c r="K23" s="64" t="n">
        <x:f>Assumptions!$C$8</x:f>
        <x:v>10</x:v>
      </x:c>
      <x:c r="L23" s="64" t="str">
        <x:f>IF(J23&gt;=K23,"PASS","FAIL")</x:f>
        <x:v>PASS</x:v>
      </x:c>
      <x:c r="M23" s="80" t="str">
        <x:v>supplier and route compound</x:v>
      </x:c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</x:row>
    <x:row r="24">
      <x:c r="B24" s="59" t="str">
        <x:v>T1</x:v>
      </x:c>
      <x:c r="C24" s="59" t="str">
        <x:v>W17</x:v>
      </x:c>
      <x:c r="D24" s="59" t="str">
        <x:v>Launch base plus one access mode</x:v>
      </x:c>
      <x:c r="E24" s="59" t="n">
        <x:v>0</x:v>
      </x:c>
      <x:c r="F24" s="59" t="n">
        <x:v>1</x:v>
      </x:c>
      <x:c r="G24" s="59" t="str">
        <x:v>BASE</x:v>
      </x:c>
      <x:c r="H24" s="64" t="n">
        <x:f>MAX(0,INDEX('Topology Library'!$D$8:$D$14,MATCH(B24,'Topology Library'!$B$8:$B$14,0))-E24)+MAX(0,INDEX('Topology Library'!$F$8:$F$14,MATCH(B24,'Topology Library'!$B$8:$B$14,0))-F24)*INDEX('Topology Library'!$H$8:$H$14,MATCH(B24,'Topology Library'!$B$8:$B$14,0))</x:f>
        <x:v>20</x:v>
      </x:c>
      <x:c r="I24" s="64" t="n">
        <x:f>MIN(H24,ROUNDUP(INDEX('Topology Library'!$F$8:$F$14,MATCH(B24,'Topology Library'!$B$8:$B$14,0))/INDEX('Topology Library'!$R$8:$R$14,MATCH(B24,'Topology Library'!$B$8:$B$14,0)),0)*INDEX('Topology Library'!$H$8:$H$14,MATCH(B24,'Topology Library'!$B$8:$B$14,0)))</x:f>
        <x:v>10</x:v>
      </x:c>
      <x:c r="J24" s="64" t="n">
        <x:f>MAX(0,H24-I24)</x:f>
        <x:v>10</x:v>
      </x:c>
      <x:c r="K24" s="64" t="n">
        <x:f>Assumptions!$C$8</x:f>
        <x:v>10</x:v>
      </x:c>
      <x:c r="L24" s="64" t="str">
        <x:f>IF(J24&gt;=K24,"PASS","FAIL")</x:f>
        <x:v>PASS</x:v>
      </x:c>
      <x:c r="M24" s="80" t="str">
        <x:v>base and route compound</x:v>
      </x:c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</x:row>
    <x:row r="25">
      <x:c r="B25" s="59" t="str">
        <x:v>T1</x:v>
      </x:c>
      <x:c r="C25" s="59" t="str">
        <x:v>W18</x:v>
      </x:c>
      <x:c r="D25" s="59" t="str">
        <x:v>Concurrent national allocation</x:v>
      </x:c>
      <x:c r="E25" s="59" t="n">
        <x:v>0</x:v>
      </x:c>
      <x:c r="F25" s="59" t="n">
        <x:v>0</x:v>
      </x:c>
      <x:c r="G25" s="59" t="str">
        <x:v>POOL</x:v>
      </x:c>
      <x:c r="H25" s="64" t="n">
        <x:f>MAX(0,INDEX('Topology Library'!$D$8:$D$14,MATCH(B25,'Topology Library'!$B$8:$B$14,0))-E25)+MAX(0,INDEX('Topology Library'!$F$8:$F$14,MATCH(B25,'Topology Library'!$B$8:$B$14,0))-F25)*INDEX('Topology Library'!$H$8:$H$14,MATCH(B25,'Topology Library'!$B$8:$B$14,0))</x:f>
        <x:v>30</x:v>
      </x:c>
      <x:c r="I25" s="64" t="n">
        <x:f>H25-ROUNDDOWN(H25*INDEX('Topology Library'!$X$8:$X$14,MATCH(B25,'Topology Library'!$B$8:$B$14,0)),0)</x:f>
        <x:v>11</x:v>
      </x:c>
      <x:c r="J25" s="64" t="n">
        <x:f>MAX(0,H25-I25)</x:f>
        <x:v>19</x:v>
      </x:c>
      <x:c r="K25" s="64" t="n">
        <x:f>Assumptions!$C$8</x:f>
        <x:v>10</x:v>
      </x:c>
      <x:c r="L25" s="64" t="str">
        <x:f>IF(J25&gt;=K25,"PASS","FAIL")</x:f>
        <x:v>PASS</x:v>
      </x:c>
      <x:c r="M25" s="80" t="str">
        <x:v>group availability after national pooling</x:v>
      </x:c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</x:row>
    <x:row r="26">
      <x:c r="B26" s="59" t="str">
        <x:v>T2</x:v>
      </x:c>
      <x:c r="C26" s="59" t="str">
        <x:v>W01</x:v>
      </x:c>
      <x:c r="D26" s="59" t="str">
        <x:v>Baseline release</x:v>
      </x:c>
      <x:c r="E26" s="59" t="n">
        <x:v>0</x:v>
      </x:c>
      <x:c r="F26" s="59" t="n">
        <x:v>0</x:v>
      </x:c>
      <x:c r="G26" s="59" t="str">
        <x:v>NONE</x:v>
      </x:c>
      <x:c r="H26" s="64" t="n">
        <x:f>MAX(0,INDEX('Topology Library'!$D$8:$D$14,MATCH(B26,'Topology Library'!$B$8:$B$14,0))-E26)+MAX(0,INDEX('Topology Library'!$F$8:$F$14,MATCH(B26,'Topology Library'!$B$8:$B$14,0))-F26)*INDEX('Topology Library'!$H$8:$H$14,MATCH(B26,'Topology Library'!$B$8:$B$14,0))</x:f>
        <x:v>12</x:v>
      </x:c>
      <x:c r="I26" s="64" t="n">
        <x:v>0</x:v>
      </x:c>
      <x:c r="J26" s="64" t="n">
        <x:f>MAX(0,H26-I26)</x:f>
        <x:v>12</x:v>
      </x:c>
      <x:c r="K26" s="64" t="n">
        <x:f>Assumptions!$C$8</x:f>
        <x:v>10</x:v>
      </x:c>
      <x:c r="L26" s="64" t="str">
        <x:f>IF(J26&gt;=K26,"PASS","FAIL")</x:f>
        <x:v>PASS</x:v>
      </x:c>
      <x:c r="M26" s="80" t="str">
        <x:v>all declared positions available</x:v>
      </x:c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</x:row>
    <x:row r="27">
      <x:c r="B27" s="59" t="str">
        <x:v>T2</x:v>
      </x:c>
      <x:c r="C27" s="59" t="str">
        <x:v>W02</x:v>
      </x:c>
      <x:c r="D27" s="59" t="str">
        <x:v>Any one access mode lost</x:v>
      </x:c>
      <x:c r="E27" s="59" t="n">
        <x:v>0</x:v>
      </x:c>
      <x:c r="F27" s="59" t="n">
        <x:v>1</x:v>
      </x:c>
      <x:c r="G27" s="59" t="str">
        <x:v>NONE</x:v>
      </x:c>
      <x:c r="H27" s="64" t="n">
        <x:f>MAX(0,INDEX('Topology Library'!$D$8:$D$14,MATCH(B27,'Topology Library'!$B$8:$B$14,0))-E27)+MAX(0,INDEX('Topology Library'!$F$8:$F$14,MATCH(B27,'Topology Library'!$B$8:$B$14,0))-F27)*INDEX('Topology Library'!$H$8:$H$14,MATCH(B27,'Topology Library'!$B$8:$B$14,0))</x:f>
        <x:v>11</x:v>
      </x:c>
      <x:c r="I27" s="64" t="n">
        <x:v>0</x:v>
      </x:c>
      <x:c r="J27" s="64" t="n">
        <x:f>MAX(0,H27-I27)</x:f>
        <x:v>11</x:v>
      </x:c>
      <x:c r="K27" s="64" t="n">
        <x:f>Assumptions!$C$8</x:f>
        <x:v>10</x:v>
      </x:c>
      <x:c r="L27" s="64" t="str">
        <x:f>IF(J27&gt;=K27,"PASS","FAIL")</x:f>
        <x:v>PASS</x:v>
      </x:c>
      <x:c r="M27" s="80" t="str">
        <x:v>largest mode-equivalent denial</x:v>
      </x:c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</x:row>
    <x:row r="28">
      <x:c r="B28" s="59" t="str">
        <x:v>T2</x:v>
      </x:c>
      <x:c r="C28" s="59" t="str">
        <x:v>W03</x:v>
      </x:c>
      <x:c r="D28" s="59" t="str">
        <x:v>Any two access modes lost</x:v>
      </x:c>
      <x:c r="E28" s="59" t="n">
        <x:v>0</x:v>
      </x:c>
      <x:c r="F28" s="59" t="n">
        <x:v>2</x:v>
      </x:c>
      <x:c r="G28" s="59" t="str">
        <x:v>NONE</x:v>
      </x:c>
      <x:c r="H28" s="64" t="n">
        <x:f>MAX(0,INDEX('Topology Library'!$D$8:$D$14,MATCH(B28,'Topology Library'!$B$8:$B$14,0))-E28)+MAX(0,INDEX('Topology Library'!$F$8:$F$14,MATCH(B28,'Topology Library'!$B$8:$B$14,0))-F28)*INDEX('Topology Library'!$H$8:$H$14,MATCH(B28,'Topology Library'!$B$8:$B$14,0))</x:f>
        <x:v>10</x:v>
      </x:c>
      <x:c r="I28" s="64" t="n">
        <x:v>0</x:v>
      </x:c>
      <x:c r="J28" s="64" t="n">
        <x:f>MAX(0,H28-I28)</x:f>
        <x:v>10</x:v>
      </x:c>
      <x:c r="K28" s="64" t="n">
        <x:f>Assumptions!$C$8</x:f>
        <x:v>10</x:v>
      </x:c>
      <x:c r="L28" s="64" t="str">
        <x:f>IF(J28&gt;=K28,"PASS","FAIL")</x:f>
        <x:v>PASS</x:v>
      </x:c>
      <x:c r="M28" s="80" t="str">
        <x:v>Pass 75 transport guarantee</x:v>
      </x:c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</x:row>
    <x:row r="29">
      <x:c r="B29" s="59" t="str">
        <x:v>T2</x:v>
      </x:c>
      <x:c r="C29" s="59" t="str">
        <x:v>W04</x:v>
      </x:c>
      <x:c r="D29" s="59" t="str">
        <x:v>Three legacy access modes lost</x:v>
      </x:c>
      <x:c r="E29" s="59" t="n">
        <x:v>0</x:v>
      </x:c>
      <x:c r="F29" s="59" t="n">
        <x:v>3</x:v>
      </x:c>
      <x:c r="G29" s="59" t="str">
        <x:v>NONE</x:v>
      </x:c>
      <x:c r="H29" s="64" t="n">
        <x:f>MAX(0,INDEX('Topology Library'!$D$8:$D$14,MATCH(B29,'Topology Library'!$B$8:$B$14,0))-E29)+MAX(0,INDEX('Topology Library'!$F$8:$F$14,MATCH(B29,'Topology Library'!$B$8:$B$14,0))-F29)*INDEX('Topology Library'!$H$8:$H$14,MATCH(B29,'Topology Library'!$B$8:$B$14,0))</x:f>
        <x:v>9</x:v>
      </x:c>
      <x:c r="I29" s="64" t="n">
        <x:v>0</x:v>
      </x:c>
      <x:c r="J29" s="64" t="n">
        <x:f>MAX(0,H29-I29)</x:f>
        <x:v>9</x:v>
      </x:c>
      <x:c r="K29" s="64" t="n">
        <x:f>Assumptions!$C$8</x:f>
        <x:v>10</x:v>
      </x:c>
      <x:c r="L29" s="64" t="str">
        <x:f>IF(J29&gt;=K29,"PASS","FAIL")</x:f>
        <x:v>FAIL</x:v>
      </x:c>
      <x:c r="M29" s="80" t="str">
        <x:v>tests value of a fourth independent path</x:v>
      </x:c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</x:row>
    <x:row r="30">
      <x:c r="B30" s="59" t="str">
        <x:v>T2</x:v>
      </x:c>
      <x:c r="C30" s="59" t="str">
        <x:v>W05</x:v>
      </x:c>
      <x:c r="D30" s="59" t="str">
        <x:v>One fixed island lost</x:v>
      </x:c>
      <x:c r="E30" s="59" t="n">
        <x:f>IF(INDEX('Topology Library'!$E$8:$E$14,MATCH(B30,'Topology Library'!$B$8:$B$14,0))=0,0,INDEX('Topology Library'!$K$8:$K$14,MATCH(B30,'Topology Library'!$B$8:$B$14,0)))</x:f>
        <x:v>9</x:v>
      </x:c>
      <x:c r="F30" s="59" t="n">
        <x:v>0</x:v>
      </x:c>
      <x:c r="G30" s="59" t="str">
        <x:v>NONE</x:v>
      </x:c>
      <x:c r="H30" s="64" t="n">
        <x:f>MAX(0,INDEX('Topology Library'!$D$8:$D$14,MATCH(B30,'Topology Library'!$B$8:$B$14,0))-E30)+MAX(0,INDEX('Topology Library'!$F$8:$F$14,MATCH(B30,'Topology Library'!$B$8:$B$14,0))-F30)*INDEX('Topology Library'!$H$8:$H$14,MATCH(B30,'Topology Library'!$B$8:$B$14,0))</x:f>
        <x:v>3</x:v>
      </x:c>
      <x:c r="I30" s="64" t="n">
        <x:v>0</x:v>
      </x:c>
      <x:c r="J30" s="64" t="n">
        <x:f>MAX(0,H30-I30)</x:f>
        <x:v>3</x:v>
      </x:c>
      <x:c r="K30" s="64" t="n">
        <x:f>Assumptions!$C$8</x:f>
        <x:v>10</x:v>
      </x:c>
      <x:c r="L30" s="64" t="str">
        <x:f>IF(J30&gt;=K30,"PASS","FAIL")</x:f>
        <x:v>FAIL</x:v>
      </x:c>
      <x:c r="M30" s="80" t="str">
        <x:v>largest fixed-island share removed</x:v>
      </x:c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</x:row>
    <x:row r="31">
      <x:c r="B31" s="59" t="str">
        <x:v>T2</x:v>
      </x:c>
      <x:c r="C31" s="59" t="str">
        <x:v>W06</x:v>
      </x:c>
      <x:c r="D31" s="59" t="str">
        <x:v>Fixed island plus one access mode</x:v>
      </x:c>
      <x:c r="E31" s="59" t="n">
        <x:f>IF(INDEX('Topology Library'!$E$8:$E$14,MATCH(B31,'Topology Library'!$B$8:$B$14,0))=0,0,INDEX('Topology Library'!$K$8:$K$14,MATCH(B31,'Topology Library'!$B$8:$B$14,0)))</x:f>
        <x:v>9</x:v>
      </x:c>
      <x:c r="F31" s="59" t="n">
        <x:v>1</x:v>
      </x:c>
      <x:c r="G31" s="59" t="str">
        <x:v>NONE</x:v>
      </x:c>
      <x:c r="H31" s="64" t="n">
        <x:f>MAX(0,INDEX('Topology Library'!$D$8:$D$14,MATCH(B31,'Topology Library'!$B$8:$B$14,0))-E31)+MAX(0,INDEX('Topology Library'!$F$8:$F$14,MATCH(B31,'Topology Library'!$B$8:$B$14,0))-F31)*INDEX('Topology Library'!$H$8:$H$14,MATCH(B31,'Topology Library'!$B$8:$B$14,0))</x:f>
        <x:v>2</x:v>
      </x:c>
      <x:c r="I31" s="64" t="n">
        <x:v>0</x:v>
      </x:c>
      <x:c r="J31" s="64" t="n">
        <x:f>MAX(0,H31-I31)</x:f>
        <x:v>2</x:v>
      </x:c>
      <x:c r="K31" s="64" t="n">
        <x:f>Assumptions!$C$8</x:f>
        <x:v>10</x:v>
      </x:c>
      <x:c r="L31" s="64" t="str">
        <x:f>IF(J31&gt;=K31,"PASS","FAIL")</x:f>
        <x:v>FAIL</x:v>
      </x:c>
      <x:c r="M31" s="80" t="str">
        <x:v>mixed geography and route denial</x:v>
      </x:c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</x:row>
    <x:row r="32">
      <x:c r="B32" s="59" t="str">
        <x:v>T2</x:v>
      </x:c>
      <x:c r="C32" s="59" t="str">
        <x:v>W07</x:v>
      </x:c>
      <x:c r="D32" s="59" t="str">
        <x:v>Fixed island plus two access modes</x:v>
      </x:c>
      <x:c r="E32" s="59" t="n">
        <x:f>IF(INDEX('Topology Library'!$E$8:$E$14,MATCH(B32,'Topology Library'!$B$8:$B$14,0))=0,0,INDEX('Topology Library'!$K$8:$K$14,MATCH(B32,'Topology Library'!$B$8:$B$14,0)))</x:f>
        <x:v>9</x:v>
      </x:c>
      <x:c r="F32" s="59" t="n">
        <x:v>2</x:v>
      </x:c>
      <x:c r="G32" s="59" t="str">
        <x:v>NONE</x:v>
      </x:c>
      <x:c r="H32" s="64" t="n">
        <x:f>MAX(0,INDEX('Topology Library'!$D$8:$D$14,MATCH(B32,'Topology Library'!$B$8:$B$14,0))-E32)+MAX(0,INDEX('Topology Library'!$F$8:$F$14,MATCH(B32,'Topology Library'!$B$8:$B$14,0))-F32)*INDEX('Topology Library'!$H$8:$H$14,MATCH(B32,'Topology Library'!$B$8:$B$14,0))</x:f>
        <x:v>1</x:v>
      </x:c>
      <x:c r="I32" s="64" t="n">
        <x:v>0</x:v>
      </x:c>
      <x:c r="J32" s="64" t="n">
        <x:f>MAX(0,H32-I32)</x:f>
        <x:v>1</x:v>
      </x:c>
      <x:c r="K32" s="64" t="n">
        <x:f>Assumptions!$C$8</x:f>
        <x:v>10</x:v>
      </x:c>
      <x:c r="L32" s="64" t="str">
        <x:f>IF(J32&gt;=K32,"PASS","FAIL")</x:f>
        <x:v>FAIL</x:v>
      </x:c>
      <x:c r="M32" s="80" t="str">
        <x:v>strong layered guarantee</x:v>
      </x:c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</x:row>
    <x:row r="33">
      <x:c r="B33" s="59" t="str">
        <x:v>T2</x:v>
      </x:c>
      <x:c r="C33" s="59" t="str">
        <x:v>W08</x:v>
      </x:c>
      <x:c r="D33" s="59" t="str">
        <x:v>Entire fixed lattice plus one access mode</x:v>
      </x:c>
      <x:c r="E33" s="59" t="n">
        <x:f>INDEX('Topology Library'!$D$8:$D$14,MATCH(B33,'Topology Library'!$B$8:$B$14,0))</x:f>
        <x:v>9</x:v>
      </x:c>
      <x:c r="F33" s="59" t="n">
        <x:v>1</x:v>
      </x:c>
      <x:c r="G33" s="59" t="str">
        <x:v>NONE</x:v>
      </x:c>
      <x:c r="H33" s="64" t="n">
        <x:f>MAX(0,INDEX('Topology Library'!$D$8:$D$14,MATCH(B33,'Topology Library'!$B$8:$B$14,0))-E33)+MAX(0,INDEX('Topology Library'!$F$8:$F$14,MATCH(B33,'Topology Library'!$B$8:$B$14,0))-F33)*INDEX('Topology Library'!$H$8:$H$14,MATCH(B33,'Topology Library'!$B$8:$B$14,0))</x:f>
        <x:v>2</x:v>
      </x:c>
      <x:c r="I33" s="64" t="n">
        <x:v>0</x:v>
      </x:c>
      <x:c r="J33" s="64" t="n">
        <x:f>MAX(0,H33-I33)</x:f>
        <x:v>2</x:v>
      </x:c>
      <x:c r="K33" s="64" t="n">
        <x:f>Assumptions!$C$8</x:f>
        <x:v>10</x:v>
      </x:c>
      <x:c r="L33" s="64" t="str">
        <x:f>IF(J33&gt;=K33,"PASS","FAIL")</x:f>
        <x:v>FAIL</x:v>
      </x:c>
      <x:c r="M33" s="80" t="str">
        <x:v>loss of all forward readiness</x:v>
      </x:c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</x:row>
    <x:row r="34">
      <x:c r="B34" s="59" t="str">
        <x:v>T2</x:v>
      </x:c>
      <x:c r="C34" s="59" t="str">
        <x:v>W09</x:v>
      </x:c>
      <x:c r="D34" s="59" t="str">
        <x:v>Largest source lineage lost</x:v>
      </x:c>
      <x:c r="E34" s="59" t="n">
        <x:v>0</x:v>
      </x:c>
      <x:c r="F34" s="59" t="n">
        <x:v>0</x:v>
      </x:c>
      <x:c r="G34" s="59" t="str">
        <x:v>SOURCE</x:v>
      </x:c>
      <x:c r="H34" s="64" t="n">
        <x:f>MAX(0,INDEX('Topology Library'!$D$8:$D$14,MATCH(B34,'Topology Library'!$B$8:$B$14,0))-E34)+MAX(0,INDEX('Topology Library'!$F$8:$F$14,MATCH(B34,'Topology Library'!$B$8:$B$14,0))-F34)*INDEX('Topology Library'!$H$8:$H$14,MATCH(B34,'Topology Library'!$B$8:$B$14,0))</x:f>
        <x:v>12</x:v>
      </x:c>
      <x:c r="I34" s="64" t="n">
        <x:f>ROUNDUP(H34/INDEX('Topology Library'!$Q$8:$Q$14,MATCH(B34,'Topology Library'!$B$8:$B$14,0)),0)</x:f>
        <x:v>6</x:v>
      </x:c>
      <x:c r="J34" s="64" t="n">
        <x:f>MAX(0,H34-I34)</x:f>
        <x:v>6</x:v>
      </x:c>
      <x:c r="K34" s="64" t="n">
        <x:f>Assumptions!$C$8</x:f>
        <x:v>10</x:v>
      </x:c>
      <x:c r="L34" s="64" t="str">
        <x:f>IF(J34&gt;=K34,"PASS","FAIL")</x:f>
        <x:v>FAIL</x:v>
      </x:c>
      <x:c r="M34" s="80" t="str">
        <x:v>serialized source ancestry</x:v>
      </x:c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</x:row>
    <x:row r="35">
      <x:c r="B35" s="59" t="str">
        <x:v>T2</x:v>
      </x:c>
      <x:c r="C35" s="59" t="str">
        <x:v>W10</x:v>
      </x:c>
      <x:c r="D35" s="59" t="str">
        <x:v>Largest launch-base domain lost</x:v>
      </x:c>
      <x:c r="E35" s="59" t="n">
        <x:v>0</x:v>
      </x:c>
      <x:c r="F35" s="59" t="n">
        <x:v>0</x:v>
      </x:c>
      <x:c r="G35" s="59" t="str">
        <x:v>BASE</x:v>
      </x:c>
      <x:c r="H35" s="64" t="n">
        <x:f>MAX(0,INDEX('Topology Library'!$D$8:$D$14,MATCH(B35,'Topology Library'!$B$8:$B$14,0))-E35)+MAX(0,INDEX('Topology Library'!$F$8:$F$14,MATCH(B35,'Topology Library'!$B$8:$B$14,0))-F35)*INDEX('Topology Library'!$H$8:$H$14,MATCH(B35,'Topology Library'!$B$8:$B$14,0))</x:f>
        <x:v>12</x:v>
      </x:c>
      <x:c r="I35" s="64" t="n">
        <x:f>MIN(H35,ROUNDUP(INDEX('Topology Library'!$F$8:$F$14,MATCH(B35,'Topology Library'!$B$8:$B$14,0))/INDEX('Topology Library'!$R$8:$R$14,MATCH(B35,'Topology Library'!$B$8:$B$14,0)),0)*INDEX('Topology Library'!$H$8:$H$14,MATCH(B35,'Topology Library'!$B$8:$B$14,0)))</x:f>
        <x:v>3</x:v>
      </x:c>
      <x:c r="J35" s="64" t="n">
        <x:f>MAX(0,H35-I35)</x:f>
        <x:v>9</x:v>
      </x:c>
      <x:c r="K35" s="64" t="n">
        <x:f>Assumptions!$C$8</x:f>
        <x:v>10</x:v>
      </x:c>
      <x:c r="L35" s="64" t="str">
        <x:f>IF(J35&gt;=K35,"PASS","FAIL")</x:f>
        <x:v>FAIL</x:v>
      </x:c>
      <x:c r="M35" s="80" t="str">
        <x:v>base and depot independence</x:v>
      </x:c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</x:row>
    <x:row r="36">
      <x:c r="B36" s="59" t="str">
        <x:v>T2</x:v>
      </x:c>
      <x:c r="C36" s="59" t="str">
        <x:v>W11</x:v>
      </x:c>
      <x:c r="D36" s="59" t="str">
        <x:v>Largest crew-school domain lost</x:v>
      </x:c>
      <x:c r="E36" s="59" t="n">
        <x:v>0</x:v>
      </x:c>
      <x:c r="F36" s="59" t="n">
        <x:v>0</x:v>
      </x:c>
      <x:c r="G36" s="59" t="str">
        <x:v>CREW</x:v>
      </x:c>
      <x:c r="H36" s="64" t="n">
        <x:f>MAX(0,INDEX('Topology Library'!$D$8:$D$14,MATCH(B36,'Topology Library'!$B$8:$B$14,0))-E36)+MAX(0,INDEX('Topology Library'!$F$8:$F$14,MATCH(B36,'Topology Library'!$B$8:$B$14,0))-F36)*INDEX('Topology Library'!$H$8:$H$14,MATCH(B36,'Topology Library'!$B$8:$B$14,0))</x:f>
        <x:v>12</x:v>
      </x:c>
      <x:c r="I36" s="64" t="n">
        <x:f>ROUNDUP(H36/INDEX('Topology Library'!$S$8:$S$14,MATCH(B36,'Topology Library'!$B$8:$B$14,0)),0)</x:f>
        <x:v>12</x:v>
      </x:c>
      <x:c r="J36" s="64" t="n">
        <x:f>MAX(0,H36-I36)</x:f>
        <x:v>0</x:v>
      </x:c>
      <x:c r="K36" s="64" t="n">
        <x:f>Assumptions!$C$8</x:f>
        <x:v>10</x:v>
      </x:c>
      <x:c r="L36" s="64" t="str">
        <x:f>IF(J36&gt;=K36,"PASS","FAIL")</x:f>
        <x:v>FAIL</x:v>
      </x:c>
      <x:c r="M36" s="80" t="str">
        <x:v>operator qualification independence</x:v>
      </x:c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</x:row>
    <x:row r="37">
      <x:c r="B37" s="59" t="str">
        <x:v>T2</x:v>
      </x:c>
      <x:c r="C37" s="59" t="str">
        <x:v>W12</x:v>
      </x:c>
      <x:c r="D37" s="59" t="str">
        <x:v>Largest control domain lost</x:v>
      </x:c>
      <x:c r="E37" s="59" t="n">
        <x:v>0</x:v>
      </x:c>
      <x:c r="F37" s="59" t="n">
        <x:v>0</x:v>
      </x:c>
      <x:c r="G37" s="59" t="str">
        <x:v>CONTROL</x:v>
      </x:c>
      <x:c r="H37" s="64" t="n">
        <x:f>MAX(0,INDEX('Topology Library'!$D$8:$D$14,MATCH(B37,'Topology Library'!$B$8:$B$14,0))-E37)+MAX(0,INDEX('Topology Library'!$F$8:$F$14,MATCH(B37,'Topology Library'!$B$8:$B$14,0))-F37)*INDEX('Topology Library'!$H$8:$H$14,MATCH(B37,'Topology Library'!$B$8:$B$14,0))</x:f>
        <x:v>12</x:v>
      </x:c>
      <x:c r="I37" s="64" t="n">
        <x:f>ROUNDUP(H37/INDEX('Topology Library'!$T$8:$T$14,MATCH(B37,'Topology Library'!$B$8:$B$14,0)),0)</x:f>
        <x:v>12</x:v>
      </x:c>
      <x:c r="J37" s="64" t="n">
        <x:f>MAX(0,H37-I37)</x:f>
        <x:v>0</x:v>
      </x:c>
      <x:c r="K37" s="64" t="n">
        <x:f>Assumptions!$C$8</x:f>
        <x:v>10</x:v>
      </x:c>
      <x:c r="L37" s="64" t="str">
        <x:f>IF(J37&gt;=K37,"PASS","FAIL")</x:f>
        <x:v>FAIL</x:v>
      </x:c>
      <x:c r="M37" s="80" t="str">
        <x:v>offline command and protection partitions</x:v>
      </x:c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</x:row>
    <x:row r="38">
      <x:c r="B38" s="59" t="str">
        <x:v>T2</x:v>
      </x:c>
      <x:c r="C38" s="59" t="str">
        <x:v>W13</x:v>
      </x:c>
      <x:c r="D38" s="59" t="str">
        <x:v>Largest heat-sink lineage lost</x:v>
      </x:c>
      <x:c r="E38" s="59" t="n">
        <x:v>0</x:v>
      </x:c>
      <x:c r="F38" s="59" t="n">
        <x:v>0</x:v>
      </x:c>
      <x:c r="G38" s="59" t="str">
        <x:v>HEAT</x:v>
      </x:c>
      <x:c r="H38" s="64" t="n">
        <x:f>MAX(0,INDEX('Topology Library'!$D$8:$D$14,MATCH(B38,'Topology Library'!$B$8:$B$14,0))-E38)+MAX(0,INDEX('Topology Library'!$F$8:$F$14,MATCH(B38,'Topology Library'!$B$8:$B$14,0))-F38)*INDEX('Topology Library'!$H$8:$H$14,MATCH(B38,'Topology Library'!$B$8:$B$14,0))</x:f>
        <x:v>12</x:v>
      </x:c>
      <x:c r="I38" s="64" t="n">
        <x:f>ROUNDUP(H38/INDEX('Topology Library'!$U$8:$U$14,MATCH(B38,'Topology Library'!$B$8:$B$14,0)),0)</x:f>
        <x:v>12</x:v>
      </x:c>
      <x:c r="J38" s="64" t="n">
        <x:f>MAX(0,H38-I38)</x:f>
        <x:v>0</x:v>
      </x:c>
      <x:c r="K38" s="64" t="n">
        <x:f>Assumptions!$C$8</x:f>
        <x:v>10</x:v>
      </x:c>
      <x:c r="L38" s="64" t="str">
        <x:f>IF(J38&gt;=K38,"PASS","FAIL")</x:f>
        <x:v>FAIL</x:v>
      </x:c>
      <x:c r="M38" s="80" t="str">
        <x:v>final heat destination independence</x:v>
      </x:c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</x:row>
    <x:row r="39">
      <x:c r="B39" s="59" t="str">
        <x:v>T2</x:v>
      </x:c>
      <x:c r="C39" s="59" t="str">
        <x:v>W14</x:v>
      </x:c>
      <x:c r="D39" s="59" t="str">
        <x:v>Largest receiver-interface domain lost</x:v>
      </x:c>
      <x:c r="E39" s="59" t="n">
        <x:v>0</x:v>
      </x:c>
      <x:c r="F39" s="59" t="n">
        <x:v>0</x:v>
      </x:c>
      <x:c r="G39" s="59" t="str">
        <x:v>RECEIVER</x:v>
      </x:c>
      <x:c r="H39" s="64" t="n">
        <x:f>MAX(0,INDEX('Topology Library'!$D$8:$D$14,MATCH(B39,'Topology Library'!$B$8:$B$14,0))-E39)+MAX(0,INDEX('Topology Library'!$F$8:$F$14,MATCH(B39,'Topology Library'!$B$8:$B$14,0))-F39)*INDEX('Topology Library'!$H$8:$H$14,MATCH(B39,'Topology Library'!$B$8:$B$14,0))</x:f>
        <x:v>12</x:v>
      </x:c>
      <x:c r="I39" s="64" t="n">
        <x:f>ROUNDUP(H39/INDEX('Topology Library'!$V$8:$V$14,MATCH(B39,'Topology Library'!$B$8:$B$14,0)),0)</x:f>
        <x:v>12</x:v>
      </x:c>
      <x:c r="J39" s="64" t="n">
        <x:f>MAX(0,H39-I39)</x:f>
        <x:v>0</x:v>
      </x:c>
      <x:c r="K39" s="64" t="n">
        <x:f>Assumptions!$C$8</x:f>
        <x:v>10</x:v>
      </x:c>
      <x:c r="L39" s="64" t="str">
        <x:f>IF(J39&gt;=K39,"PASS","FAIL")</x:f>
        <x:v>FAIL</x:v>
      </x:c>
      <x:c r="M39" s="80" t="str">
        <x:v>site release and utility boundary</x:v>
      </x:c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</x:row>
    <x:row r="40">
      <x:c r="B40" s="59" t="str">
        <x:v>T2</x:v>
      </x:c>
      <x:c r="C40" s="59" t="str">
        <x:v>W15</x:v>
      </x:c>
      <x:c r="D40" s="59" t="str">
        <x:v>Second mission before full reset</x:v>
      </x:c>
      <x:c r="E40" s="59" t="n">
        <x:v>0</x:v>
      </x:c>
      <x:c r="F40" s="59" t="n">
        <x:v>0</x:v>
      </x:c>
      <x:c r="G40" s="59" t="str">
        <x:v>RESET</x:v>
      </x:c>
      <x:c r="H40" s="64" t="n">
        <x:f>MAX(0,INDEX('Topology Library'!$D$8:$D$14,MATCH(B40,'Topology Library'!$B$8:$B$14,0))-E40)+MAX(0,INDEX('Topology Library'!$F$8:$F$14,MATCH(B40,'Topology Library'!$B$8:$B$14,0))-F40)*INDEX('Topology Library'!$H$8:$H$14,MATCH(B40,'Topology Library'!$B$8:$B$14,0))</x:f>
        <x:v>12</x:v>
      </x:c>
      <x:c r="I40" s="64" t="n">
        <x:f>H40-ROUNDDOWN(H40*INDEX('Topology Library'!$W$8:$W$14,MATCH(B40,'Topology Library'!$B$8:$B$14,0)),0)</x:f>
        <x:v>3</x:v>
      </x:c>
      <x:c r="J40" s="64" t="n">
        <x:f>MAX(0,H40-I40)</x:f>
        <x:v>9</x:v>
      </x:c>
      <x:c r="K40" s="64" t="n">
        <x:f>Assumptions!$C$8</x:f>
        <x:v>10</x:v>
      </x:c>
      <x:c r="L40" s="64" t="str">
        <x:f>IF(J40&gt;=K40,"PASS","FAIL")</x:f>
        <x:v>FAIL</x:v>
      </x:c>
      <x:c r="M40" s="80" t="str">
        <x:v>reconstitution capacity</x:v>
      </x:c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</x:row>
    <x:row r="41">
      <x:c r="B41" s="59" t="str">
        <x:v>T2</x:v>
      </x:c>
      <x:c r="C41" s="59" t="str">
        <x:v>W16</x:v>
      </x:c>
      <x:c r="D41" s="59" t="str">
        <x:v>Source lineage plus one access mode</x:v>
      </x:c>
      <x:c r="E41" s="59" t="n">
        <x:v>0</x:v>
      </x:c>
      <x:c r="F41" s="59" t="n">
        <x:v>1</x:v>
      </x:c>
      <x:c r="G41" s="59" t="str">
        <x:v>SOURCE</x:v>
      </x:c>
      <x:c r="H41" s="64" t="n">
        <x:f>MAX(0,INDEX('Topology Library'!$D$8:$D$14,MATCH(B41,'Topology Library'!$B$8:$B$14,0))-E41)+MAX(0,INDEX('Topology Library'!$F$8:$F$14,MATCH(B41,'Topology Library'!$B$8:$B$14,0))-F41)*INDEX('Topology Library'!$H$8:$H$14,MATCH(B41,'Topology Library'!$B$8:$B$14,0))</x:f>
        <x:v>11</x:v>
      </x:c>
      <x:c r="I41" s="64" t="n">
        <x:f>ROUNDUP(H41/INDEX('Topology Library'!$Q$8:$Q$14,MATCH(B41,'Topology Library'!$B$8:$B$14,0)),0)</x:f>
        <x:v>6</x:v>
      </x:c>
      <x:c r="J41" s="64" t="n">
        <x:f>MAX(0,H41-I41)</x:f>
        <x:v>5</x:v>
      </x:c>
      <x:c r="K41" s="64" t="n">
        <x:f>Assumptions!$C$8</x:f>
        <x:v>10</x:v>
      </x:c>
      <x:c r="L41" s="64" t="str">
        <x:f>IF(J41&gt;=K41,"PASS","FAIL")</x:f>
        <x:v>FAIL</x:v>
      </x:c>
      <x:c r="M41" s="80" t="str">
        <x:v>supplier and route compound</x:v>
      </x:c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</x:row>
    <x:row r="42">
      <x:c r="B42" s="59" t="str">
        <x:v>T2</x:v>
      </x:c>
      <x:c r="C42" s="59" t="str">
        <x:v>W17</x:v>
      </x:c>
      <x:c r="D42" s="59" t="str">
        <x:v>Launch base plus one access mode</x:v>
      </x:c>
      <x:c r="E42" s="59" t="n">
        <x:v>0</x:v>
      </x:c>
      <x:c r="F42" s="59" t="n">
        <x:v>1</x:v>
      </x:c>
      <x:c r="G42" s="59" t="str">
        <x:v>BASE</x:v>
      </x:c>
      <x:c r="H42" s="64" t="n">
        <x:f>MAX(0,INDEX('Topology Library'!$D$8:$D$14,MATCH(B42,'Topology Library'!$B$8:$B$14,0))-E42)+MAX(0,INDEX('Topology Library'!$F$8:$F$14,MATCH(B42,'Topology Library'!$B$8:$B$14,0))-F42)*INDEX('Topology Library'!$H$8:$H$14,MATCH(B42,'Topology Library'!$B$8:$B$14,0))</x:f>
        <x:v>11</x:v>
      </x:c>
      <x:c r="I42" s="64" t="n">
        <x:f>MIN(H42,ROUNDUP(INDEX('Topology Library'!$F$8:$F$14,MATCH(B42,'Topology Library'!$B$8:$B$14,0))/INDEX('Topology Library'!$R$8:$R$14,MATCH(B42,'Topology Library'!$B$8:$B$14,0)),0)*INDEX('Topology Library'!$H$8:$H$14,MATCH(B42,'Topology Library'!$B$8:$B$14,0)))</x:f>
        <x:v>3</x:v>
      </x:c>
      <x:c r="J42" s="64" t="n">
        <x:f>MAX(0,H42-I42)</x:f>
        <x:v>8</x:v>
      </x:c>
      <x:c r="K42" s="64" t="n">
        <x:f>Assumptions!$C$8</x:f>
        <x:v>10</x:v>
      </x:c>
      <x:c r="L42" s="64" t="str">
        <x:f>IF(J42&gt;=K42,"PASS","FAIL")</x:f>
        <x:v>FAIL</x:v>
      </x:c>
      <x:c r="M42" s="80" t="str">
        <x:v>base and route compound</x:v>
      </x:c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</x:row>
    <x:row r="43">
      <x:c r="B43" s="59" t="str">
        <x:v>T2</x:v>
      </x:c>
      <x:c r="C43" s="59" t="str">
        <x:v>W18</x:v>
      </x:c>
      <x:c r="D43" s="59" t="str">
        <x:v>Concurrent national allocation</x:v>
      </x:c>
      <x:c r="E43" s="59" t="n">
        <x:v>0</x:v>
      </x:c>
      <x:c r="F43" s="59" t="n">
        <x:v>0</x:v>
      </x:c>
      <x:c r="G43" s="59" t="str">
        <x:v>POOL</x:v>
      </x:c>
      <x:c r="H43" s="64" t="n">
        <x:f>MAX(0,INDEX('Topology Library'!$D$8:$D$14,MATCH(B43,'Topology Library'!$B$8:$B$14,0))-E43)+MAX(0,INDEX('Topology Library'!$F$8:$F$14,MATCH(B43,'Topology Library'!$B$8:$B$14,0))-F43)*INDEX('Topology Library'!$H$8:$H$14,MATCH(B43,'Topology Library'!$B$8:$B$14,0))</x:f>
        <x:v>12</x:v>
      </x:c>
      <x:c r="I43" s="64" t="n">
        <x:f>H43-ROUNDDOWN(H43*INDEX('Topology Library'!$X$8:$X$14,MATCH(B43,'Topology Library'!$B$8:$B$14,0)),0)</x:f>
        <x:v>3</x:v>
      </x:c>
      <x:c r="J43" s="64" t="n">
        <x:f>MAX(0,H43-I43)</x:f>
        <x:v>9</x:v>
      </x:c>
      <x:c r="K43" s="64" t="n">
        <x:f>Assumptions!$C$8</x:f>
        <x:v>10</x:v>
      </x:c>
      <x:c r="L43" s="64" t="str">
        <x:f>IF(J43&gt;=K43,"PASS","FAIL")</x:f>
        <x:v>FAIL</x:v>
      </x:c>
      <x:c r="M43" s="80" t="str">
        <x:v>group availability after national pooling</x:v>
      </x:c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</x:row>
    <x:row r="44">
      <x:c r="B44" s="59" t="str">
        <x:v>T3</x:v>
      </x:c>
      <x:c r="C44" s="59" t="str">
        <x:v>W01</x:v>
      </x:c>
      <x:c r="D44" s="59" t="str">
        <x:v>Baseline release</x:v>
      </x:c>
      <x:c r="E44" s="59" t="n">
        <x:v>0</x:v>
      </x:c>
      <x:c r="F44" s="59" t="n">
        <x:v>0</x:v>
      </x:c>
      <x:c r="G44" s="59" t="str">
        <x:v>NONE</x:v>
      </x:c>
      <x:c r="H44" s="64" t="n">
        <x:f>MAX(0,INDEX('Topology Library'!$D$8:$D$14,MATCH(B44,'Topology Library'!$B$8:$B$14,0))-E44)+MAX(0,INDEX('Topology Library'!$F$8:$F$14,MATCH(B44,'Topology Library'!$B$8:$B$14,0))-F44)*INDEX('Topology Library'!$H$8:$H$14,MATCH(B44,'Topology Library'!$B$8:$B$14,0))</x:f>
        <x:v>15</x:v>
      </x:c>
      <x:c r="I44" s="64" t="n">
        <x:v>0</x:v>
      </x:c>
      <x:c r="J44" s="64" t="n">
        <x:f>MAX(0,H44-I44)</x:f>
        <x:v>15</x:v>
      </x:c>
      <x:c r="K44" s="64" t="n">
        <x:f>Assumptions!$C$8</x:f>
        <x:v>10</x:v>
      </x:c>
      <x:c r="L44" s="64" t="str">
        <x:f>IF(J44&gt;=K44,"PASS","FAIL")</x:f>
        <x:v>PASS</x:v>
      </x:c>
      <x:c r="M44" s="80" t="str">
        <x:v>all declared positions available</x:v>
      </x:c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</x:row>
    <x:row r="45">
      <x:c r="B45" s="59" t="str">
        <x:v>T3</x:v>
      </x:c>
      <x:c r="C45" s="59" t="str">
        <x:v>W02</x:v>
      </x:c>
      <x:c r="D45" s="59" t="str">
        <x:v>Any one access mode lost</x:v>
      </x:c>
      <x:c r="E45" s="59" t="n">
        <x:v>0</x:v>
      </x:c>
      <x:c r="F45" s="59" t="n">
        <x:v>1</x:v>
      </x:c>
      <x:c r="G45" s="59" t="str">
        <x:v>NONE</x:v>
      </x:c>
      <x:c r="H45" s="64" t="n">
        <x:f>MAX(0,INDEX('Topology Library'!$D$8:$D$14,MATCH(B45,'Topology Library'!$B$8:$B$14,0))-E45)+MAX(0,INDEX('Topology Library'!$F$8:$F$14,MATCH(B45,'Topology Library'!$B$8:$B$14,0))-F45)*INDEX('Topology Library'!$H$8:$H$14,MATCH(B45,'Topology Library'!$B$8:$B$14,0))</x:f>
        <x:v>13</x:v>
      </x:c>
      <x:c r="I45" s="64" t="n">
        <x:v>0</x:v>
      </x:c>
      <x:c r="J45" s="64" t="n">
        <x:f>MAX(0,H45-I45)</x:f>
        <x:v>13</x:v>
      </x:c>
      <x:c r="K45" s="64" t="n">
        <x:f>Assumptions!$C$8</x:f>
        <x:v>10</x:v>
      </x:c>
      <x:c r="L45" s="64" t="str">
        <x:f>IF(J45&gt;=K45,"PASS","FAIL")</x:f>
        <x:v>PASS</x:v>
      </x:c>
      <x:c r="M45" s="80" t="str">
        <x:v>largest mode-equivalent denial</x:v>
      </x:c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</x:row>
    <x:row r="46">
      <x:c r="B46" s="59" t="str">
        <x:v>T3</x:v>
      </x:c>
      <x:c r="C46" s="59" t="str">
        <x:v>W03</x:v>
      </x:c>
      <x:c r="D46" s="59" t="str">
        <x:v>Any two access modes lost</x:v>
      </x:c>
      <x:c r="E46" s="59" t="n">
        <x:v>0</x:v>
      </x:c>
      <x:c r="F46" s="59" t="n">
        <x:v>2</x:v>
      </x:c>
      <x:c r="G46" s="59" t="str">
        <x:v>NONE</x:v>
      </x:c>
      <x:c r="H46" s="64" t="n">
        <x:f>MAX(0,INDEX('Topology Library'!$D$8:$D$14,MATCH(B46,'Topology Library'!$B$8:$B$14,0))-E46)+MAX(0,INDEX('Topology Library'!$F$8:$F$14,MATCH(B46,'Topology Library'!$B$8:$B$14,0))-F46)*INDEX('Topology Library'!$H$8:$H$14,MATCH(B46,'Topology Library'!$B$8:$B$14,0))</x:f>
        <x:v>11</x:v>
      </x:c>
      <x:c r="I46" s="64" t="n">
        <x:v>0</x:v>
      </x:c>
      <x:c r="J46" s="64" t="n">
        <x:f>MAX(0,H46-I46)</x:f>
        <x:v>11</x:v>
      </x:c>
      <x:c r="K46" s="64" t="n">
        <x:f>Assumptions!$C$8</x:f>
        <x:v>10</x:v>
      </x:c>
      <x:c r="L46" s="64" t="str">
        <x:f>IF(J46&gt;=K46,"PASS","FAIL")</x:f>
        <x:v>PASS</x:v>
      </x:c>
      <x:c r="M46" s="80" t="str">
        <x:v>Pass 75 transport guarantee</x:v>
      </x:c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</x:row>
    <x:row r="47">
      <x:c r="B47" s="59" t="str">
        <x:v>T3</x:v>
      </x:c>
      <x:c r="C47" s="59" t="str">
        <x:v>W04</x:v>
      </x:c>
      <x:c r="D47" s="59" t="str">
        <x:v>Three legacy access modes lost</x:v>
      </x:c>
      <x:c r="E47" s="59" t="n">
        <x:v>0</x:v>
      </x:c>
      <x:c r="F47" s="59" t="n">
        <x:v>3</x:v>
      </x:c>
      <x:c r="G47" s="59" t="str">
        <x:v>NONE</x:v>
      </x:c>
      <x:c r="H47" s="64" t="n">
        <x:f>MAX(0,INDEX('Topology Library'!$D$8:$D$14,MATCH(B47,'Topology Library'!$B$8:$B$14,0))-E47)+MAX(0,INDEX('Topology Library'!$F$8:$F$14,MATCH(B47,'Topology Library'!$B$8:$B$14,0))-F47)*INDEX('Topology Library'!$H$8:$H$14,MATCH(B47,'Topology Library'!$B$8:$B$14,0))</x:f>
        <x:v>9</x:v>
      </x:c>
      <x:c r="I47" s="64" t="n">
        <x:v>0</x:v>
      </x:c>
      <x:c r="J47" s="64" t="n">
        <x:f>MAX(0,H47-I47)</x:f>
        <x:v>9</x:v>
      </x:c>
      <x:c r="K47" s="64" t="n">
        <x:f>Assumptions!$C$8</x:f>
        <x:v>10</x:v>
      </x:c>
      <x:c r="L47" s="64" t="str">
        <x:f>IF(J47&gt;=K47,"PASS","FAIL")</x:f>
        <x:v>FAIL</x:v>
      </x:c>
      <x:c r="M47" s="80" t="str">
        <x:v>tests value of a fourth independent path</x:v>
      </x:c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</x:row>
    <x:row r="48">
      <x:c r="B48" s="59" t="str">
        <x:v>T3</x:v>
      </x:c>
      <x:c r="C48" s="59" t="str">
        <x:v>W05</x:v>
      </x:c>
      <x:c r="D48" s="59" t="str">
        <x:v>One fixed island lost</x:v>
      </x:c>
      <x:c r="E48" s="59" t="n">
        <x:f>IF(INDEX('Topology Library'!$E$8:$E$14,MATCH(B48,'Topology Library'!$B$8:$B$14,0))=0,0,INDEX('Topology Library'!$K$8:$K$14,MATCH(B48,'Topology Library'!$B$8:$B$14,0)))</x:f>
        <x:v>3</x:v>
      </x:c>
      <x:c r="F48" s="59" t="n">
        <x:v>0</x:v>
      </x:c>
      <x:c r="G48" s="59" t="str">
        <x:v>NONE</x:v>
      </x:c>
      <x:c r="H48" s="64" t="n">
        <x:f>MAX(0,INDEX('Topology Library'!$D$8:$D$14,MATCH(B48,'Topology Library'!$B$8:$B$14,0))-E48)+MAX(0,INDEX('Topology Library'!$F$8:$F$14,MATCH(B48,'Topology Library'!$B$8:$B$14,0))-F48)*INDEX('Topology Library'!$H$8:$H$14,MATCH(B48,'Topology Library'!$B$8:$B$14,0))</x:f>
        <x:v>12</x:v>
      </x:c>
      <x:c r="I48" s="64" t="n">
        <x:v>0</x:v>
      </x:c>
      <x:c r="J48" s="64" t="n">
        <x:f>MAX(0,H48-I48)</x:f>
        <x:v>12</x:v>
      </x:c>
      <x:c r="K48" s="64" t="n">
        <x:f>Assumptions!$C$8</x:f>
        <x:v>10</x:v>
      </x:c>
      <x:c r="L48" s="64" t="str">
        <x:f>IF(J48&gt;=K48,"PASS","FAIL")</x:f>
        <x:v>PASS</x:v>
      </x:c>
      <x:c r="M48" s="80" t="str">
        <x:v>largest fixed-island share removed</x:v>
      </x:c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</x:row>
    <x:row r="49">
      <x:c r="B49" s="59" t="str">
        <x:v>T3</x:v>
      </x:c>
      <x:c r="C49" s="59" t="str">
        <x:v>W06</x:v>
      </x:c>
      <x:c r="D49" s="59" t="str">
        <x:v>Fixed island plus one access mode</x:v>
      </x:c>
      <x:c r="E49" s="59" t="n">
        <x:f>IF(INDEX('Topology Library'!$E$8:$E$14,MATCH(B49,'Topology Library'!$B$8:$B$14,0))=0,0,INDEX('Topology Library'!$K$8:$K$14,MATCH(B49,'Topology Library'!$B$8:$B$14,0)))</x:f>
        <x:v>3</x:v>
      </x:c>
      <x:c r="F49" s="59" t="n">
        <x:v>1</x:v>
      </x:c>
      <x:c r="G49" s="59" t="str">
        <x:v>NONE</x:v>
      </x:c>
      <x:c r="H49" s="64" t="n">
        <x:f>MAX(0,INDEX('Topology Library'!$D$8:$D$14,MATCH(B49,'Topology Library'!$B$8:$B$14,0))-E49)+MAX(0,INDEX('Topology Library'!$F$8:$F$14,MATCH(B49,'Topology Library'!$B$8:$B$14,0))-F49)*INDEX('Topology Library'!$H$8:$H$14,MATCH(B49,'Topology Library'!$B$8:$B$14,0))</x:f>
        <x:v>10</x:v>
      </x:c>
      <x:c r="I49" s="64" t="n">
        <x:v>0</x:v>
      </x:c>
      <x:c r="J49" s="64" t="n">
        <x:f>MAX(0,H49-I49)</x:f>
        <x:v>10</x:v>
      </x:c>
      <x:c r="K49" s="64" t="n">
        <x:f>Assumptions!$C$8</x:f>
        <x:v>10</x:v>
      </x:c>
      <x:c r="L49" s="64" t="str">
        <x:f>IF(J49&gt;=K49,"PASS","FAIL")</x:f>
        <x:v>PASS</x:v>
      </x:c>
      <x:c r="M49" s="80" t="str">
        <x:v>mixed geography and route denial</x:v>
      </x:c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</x:row>
    <x:row r="50">
      <x:c r="B50" s="59" t="str">
        <x:v>T3</x:v>
      </x:c>
      <x:c r="C50" s="59" t="str">
        <x:v>W07</x:v>
      </x:c>
      <x:c r="D50" s="59" t="str">
        <x:v>Fixed island plus two access modes</x:v>
      </x:c>
      <x:c r="E50" s="59" t="n">
        <x:f>IF(INDEX('Topology Library'!$E$8:$E$14,MATCH(B50,'Topology Library'!$B$8:$B$14,0))=0,0,INDEX('Topology Library'!$K$8:$K$14,MATCH(B50,'Topology Library'!$B$8:$B$14,0)))</x:f>
        <x:v>3</x:v>
      </x:c>
      <x:c r="F50" s="59" t="n">
        <x:v>2</x:v>
      </x:c>
      <x:c r="G50" s="59" t="str">
        <x:v>NONE</x:v>
      </x:c>
      <x:c r="H50" s="64" t="n">
        <x:f>MAX(0,INDEX('Topology Library'!$D$8:$D$14,MATCH(B50,'Topology Library'!$B$8:$B$14,0))-E50)+MAX(0,INDEX('Topology Library'!$F$8:$F$14,MATCH(B50,'Topology Library'!$B$8:$B$14,0))-F50)*INDEX('Topology Library'!$H$8:$H$14,MATCH(B50,'Topology Library'!$B$8:$B$14,0))</x:f>
        <x:v>8</x:v>
      </x:c>
      <x:c r="I50" s="64" t="n">
        <x:v>0</x:v>
      </x:c>
      <x:c r="J50" s="64" t="n">
        <x:f>MAX(0,H50-I50)</x:f>
        <x:v>8</x:v>
      </x:c>
      <x:c r="K50" s="64" t="n">
        <x:f>Assumptions!$C$8</x:f>
        <x:v>10</x:v>
      </x:c>
      <x:c r="L50" s="64" t="str">
        <x:f>IF(J50&gt;=K50,"PASS","FAIL")</x:f>
        <x:v>FAIL</x:v>
      </x:c>
      <x:c r="M50" s="80" t="str">
        <x:v>strong layered guarantee</x:v>
      </x:c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</x:row>
    <x:row r="51">
      <x:c r="B51" s="59" t="str">
        <x:v>T3</x:v>
      </x:c>
      <x:c r="C51" s="59" t="str">
        <x:v>W08</x:v>
      </x:c>
      <x:c r="D51" s="59" t="str">
        <x:v>Entire fixed lattice plus one access mode</x:v>
      </x:c>
      <x:c r="E51" s="59" t="n">
        <x:f>INDEX('Topology Library'!$D$8:$D$14,MATCH(B51,'Topology Library'!$B$8:$B$14,0))</x:f>
        <x:v>9</x:v>
      </x:c>
      <x:c r="F51" s="59" t="n">
        <x:v>1</x:v>
      </x:c>
      <x:c r="G51" s="59" t="str">
        <x:v>NONE</x:v>
      </x:c>
      <x:c r="H51" s="64" t="n">
        <x:f>MAX(0,INDEX('Topology Library'!$D$8:$D$14,MATCH(B51,'Topology Library'!$B$8:$B$14,0))-E51)+MAX(0,INDEX('Topology Library'!$F$8:$F$14,MATCH(B51,'Topology Library'!$B$8:$B$14,0))-F51)*INDEX('Topology Library'!$H$8:$H$14,MATCH(B51,'Topology Library'!$B$8:$B$14,0))</x:f>
        <x:v>4</x:v>
      </x:c>
      <x:c r="I51" s="64" t="n">
        <x:v>0</x:v>
      </x:c>
      <x:c r="J51" s="64" t="n">
        <x:f>MAX(0,H51-I51)</x:f>
        <x:v>4</x:v>
      </x:c>
      <x:c r="K51" s="64" t="n">
        <x:f>Assumptions!$C$8</x:f>
        <x:v>10</x:v>
      </x:c>
      <x:c r="L51" s="64" t="str">
        <x:f>IF(J51&gt;=K51,"PASS","FAIL")</x:f>
        <x:v>FAIL</x:v>
      </x:c>
      <x:c r="M51" s="80" t="str">
        <x:v>loss of all forward readiness</x:v>
      </x:c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</x:row>
    <x:row r="52">
      <x:c r="B52" s="59" t="str">
        <x:v>T3</x:v>
      </x:c>
      <x:c r="C52" s="59" t="str">
        <x:v>W09</x:v>
      </x:c>
      <x:c r="D52" s="59" t="str">
        <x:v>Largest source lineage lost</x:v>
      </x:c>
      <x:c r="E52" s="59" t="n">
        <x:v>0</x:v>
      </x:c>
      <x:c r="F52" s="59" t="n">
        <x:v>0</x:v>
      </x:c>
      <x:c r="G52" s="59" t="str">
        <x:v>SOURCE</x:v>
      </x:c>
      <x:c r="H52" s="64" t="n">
        <x:f>MAX(0,INDEX('Topology Library'!$D$8:$D$14,MATCH(B52,'Topology Library'!$B$8:$B$14,0))-E52)+MAX(0,INDEX('Topology Library'!$F$8:$F$14,MATCH(B52,'Topology Library'!$B$8:$B$14,0))-F52)*INDEX('Topology Library'!$H$8:$H$14,MATCH(B52,'Topology Library'!$B$8:$B$14,0))</x:f>
        <x:v>15</x:v>
      </x:c>
      <x:c r="I52" s="64" t="n">
        <x:f>ROUNDUP(H52/INDEX('Topology Library'!$Q$8:$Q$14,MATCH(B52,'Topology Library'!$B$8:$B$14,0)),0)</x:f>
        <x:v>5</x:v>
      </x:c>
      <x:c r="J52" s="64" t="n">
        <x:f>MAX(0,H52-I52)</x:f>
        <x:v>10</x:v>
      </x:c>
      <x:c r="K52" s="64" t="n">
        <x:f>Assumptions!$C$8</x:f>
        <x:v>10</x:v>
      </x:c>
      <x:c r="L52" s="64" t="str">
        <x:f>IF(J52&gt;=K52,"PASS","FAIL")</x:f>
        <x:v>PASS</x:v>
      </x:c>
      <x:c r="M52" s="80" t="str">
        <x:v>serialized source ancestry</x:v>
      </x:c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</x:row>
    <x:row r="53">
      <x:c r="B53" s="59" t="str">
        <x:v>T3</x:v>
      </x:c>
      <x:c r="C53" s="59" t="str">
        <x:v>W10</x:v>
      </x:c>
      <x:c r="D53" s="59" t="str">
        <x:v>Largest launch-base domain lost</x:v>
      </x:c>
      <x:c r="E53" s="59" t="n">
        <x:v>0</x:v>
      </x:c>
      <x:c r="F53" s="59" t="n">
        <x:v>0</x:v>
      </x:c>
      <x:c r="G53" s="59" t="str">
        <x:v>BASE</x:v>
      </x:c>
      <x:c r="H53" s="64" t="n">
        <x:f>MAX(0,INDEX('Topology Library'!$D$8:$D$14,MATCH(B53,'Topology Library'!$B$8:$B$14,0))-E53)+MAX(0,INDEX('Topology Library'!$F$8:$F$14,MATCH(B53,'Topology Library'!$B$8:$B$14,0))-F53)*INDEX('Topology Library'!$H$8:$H$14,MATCH(B53,'Topology Library'!$B$8:$B$14,0))</x:f>
        <x:v>15</x:v>
      </x:c>
      <x:c r="I53" s="64" t="n">
        <x:f>MIN(H53,ROUNDUP(INDEX('Topology Library'!$F$8:$F$14,MATCH(B53,'Topology Library'!$B$8:$B$14,0))/INDEX('Topology Library'!$R$8:$R$14,MATCH(B53,'Topology Library'!$B$8:$B$14,0)),0)*INDEX('Topology Library'!$H$8:$H$14,MATCH(B53,'Topology Library'!$B$8:$B$14,0)))</x:f>
        <x:v>2</x:v>
      </x:c>
      <x:c r="J53" s="64" t="n">
        <x:f>MAX(0,H53-I53)</x:f>
        <x:v>13</x:v>
      </x:c>
      <x:c r="K53" s="64" t="n">
        <x:f>Assumptions!$C$8</x:f>
        <x:v>10</x:v>
      </x:c>
      <x:c r="L53" s="64" t="str">
        <x:f>IF(J53&gt;=K53,"PASS","FAIL")</x:f>
        <x:v>PASS</x:v>
      </x:c>
      <x:c r="M53" s="80" t="str">
        <x:v>base and depot independence</x:v>
      </x:c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</x:row>
    <x:row r="54">
      <x:c r="B54" s="59" t="str">
        <x:v>T3</x:v>
      </x:c>
      <x:c r="C54" s="59" t="str">
        <x:v>W11</x:v>
      </x:c>
      <x:c r="D54" s="59" t="str">
        <x:v>Largest crew-school domain lost</x:v>
      </x:c>
      <x:c r="E54" s="59" t="n">
        <x:v>0</x:v>
      </x:c>
      <x:c r="F54" s="59" t="n">
        <x:v>0</x:v>
      </x:c>
      <x:c r="G54" s="59" t="str">
        <x:v>CREW</x:v>
      </x:c>
      <x:c r="H54" s="64" t="n">
        <x:f>MAX(0,INDEX('Topology Library'!$D$8:$D$14,MATCH(B54,'Topology Library'!$B$8:$B$14,0))-E54)+MAX(0,INDEX('Topology Library'!$F$8:$F$14,MATCH(B54,'Topology Library'!$B$8:$B$14,0))-F54)*INDEX('Topology Library'!$H$8:$H$14,MATCH(B54,'Topology Library'!$B$8:$B$14,0))</x:f>
        <x:v>15</x:v>
      </x:c>
      <x:c r="I54" s="64" t="n">
        <x:f>ROUNDUP(H54/INDEX('Topology Library'!$S$8:$S$14,MATCH(B54,'Topology Library'!$B$8:$B$14,0)),0)</x:f>
        <x:v>8</x:v>
      </x:c>
      <x:c r="J54" s="64" t="n">
        <x:f>MAX(0,H54-I54)</x:f>
        <x:v>7</x:v>
      </x:c>
      <x:c r="K54" s="64" t="n">
        <x:f>Assumptions!$C$8</x:f>
        <x:v>10</x:v>
      </x:c>
      <x:c r="L54" s="64" t="str">
        <x:f>IF(J54&gt;=K54,"PASS","FAIL")</x:f>
        <x:v>FAIL</x:v>
      </x:c>
      <x:c r="M54" s="80" t="str">
        <x:v>operator qualification independence</x:v>
      </x:c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</x:row>
    <x:row r="55">
      <x:c r="B55" s="59" t="str">
        <x:v>T3</x:v>
      </x:c>
      <x:c r="C55" s="59" t="str">
        <x:v>W12</x:v>
      </x:c>
      <x:c r="D55" s="59" t="str">
        <x:v>Largest control domain lost</x:v>
      </x:c>
      <x:c r="E55" s="59" t="n">
        <x:v>0</x:v>
      </x:c>
      <x:c r="F55" s="59" t="n">
        <x:v>0</x:v>
      </x:c>
      <x:c r="G55" s="59" t="str">
        <x:v>CONTROL</x:v>
      </x:c>
      <x:c r="H55" s="64" t="n">
        <x:f>MAX(0,INDEX('Topology Library'!$D$8:$D$14,MATCH(B55,'Topology Library'!$B$8:$B$14,0))-E55)+MAX(0,INDEX('Topology Library'!$F$8:$F$14,MATCH(B55,'Topology Library'!$B$8:$B$14,0))-F55)*INDEX('Topology Library'!$H$8:$H$14,MATCH(B55,'Topology Library'!$B$8:$B$14,0))</x:f>
        <x:v>15</x:v>
      </x:c>
      <x:c r="I55" s="64" t="n">
        <x:f>ROUNDUP(H55/INDEX('Topology Library'!$T$8:$T$14,MATCH(B55,'Topology Library'!$B$8:$B$14,0)),0)</x:f>
        <x:v>8</x:v>
      </x:c>
      <x:c r="J55" s="64" t="n">
        <x:f>MAX(0,H55-I55)</x:f>
        <x:v>7</x:v>
      </x:c>
      <x:c r="K55" s="64" t="n">
        <x:f>Assumptions!$C$8</x:f>
        <x:v>10</x:v>
      </x:c>
      <x:c r="L55" s="64" t="str">
        <x:f>IF(J55&gt;=K55,"PASS","FAIL")</x:f>
        <x:v>FAIL</x:v>
      </x:c>
      <x:c r="M55" s="80" t="str">
        <x:v>offline command and protection partitions</x:v>
      </x:c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</x:row>
    <x:row r="56">
      <x:c r="B56" s="59" t="str">
        <x:v>T3</x:v>
      </x:c>
      <x:c r="C56" s="59" t="str">
        <x:v>W13</x:v>
      </x:c>
      <x:c r="D56" s="59" t="str">
        <x:v>Largest heat-sink lineage lost</x:v>
      </x:c>
      <x:c r="E56" s="59" t="n">
        <x:v>0</x:v>
      </x:c>
      <x:c r="F56" s="59" t="n">
        <x:v>0</x:v>
      </x:c>
      <x:c r="G56" s="59" t="str">
        <x:v>HEAT</x:v>
      </x:c>
      <x:c r="H56" s="64" t="n">
        <x:f>MAX(0,INDEX('Topology Library'!$D$8:$D$14,MATCH(B56,'Topology Library'!$B$8:$B$14,0))-E56)+MAX(0,INDEX('Topology Library'!$F$8:$F$14,MATCH(B56,'Topology Library'!$B$8:$B$14,0))-F56)*INDEX('Topology Library'!$H$8:$H$14,MATCH(B56,'Topology Library'!$B$8:$B$14,0))</x:f>
        <x:v>15</x:v>
      </x:c>
      <x:c r="I56" s="64" t="n">
        <x:f>ROUNDUP(H56/INDEX('Topology Library'!$U$8:$U$14,MATCH(B56,'Topology Library'!$B$8:$B$14,0)),0)</x:f>
        <x:v>5</x:v>
      </x:c>
      <x:c r="J56" s="64" t="n">
        <x:f>MAX(0,H56-I56)</x:f>
        <x:v>10</x:v>
      </x:c>
      <x:c r="K56" s="64" t="n">
        <x:f>Assumptions!$C$8</x:f>
        <x:v>10</x:v>
      </x:c>
      <x:c r="L56" s="64" t="str">
        <x:f>IF(J56&gt;=K56,"PASS","FAIL")</x:f>
        <x:v>PASS</x:v>
      </x:c>
      <x:c r="M56" s="80" t="str">
        <x:v>final heat destination independence</x:v>
      </x:c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</x:row>
    <x:row r="57">
      <x:c r="B57" s="59" t="str">
        <x:v>T3</x:v>
      </x:c>
      <x:c r="C57" s="59" t="str">
        <x:v>W14</x:v>
      </x:c>
      <x:c r="D57" s="59" t="str">
        <x:v>Largest receiver-interface domain lost</x:v>
      </x:c>
      <x:c r="E57" s="59" t="n">
        <x:v>0</x:v>
      </x:c>
      <x:c r="F57" s="59" t="n">
        <x:v>0</x:v>
      </x:c>
      <x:c r="G57" s="59" t="str">
        <x:v>RECEIVER</x:v>
      </x:c>
      <x:c r="H57" s="64" t="n">
        <x:f>MAX(0,INDEX('Topology Library'!$D$8:$D$14,MATCH(B57,'Topology Library'!$B$8:$B$14,0))-E57)+MAX(0,INDEX('Topology Library'!$F$8:$F$14,MATCH(B57,'Topology Library'!$B$8:$B$14,0))-F57)*INDEX('Topology Library'!$H$8:$H$14,MATCH(B57,'Topology Library'!$B$8:$B$14,0))</x:f>
        <x:v>15</x:v>
      </x:c>
      <x:c r="I57" s="64" t="n">
        <x:f>ROUNDUP(H57/INDEX('Topology Library'!$V$8:$V$14,MATCH(B57,'Topology Library'!$B$8:$B$14,0)),0)</x:f>
        <x:v>5</x:v>
      </x:c>
      <x:c r="J57" s="64" t="n">
        <x:f>MAX(0,H57-I57)</x:f>
        <x:v>10</x:v>
      </x:c>
      <x:c r="K57" s="64" t="n">
        <x:f>Assumptions!$C$8</x:f>
        <x:v>10</x:v>
      </x:c>
      <x:c r="L57" s="64" t="str">
        <x:f>IF(J57&gt;=K57,"PASS","FAIL")</x:f>
        <x:v>PASS</x:v>
      </x:c>
      <x:c r="M57" s="80" t="str">
        <x:v>site release and utility boundary</x:v>
      </x:c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</x:row>
    <x:row r="58">
      <x:c r="B58" s="59" t="str">
        <x:v>T3</x:v>
      </x:c>
      <x:c r="C58" s="59" t="str">
        <x:v>W15</x:v>
      </x:c>
      <x:c r="D58" s="59" t="str">
        <x:v>Second mission before full reset</x:v>
      </x:c>
      <x:c r="E58" s="59" t="n">
        <x:v>0</x:v>
      </x:c>
      <x:c r="F58" s="59" t="n">
        <x:v>0</x:v>
      </x:c>
      <x:c r="G58" s="59" t="str">
        <x:v>RESET</x:v>
      </x:c>
      <x:c r="H58" s="64" t="n">
        <x:f>MAX(0,INDEX('Topology Library'!$D$8:$D$14,MATCH(B58,'Topology Library'!$B$8:$B$14,0))-E58)+MAX(0,INDEX('Topology Library'!$F$8:$F$14,MATCH(B58,'Topology Library'!$B$8:$B$14,0))-F58)*INDEX('Topology Library'!$H$8:$H$14,MATCH(B58,'Topology Library'!$B$8:$B$14,0))</x:f>
        <x:v>15</x:v>
      </x:c>
      <x:c r="I58" s="64" t="n">
        <x:f>H58-ROUNDDOWN(H58*INDEX('Topology Library'!$W$8:$W$14,MATCH(B58,'Topology Library'!$B$8:$B$14,0)),0)</x:f>
        <x:v>3</x:v>
      </x:c>
      <x:c r="J58" s="64" t="n">
        <x:f>MAX(0,H58-I58)</x:f>
        <x:v>12</x:v>
      </x:c>
      <x:c r="K58" s="64" t="n">
        <x:f>Assumptions!$C$8</x:f>
        <x:v>10</x:v>
      </x:c>
      <x:c r="L58" s="64" t="str">
        <x:f>IF(J58&gt;=K58,"PASS","FAIL")</x:f>
        <x:v>PASS</x:v>
      </x:c>
      <x:c r="M58" s="80" t="str">
        <x:v>reconstitution capacity</x:v>
      </x:c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</x:row>
    <x:row r="59">
      <x:c r="B59" s="59" t="str">
        <x:v>T3</x:v>
      </x:c>
      <x:c r="C59" s="59" t="str">
        <x:v>W16</x:v>
      </x:c>
      <x:c r="D59" s="59" t="str">
        <x:v>Source lineage plus one access mode</x:v>
      </x:c>
      <x:c r="E59" s="59" t="n">
        <x:v>0</x:v>
      </x:c>
      <x:c r="F59" s="59" t="n">
        <x:v>1</x:v>
      </x:c>
      <x:c r="G59" s="59" t="str">
        <x:v>SOURCE</x:v>
      </x:c>
      <x:c r="H59" s="64" t="n">
        <x:f>MAX(0,INDEX('Topology Library'!$D$8:$D$14,MATCH(B59,'Topology Library'!$B$8:$B$14,0))-E59)+MAX(0,INDEX('Topology Library'!$F$8:$F$14,MATCH(B59,'Topology Library'!$B$8:$B$14,0))-F59)*INDEX('Topology Library'!$H$8:$H$14,MATCH(B59,'Topology Library'!$B$8:$B$14,0))</x:f>
        <x:v>13</x:v>
      </x:c>
      <x:c r="I59" s="64" t="n">
        <x:f>ROUNDUP(H59/INDEX('Topology Library'!$Q$8:$Q$14,MATCH(B59,'Topology Library'!$B$8:$B$14,0)),0)</x:f>
        <x:v>5</x:v>
      </x:c>
      <x:c r="J59" s="64" t="n">
        <x:f>MAX(0,H59-I59)</x:f>
        <x:v>8</x:v>
      </x:c>
      <x:c r="K59" s="64" t="n">
        <x:f>Assumptions!$C$8</x:f>
        <x:v>10</x:v>
      </x:c>
      <x:c r="L59" s="64" t="str">
        <x:f>IF(J59&gt;=K59,"PASS","FAIL")</x:f>
        <x:v>FAIL</x:v>
      </x:c>
      <x:c r="M59" s="80" t="str">
        <x:v>supplier and route compound</x:v>
      </x:c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</x:row>
    <x:row r="60">
      <x:c r="B60" s="59" t="str">
        <x:v>T3</x:v>
      </x:c>
      <x:c r="C60" s="59" t="str">
        <x:v>W17</x:v>
      </x:c>
      <x:c r="D60" s="59" t="str">
        <x:v>Launch base plus one access mode</x:v>
      </x:c>
      <x:c r="E60" s="59" t="n">
        <x:v>0</x:v>
      </x:c>
      <x:c r="F60" s="59" t="n">
        <x:v>1</x:v>
      </x:c>
      <x:c r="G60" s="59" t="str">
        <x:v>BASE</x:v>
      </x:c>
      <x:c r="H60" s="64" t="n">
        <x:f>MAX(0,INDEX('Topology Library'!$D$8:$D$14,MATCH(B60,'Topology Library'!$B$8:$B$14,0))-E60)+MAX(0,INDEX('Topology Library'!$F$8:$F$14,MATCH(B60,'Topology Library'!$B$8:$B$14,0))-F60)*INDEX('Topology Library'!$H$8:$H$14,MATCH(B60,'Topology Library'!$B$8:$B$14,0))</x:f>
        <x:v>13</x:v>
      </x:c>
      <x:c r="I60" s="64" t="n">
        <x:f>MIN(H60,ROUNDUP(INDEX('Topology Library'!$F$8:$F$14,MATCH(B60,'Topology Library'!$B$8:$B$14,0))/INDEX('Topology Library'!$R$8:$R$14,MATCH(B60,'Topology Library'!$B$8:$B$14,0)),0)*INDEX('Topology Library'!$H$8:$H$14,MATCH(B60,'Topology Library'!$B$8:$B$14,0)))</x:f>
        <x:v>2</x:v>
      </x:c>
      <x:c r="J60" s="64" t="n">
        <x:f>MAX(0,H60-I60)</x:f>
        <x:v>11</x:v>
      </x:c>
      <x:c r="K60" s="64" t="n">
        <x:f>Assumptions!$C$8</x:f>
        <x:v>10</x:v>
      </x:c>
      <x:c r="L60" s="64" t="str">
        <x:f>IF(J60&gt;=K60,"PASS","FAIL")</x:f>
        <x:v>PASS</x:v>
      </x:c>
      <x:c r="M60" s="80" t="str">
        <x:v>base and route compound</x:v>
      </x:c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</x:row>
    <x:row r="61">
      <x:c r="B61" s="59" t="str">
        <x:v>T3</x:v>
      </x:c>
      <x:c r="C61" s="59" t="str">
        <x:v>W18</x:v>
      </x:c>
      <x:c r="D61" s="59" t="str">
        <x:v>Concurrent national allocation</x:v>
      </x:c>
      <x:c r="E61" s="59" t="n">
        <x:v>0</x:v>
      </x:c>
      <x:c r="F61" s="59" t="n">
        <x:v>0</x:v>
      </x:c>
      <x:c r="G61" s="59" t="str">
        <x:v>POOL</x:v>
      </x:c>
      <x:c r="H61" s="64" t="n">
        <x:f>MAX(0,INDEX('Topology Library'!$D$8:$D$14,MATCH(B61,'Topology Library'!$B$8:$B$14,0))-E61)+MAX(0,INDEX('Topology Library'!$F$8:$F$14,MATCH(B61,'Topology Library'!$B$8:$B$14,0))-F61)*INDEX('Topology Library'!$H$8:$H$14,MATCH(B61,'Topology Library'!$B$8:$B$14,0))</x:f>
        <x:v>15</x:v>
      </x:c>
      <x:c r="I61" s="64" t="n">
        <x:f>H61-ROUNDDOWN(H61*INDEX('Topology Library'!$X$8:$X$14,MATCH(B61,'Topology Library'!$B$8:$B$14,0)),0)</x:f>
        <x:v>3</x:v>
      </x:c>
      <x:c r="J61" s="64" t="n">
        <x:f>MAX(0,H61-I61)</x:f>
        <x:v>12</x:v>
      </x:c>
      <x:c r="K61" s="64" t="n">
        <x:f>Assumptions!$C$8</x:f>
        <x:v>10</x:v>
      </x:c>
      <x:c r="L61" s="64" t="str">
        <x:f>IF(J61&gt;=K61,"PASS","FAIL")</x:f>
        <x:v>PASS</x:v>
      </x:c>
      <x:c r="M61" s="80" t="str">
        <x:v>group availability after national pooling</x:v>
      </x:c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</x:row>
    <x:row r="62">
      <x:c r="B62" s="59" t="str">
        <x:v>T4</x:v>
      </x:c>
      <x:c r="C62" s="59" t="str">
        <x:v>W01</x:v>
      </x:c>
      <x:c r="D62" s="59" t="str">
        <x:v>Baseline release</x:v>
      </x:c>
      <x:c r="E62" s="59" t="n">
        <x:v>0</x:v>
      </x:c>
      <x:c r="F62" s="59" t="n">
        <x:v>0</x:v>
      </x:c>
      <x:c r="G62" s="59" t="str">
        <x:v>NONE</x:v>
      </x:c>
      <x:c r="H62" s="64" t="n">
        <x:f>MAX(0,INDEX('Topology Library'!$D$8:$D$14,MATCH(B62,'Topology Library'!$B$8:$B$14,0))-E62)+MAX(0,INDEX('Topology Library'!$F$8:$F$14,MATCH(B62,'Topology Library'!$B$8:$B$14,0))-F62)*INDEX('Topology Library'!$H$8:$H$14,MATCH(B62,'Topology Library'!$B$8:$B$14,0))</x:f>
        <x:v>18</x:v>
      </x:c>
      <x:c r="I62" s="64" t="n">
        <x:v>0</x:v>
      </x:c>
      <x:c r="J62" s="64" t="n">
        <x:f>MAX(0,H62-I62)</x:f>
        <x:v>18</x:v>
      </x:c>
      <x:c r="K62" s="64" t="n">
        <x:f>Assumptions!$C$8</x:f>
        <x:v>10</x:v>
      </x:c>
      <x:c r="L62" s="64" t="str">
        <x:f>IF(J62&gt;=K62,"PASS","FAIL")</x:f>
        <x:v>PASS</x:v>
      </x:c>
      <x:c r="M62" s="80" t="str">
        <x:v>all declared positions available</x:v>
      </x:c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</x:row>
    <x:row r="63">
      <x:c r="B63" s="59" t="str">
        <x:v>T4</x:v>
      </x:c>
      <x:c r="C63" s="59" t="str">
        <x:v>W02</x:v>
      </x:c>
      <x:c r="D63" s="59" t="str">
        <x:v>Any one access mode lost</x:v>
      </x:c>
      <x:c r="E63" s="59" t="n">
        <x:v>0</x:v>
      </x:c>
      <x:c r="F63" s="59" t="n">
        <x:v>1</x:v>
      </x:c>
      <x:c r="G63" s="59" t="str">
        <x:v>NONE</x:v>
      </x:c>
      <x:c r="H63" s="64" t="n">
        <x:f>MAX(0,INDEX('Topology Library'!$D$8:$D$14,MATCH(B63,'Topology Library'!$B$8:$B$14,0))-E63)+MAX(0,INDEX('Topology Library'!$F$8:$F$14,MATCH(B63,'Topology Library'!$B$8:$B$14,0))-F63)*INDEX('Topology Library'!$H$8:$H$14,MATCH(B63,'Topology Library'!$B$8:$B$14,0))</x:f>
        <x:v>14</x:v>
      </x:c>
      <x:c r="I63" s="64" t="n">
        <x:v>0</x:v>
      </x:c>
      <x:c r="J63" s="64" t="n">
        <x:f>MAX(0,H63-I63)</x:f>
        <x:v>14</x:v>
      </x:c>
      <x:c r="K63" s="64" t="n">
        <x:f>Assumptions!$C$8</x:f>
        <x:v>10</x:v>
      </x:c>
      <x:c r="L63" s="64" t="str">
        <x:f>IF(J63&gt;=K63,"PASS","FAIL")</x:f>
        <x:v>PASS</x:v>
      </x:c>
      <x:c r="M63" s="80" t="str">
        <x:v>largest mode-equivalent denial</x:v>
      </x:c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</x:row>
    <x:row r="64">
      <x:c r="B64" s="59" t="str">
        <x:v>T4</x:v>
      </x:c>
      <x:c r="C64" s="59" t="str">
        <x:v>W03</x:v>
      </x:c>
      <x:c r="D64" s="59" t="str">
        <x:v>Any two access modes lost</x:v>
      </x:c>
      <x:c r="E64" s="59" t="n">
        <x:v>0</x:v>
      </x:c>
      <x:c r="F64" s="59" t="n">
        <x:v>2</x:v>
      </x:c>
      <x:c r="G64" s="59" t="str">
        <x:v>NONE</x:v>
      </x:c>
      <x:c r="H64" s="64" t="n">
        <x:f>MAX(0,INDEX('Topology Library'!$D$8:$D$14,MATCH(B64,'Topology Library'!$B$8:$B$14,0))-E64)+MAX(0,INDEX('Topology Library'!$F$8:$F$14,MATCH(B64,'Topology Library'!$B$8:$B$14,0))-F64)*INDEX('Topology Library'!$H$8:$H$14,MATCH(B64,'Topology Library'!$B$8:$B$14,0))</x:f>
        <x:v>10</x:v>
      </x:c>
      <x:c r="I64" s="64" t="n">
        <x:v>0</x:v>
      </x:c>
      <x:c r="J64" s="64" t="n">
        <x:f>MAX(0,H64-I64)</x:f>
        <x:v>10</x:v>
      </x:c>
      <x:c r="K64" s="64" t="n">
        <x:f>Assumptions!$C$8</x:f>
        <x:v>10</x:v>
      </x:c>
      <x:c r="L64" s="64" t="str">
        <x:f>IF(J64&gt;=K64,"PASS","FAIL")</x:f>
        <x:v>PASS</x:v>
      </x:c>
      <x:c r="M64" s="80" t="str">
        <x:v>Pass 75 transport guarantee</x:v>
      </x:c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</x:row>
    <x:row r="65">
      <x:c r="B65" s="59" t="str">
        <x:v>T4</x:v>
      </x:c>
      <x:c r="C65" s="59" t="str">
        <x:v>W04</x:v>
      </x:c>
      <x:c r="D65" s="59" t="str">
        <x:v>Three legacy access modes lost</x:v>
      </x:c>
      <x:c r="E65" s="59" t="n">
        <x:v>0</x:v>
      </x:c>
      <x:c r="F65" s="59" t="n">
        <x:v>3</x:v>
      </x:c>
      <x:c r="G65" s="59" t="str">
        <x:v>NONE</x:v>
      </x:c>
      <x:c r="H65" s="64" t="n">
        <x:f>MAX(0,INDEX('Topology Library'!$D$8:$D$14,MATCH(B65,'Topology Library'!$B$8:$B$14,0))-E65)+MAX(0,INDEX('Topology Library'!$F$8:$F$14,MATCH(B65,'Topology Library'!$B$8:$B$14,0))-F65)*INDEX('Topology Library'!$H$8:$H$14,MATCH(B65,'Topology Library'!$B$8:$B$14,0))</x:f>
        <x:v>6</x:v>
      </x:c>
      <x:c r="I65" s="64" t="n">
        <x:v>0</x:v>
      </x:c>
      <x:c r="J65" s="64" t="n">
        <x:f>MAX(0,H65-I65)</x:f>
        <x:v>6</x:v>
      </x:c>
      <x:c r="K65" s="64" t="n">
        <x:f>Assumptions!$C$8</x:f>
        <x:v>10</x:v>
      </x:c>
      <x:c r="L65" s="64" t="str">
        <x:f>IF(J65&gt;=K65,"PASS","FAIL")</x:f>
        <x:v>FAIL</x:v>
      </x:c>
      <x:c r="M65" s="80" t="str">
        <x:v>tests value of a fourth independent path</x:v>
      </x:c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</x:row>
    <x:row r="66">
      <x:c r="B66" s="59" t="str">
        <x:v>T4</x:v>
      </x:c>
      <x:c r="C66" s="59" t="str">
        <x:v>W05</x:v>
      </x:c>
      <x:c r="D66" s="59" t="str">
        <x:v>One fixed island lost</x:v>
      </x:c>
      <x:c r="E66" s="59" t="n">
        <x:f>IF(INDEX('Topology Library'!$E$8:$E$14,MATCH(B66,'Topology Library'!$B$8:$B$14,0))=0,0,INDEX('Topology Library'!$K$8:$K$14,MATCH(B66,'Topology Library'!$B$8:$B$14,0)))</x:f>
        <x:v>2</x:v>
      </x:c>
      <x:c r="F66" s="59" t="n">
        <x:v>0</x:v>
      </x:c>
      <x:c r="G66" s="59" t="str">
        <x:v>NONE</x:v>
      </x:c>
      <x:c r="H66" s="64" t="n">
        <x:f>MAX(0,INDEX('Topology Library'!$D$8:$D$14,MATCH(B66,'Topology Library'!$B$8:$B$14,0))-E66)+MAX(0,INDEX('Topology Library'!$F$8:$F$14,MATCH(B66,'Topology Library'!$B$8:$B$14,0))-F66)*INDEX('Topology Library'!$H$8:$H$14,MATCH(B66,'Topology Library'!$B$8:$B$14,0))</x:f>
        <x:v>16</x:v>
      </x:c>
      <x:c r="I66" s="64" t="n">
        <x:v>0</x:v>
      </x:c>
      <x:c r="J66" s="64" t="n">
        <x:f>MAX(0,H66-I66)</x:f>
        <x:v>16</x:v>
      </x:c>
      <x:c r="K66" s="64" t="n">
        <x:f>Assumptions!$C$8</x:f>
        <x:v>10</x:v>
      </x:c>
      <x:c r="L66" s="64" t="str">
        <x:f>IF(J66&gt;=K66,"PASS","FAIL")</x:f>
        <x:v>PASS</x:v>
      </x:c>
      <x:c r="M66" s="80" t="str">
        <x:v>largest fixed-island share removed</x:v>
      </x:c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</x:row>
    <x:row r="67">
      <x:c r="B67" s="59" t="str">
        <x:v>T4</x:v>
      </x:c>
      <x:c r="C67" s="59" t="str">
        <x:v>W06</x:v>
      </x:c>
      <x:c r="D67" s="59" t="str">
        <x:v>Fixed island plus one access mode</x:v>
      </x:c>
      <x:c r="E67" s="59" t="n">
        <x:f>IF(INDEX('Topology Library'!$E$8:$E$14,MATCH(B67,'Topology Library'!$B$8:$B$14,0))=0,0,INDEX('Topology Library'!$K$8:$K$14,MATCH(B67,'Topology Library'!$B$8:$B$14,0)))</x:f>
        <x:v>2</x:v>
      </x:c>
      <x:c r="F67" s="59" t="n">
        <x:v>1</x:v>
      </x:c>
      <x:c r="G67" s="59" t="str">
        <x:v>NONE</x:v>
      </x:c>
      <x:c r="H67" s="64" t="n">
        <x:f>MAX(0,INDEX('Topology Library'!$D$8:$D$14,MATCH(B67,'Topology Library'!$B$8:$B$14,0))-E67)+MAX(0,INDEX('Topology Library'!$F$8:$F$14,MATCH(B67,'Topology Library'!$B$8:$B$14,0))-F67)*INDEX('Topology Library'!$H$8:$H$14,MATCH(B67,'Topology Library'!$B$8:$B$14,0))</x:f>
        <x:v>12</x:v>
      </x:c>
      <x:c r="I67" s="64" t="n">
        <x:v>0</x:v>
      </x:c>
      <x:c r="J67" s="64" t="n">
        <x:f>MAX(0,H67-I67)</x:f>
        <x:v>12</x:v>
      </x:c>
      <x:c r="K67" s="64" t="n">
        <x:f>Assumptions!$C$8</x:f>
        <x:v>10</x:v>
      </x:c>
      <x:c r="L67" s="64" t="str">
        <x:f>IF(J67&gt;=K67,"PASS","FAIL")</x:f>
        <x:v>PASS</x:v>
      </x:c>
      <x:c r="M67" s="80" t="str">
        <x:v>mixed geography and route denial</x:v>
      </x:c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</x:row>
    <x:row r="68">
      <x:c r="B68" s="59" t="str">
        <x:v>T4</x:v>
      </x:c>
      <x:c r="C68" s="59" t="str">
        <x:v>W07</x:v>
      </x:c>
      <x:c r="D68" s="59" t="str">
        <x:v>Fixed island plus two access modes</x:v>
      </x:c>
      <x:c r="E68" s="59" t="n">
        <x:f>IF(INDEX('Topology Library'!$E$8:$E$14,MATCH(B68,'Topology Library'!$B$8:$B$14,0))=0,0,INDEX('Topology Library'!$K$8:$K$14,MATCH(B68,'Topology Library'!$B$8:$B$14,0)))</x:f>
        <x:v>2</x:v>
      </x:c>
      <x:c r="F68" s="59" t="n">
        <x:v>2</x:v>
      </x:c>
      <x:c r="G68" s="59" t="str">
        <x:v>NONE</x:v>
      </x:c>
      <x:c r="H68" s="64" t="n">
        <x:f>MAX(0,INDEX('Topology Library'!$D$8:$D$14,MATCH(B68,'Topology Library'!$B$8:$B$14,0))-E68)+MAX(0,INDEX('Topology Library'!$F$8:$F$14,MATCH(B68,'Topology Library'!$B$8:$B$14,0))-F68)*INDEX('Topology Library'!$H$8:$H$14,MATCH(B68,'Topology Library'!$B$8:$B$14,0))</x:f>
        <x:v>8</x:v>
      </x:c>
      <x:c r="I68" s="64" t="n">
        <x:v>0</x:v>
      </x:c>
      <x:c r="J68" s="64" t="n">
        <x:f>MAX(0,H68-I68)</x:f>
        <x:v>8</x:v>
      </x:c>
      <x:c r="K68" s="64" t="n">
        <x:f>Assumptions!$C$8</x:f>
        <x:v>10</x:v>
      </x:c>
      <x:c r="L68" s="64" t="str">
        <x:f>IF(J68&gt;=K68,"PASS","FAIL")</x:f>
        <x:v>FAIL</x:v>
      </x:c>
      <x:c r="M68" s="80" t="str">
        <x:v>strong layered guarantee</x:v>
      </x:c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</x:row>
    <x:row r="69">
      <x:c r="B69" s="59" t="str">
        <x:v>T4</x:v>
      </x:c>
      <x:c r="C69" s="59" t="str">
        <x:v>W08</x:v>
      </x:c>
      <x:c r="D69" s="59" t="str">
        <x:v>Entire fixed lattice plus one access mode</x:v>
      </x:c>
      <x:c r="E69" s="59" t="n">
        <x:f>INDEX('Topology Library'!$D$8:$D$14,MATCH(B69,'Topology Library'!$B$8:$B$14,0))</x:f>
        <x:v>6</x:v>
      </x:c>
      <x:c r="F69" s="59" t="n">
        <x:v>1</x:v>
      </x:c>
      <x:c r="G69" s="59" t="str">
        <x:v>NONE</x:v>
      </x:c>
      <x:c r="H69" s="64" t="n">
        <x:f>MAX(0,INDEX('Topology Library'!$D$8:$D$14,MATCH(B69,'Topology Library'!$B$8:$B$14,0))-E69)+MAX(0,INDEX('Topology Library'!$F$8:$F$14,MATCH(B69,'Topology Library'!$B$8:$B$14,0))-F69)*INDEX('Topology Library'!$H$8:$H$14,MATCH(B69,'Topology Library'!$B$8:$B$14,0))</x:f>
        <x:v>8</x:v>
      </x:c>
      <x:c r="I69" s="64" t="n">
        <x:v>0</x:v>
      </x:c>
      <x:c r="J69" s="64" t="n">
        <x:f>MAX(0,H69-I69)</x:f>
        <x:v>8</x:v>
      </x:c>
      <x:c r="K69" s="64" t="n">
        <x:f>Assumptions!$C$8</x:f>
        <x:v>10</x:v>
      </x:c>
      <x:c r="L69" s="64" t="str">
        <x:f>IF(J69&gt;=K69,"PASS","FAIL")</x:f>
        <x:v>FAIL</x:v>
      </x:c>
      <x:c r="M69" s="80" t="str">
        <x:v>loss of all forward readiness</x:v>
      </x:c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</x:row>
    <x:row r="70">
      <x:c r="B70" s="59" t="str">
        <x:v>T4</x:v>
      </x:c>
      <x:c r="C70" s="59" t="str">
        <x:v>W09</x:v>
      </x:c>
      <x:c r="D70" s="59" t="str">
        <x:v>Largest source lineage lost</x:v>
      </x:c>
      <x:c r="E70" s="59" t="n">
        <x:v>0</x:v>
      </x:c>
      <x:c r="F70" s="59" t="n">
        <x:v>0</x:v>
      </x:c>
      <x:c r="G70" s="59" t="str">
        <x:v>SOURCE</x:v>
      </x:c>
      <x:c r="H70" s="64" t="n">
        <x:f>MAX(0,INDEX('Topology Library'!$D$8:$D$14,MATCH(B70,'Topology Library'!$B$8:$B$14,0))-E70)+MAX(0,INDEX('Topology Library'!$F$8:$F$14,MATCH(B70,'Topology Library'!$B$8:$B$14,0))-F70)*INDEX('Topology Library'!$H$8:$H$14,MATCH(B70,'Topology Library'!$B$8:$B$14,0))</x:f>
        <x:v>18</x:v>
      </x:c>
      <x:c r="I70" s="64" t="n">
        <x:f>ROUNDUP(H70/INDEX('Topology Library'!$Q$8:$Q$14,MATCH(B70,'Topology Library'!$B$8:$B$14,0)),0)</x:f>
        <x:v>6</x:v>
      </x:c>
      <x:c r="J70" s="64" t="n">
        <x:f>MAX(0,H70-I70)</x:f>
        <x:v>12</x:v>
      </x:c>
      <x:c r="K70" s="64" t="n">
        <x:f>Assumptions!$C$8</x:f>
        <x:v>10</x:v>
      </x:c>
      <x:c r="L70" s="64" t="str">
        <x:f>IF(J70&gt;=K70,"PASS","FAIL")</x:f>
        <x:v>PASS</x:v>
      </x:c>
      <x:c r="M70" s="80" t="str">
        <x:v>serialized source ancestry</x:v>
      </x:c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</x:row>
    <x:row r="71">
      <x:c r="B71" s="59" t="str">
        <x:v>T4</x:v>
      </x:c>
      <x:c r="C71" s="59" t="str">
        <x:v>W10</x:v>
      </x:c>
      <x:c r="D71" s="59" t="str">
        <x:v>Largest launch-base domain lost</x:v>
      </x:c>
      <x:c r="E71" s="59" t="n">
        <x:v>0</x:v>
      </x:c>
      <x:c r="F71" s="59" t="n">
        <x:v>0</x:v>
      </x:c>
      <x:c r="G71" s="59" t="str">
        <x:v>BASE</x:v>
      </x:c>
      <x:c r="H71" s="64" t="n">
        <x:f>MAX(0,INDEX('Topology Library'!$D$8:$D$14,MATCH(B71,'Topology Library'!$B$8:$B$14,0))-E71)+MAX(0,INDEX('Topology Library'!$F$8:$F$14,MATCH(B71,'Topology Library'!$B$8:$B$14,0))-F71)*INDEX('Topology Library'!$H$8:$H$14,MATCH(B71,'Topology Library'!$B$8:$B$14,0))</x:f>
        <x:v>18</x:v>
      </x:c>
      <x:c r="I71" s="64" t="n">
        <x:f>MIN(H71,ROUNDUP(INDEX('Topology Library'!$F$8:$F$14,MATCH(B71,'Topology Library'!$B$8:$B$14,0))/INDEX('Topology Library'!$R$8:$R$14,MATCH(B71,'Topology Library'!$B$8:$B$14,0)),0)*INDEX('Topology Library'!$H$8:$H$14,MATCH(B71,'Topology Library'!$B$8:$B$14,0)))</x:f>
        <x:v>4</x:v>
      </x:c>
      <x:c r="J71" s="64" t="n">
        <x:f>MAX(0,H71-I71)</x:f>
        <x:v>14</x:v>
      </x:c>
      <x:c r="K71" s="64" t="n">
        <x:f>Assumptions!$C$8</x:f>
        <x:v>10</x:v>
      </x:c>
      <x:c r="L71" s="64" t="str">
        <x:f>IF(J71&gt;=K71,"PASS","FAIL")</x:f>
        <x:v>PASS</x:v>
      </x:c>
      <x:c r="M71" s="80" t="str">
        <x:v>base and depot independence</x:v>
      </x:c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</x:row>
    <x:row r="72">
      <x:c r="B72" s="59" t="str">
        <x:v>T4</x:v>
      </x:c>
      <x:c r="C72" s="59" t="str">
        <x:v>W11</x:v>
      </x:c>
      <x:c r="D72" s="59" t="str">
        <x:v>Largest crew-school domain lost</x:v>
      </x:c>
      <x:c r="E72" s="59" t="n">
        <x:v>0</x:v>
      </x:c>
      <x:c r="F72" s="59" t="n">
        <x:v>0</x:v>
      </x:c>
      <x:c r="G72" s="59" t="str">
        <x:v>CREW</x:v>
      </x:c>
      <x:c r="H72" s="64" t="n">
        <x:f>MAX(0,INDEX('Topology Library'!$D$8:$D$14,MATCH(B72,'Topology Library'!$B$8:$B$14,0))-E72)+MAX(0,INDEX('Topology Library'!$F$8:$F$14,MATCH(B72,'Topology Library'!$B$8:$B$14,0))-F72)*INDEX('Topology Library'!$H$8:$H$14,MATCH(B72,'Topology Library'!$B$8:$B$14,0))</x:f>
        <x:v>18</x:v>
      </x:c>
      <x:c r="I72" s="64" t="n">
        <x:f>ROUNDUP(H72/INDEX('Topology Library'!$S$8:$S$14,MATCH(B72,'Topology Library'!$B$8:$B$14,0)),0)</x:f>
        <x:v>9</x:v>
      </x:c>
      <x:c r="J72" s="64" t="n">
        <x:f>MAX(0,H72-I72)</x:f>
        <x:v>9</x:v>
      </x:c>
      <x:c r="K72" s="64" t="n">
        <x:f>Assumptions!$C$8</x:f>
        <x:v>10</x:v>
      </x:c>
      <x:c r="L72" s="64" t="str">
        <x:f>IF(J72&gt;=K72,"PASS","FAIL")</x:f>
        <x:v>FAIL</x:v>
      </x:c>
      <x:c r="M72" s="80" t="str">
        <x:v>operator qualification independence</x:v>
      </x:c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</x:row>
    <x:row r="73">
      <x:c r="B73" s="59" t="str">
        <x:v>T4</x:v>
      </x:c>
      <x:c r="C73" s="59" t="str">
        <x:v>W12</x:v>
      </x:c>
      <x:c r="D73" s="59" t="str">
        <x:v>Largest control domain lost</x:v>
      </x:c>
      <x:c r="E73" s="59" t="n">
        <x:v>0</x:v>
      </x:c>
      <x:c r="F73" s="59" t="n">
        <x:v>0</x:v>
      </x:c>
      <x:c r="G73" s="59" t="str">
        <x:v>CONTROL</x:v>
      </x:c>
      <x:c r="H73" s="64" t="n">
        <x:f>MAX(0,INDEX('Topology Library'!$D$8:$D$14,MATCH(B73,'Topology Library'!$B$8:$B$14,0))-E73)+MAX(0,INDEX('Topology Library'!$F$8:$F$14,MATCH(B73,'Topology Library'!$B$8:$B$14,0))-F73)*INDEX('Topology Library'!$H$8:$H$14,MATCH(B73,'Topology Library'!$B$8:$B$14,0))</x:f>
        <x:v>18</x:v>
      </x:c>
      <x:c r="I73" s="64" t="n">
        <x:f>ROUNDUP(H73/INDEX('Topology Library'!$T$8:$T$14,MATCH(B73,'Topology Library'!$B$8:$B$14,0)),0)</x:f>
        <x:v>9</x:v>
      </x:c>
      <x:c r="J73" s="64" t="n">
        <x:f>MAX(0,H73-I73)</x:f>
        <x:v>9</x:v>
      </x:c>
      <x:c r="K73" s="64" t="n">
        <x:f>Assumptions!$C$8</x:f>
        <x:v>10</x:v>
      </x:c>
      <x:c r="L73" s="64" t="str">
        <x:f>IF(J73&gt;=K73,"PASS","FAIL")</x:f>
        <x:v>FAIL</x:v>
      </x:c>
      <x:c r="M73" s="80" t="str">
        <x:v>offline command and protection partitions</x:v>
      </x:c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</x:row>
    <x:row r="74">
      <x:c r="B74" s="59" t="str">
        <x:v>T4</x:v>
      </x:c>
      <x:c r="C74" s="59" t="str">
        <x:v>W13</x:v>
      </x:c>
      <x:c r="D74" s="59" t="str">
        <x:v>Largest heat-sink lineage lost</x:v>
      </x:c>
      <x:c r="E74" s="59" t="n">
        <x:v>0</x:v>
      </x:c>
      <x:c r="F74" s="59" t="n">
        <x:v>0</x:v>
      </x:c>
      <x:c r="G74" s="59" t="str">
        <x:v>HEAT</x:v>
      </x:c>
      <x:c r="H74" s="64" t="n">
        <x:f>MAX(0,INDEX('Topology Library'!$D$8:$D$14,MATCH(B74,'Topology Library'!$B$8:$B$14,0))-E74)+MAX(0,INDEX('Topology Library'!$F$8:$F$14,MATCH(B74,'Topology Library'!$B$8:$B$14,0))-F74)*INDEX('Topology Library'!$H$8:$H$14,MATCH(B74,'Topology Library'!$B$8:$B$14,0))</x:f>
        <x:v>18</x:v>
      </x:c>
      <x:c r="I74" s="64" t="n">
        <x:f>ROUNDUP(H74/INDEX('Topology Library'!$U$8:$U$14,MATCH(B74,'Topology Library'!$B$8:$B$14,0)),0)</x:f>
        <x:v>6</x:v>
      </x:c>
      <x:c r="J74" s="64" t="n">
        <x:f>MAX(0,H74-I74)</x:f>
        <x:v>12</x:v>
      </x:c>
      <x:c r="K74" s="64" t="n">
        <x:f>Assumptions!$C$8</x:f>
        <x:v>10</x:v>
      </x:c>
      <x:c r="L74" s="64" t="str">
        <x:f>IF(J74&gt;=K74,"PASS","FAIL")</x:f>
        <x:v>PASS</x:v>
      </x:c>
      <x:c r="M74" s="80" t="str">
        <x:v>final heat destination independence</x:v>
      </x:c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</x:row>
    <x:row r="75">
      <x:c r="B75" s="59" t="str">
        <x:v>T4</x:v>
      </x:c>
      <x:c r="C75" s="59" t="str">
        <x:v>W14</x:v>
      </x:c>
      <x:c r="D75" s="59" t="str">
        <x:v>Largest receiver-interface domain lost</x:v>
      </x:c>
      <x:c r="E75" s="59" t="n">
        <x:v>0</x:v>
      </x:c>
      <x:c r="F75" s="59" t="n">
        <x:v>0</x:v>
      </x:c>
      <x:c r="G75" s="59" t="str">
        <x:v>RECEIVER</x:v>
      </x:c>
      <x:c r="H75" s="64" t="n">
        <x:f>MAX(0,INDEX('Topology Library'!$D$8:$D$14,MATCH(B75,'Topology Library'!$B$8:$B$14,0))-E75)+MAX(0,INDEX('Topology Library'!$F$8:$F$14,MATCH(B75,'Topology Library'!$B$8:$B$14,0))-F75)*INDEX('Topology Library'!$H$8:$H$14,MATCH(B75,'Topology Library'!$B$8:$B$14,0))</x:f>
        <x:v>18</x:v>
      </x:c>
      <x:c r="I75" s="64" t="n">
        <x:f>ROUNDUP(H75/INDEX('Topology Library'!$V$8:$V$14,MATCH(B75,'Topology Library'!$B$8:$B$14,0)),0)</x:f>
        <x:v>6</x:v>
      </x:c>
      <x:c r="J75" s="64" t="n">
        <x:f>MAX(0,H75-I75)</x:f>
        <x:v>12</x:v>
      </x:c>
      <x:c r="K75" s="64" t="n">
        <x:f>Assumptions!$C$8</x:f>
        <x:v>10</x:v>
      </x:c>
      <x:c r="L75" s="64" t="str">
        <x:f>IF(J75&gt;=K75,"PASS","FAIL")</x:f>
        <x:v>PASS</x:v>
      </x:c>
      <x:c r="M75" s="80" t="str">
        <x:v>site release and utility boundary</x:v>
      </x:c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</x:row>
    <x:row r="76">
      <x:c r="B76" s="59" t="str">
        <x:v>T4</x:v>
      </x:c>
      <x:c r="C76" s="59" t="str">
        <x:v>W15</x:v>
      </x:c>
      <x:c r="D76" s="59" t="str">
        <x:v>Second mission before full reset</x:v>
      </x:c>
      <x:c r="E76" s="59" t="n">
        <x:v>0</x:v>
      </x:c>
      <x:c r="F76" s="59" t="n">
        <x:v>0</x:v>
      </x:c>
      <x:c r="G76" s="59" t="str">
        <x:v>RESET</x:v>
      </x:c>
      <x:c r="H76" s="64" t="n">
        <x:f>MAX(0,INDEX('Topology Library'!$D$8:$D$14,MATCH(B76,'Topology Library'!$B$8:$B$14,0))-E76)+MAX(0,INDEX('Topology Library'!$F$8:$F$14,MATCH(B76,'Topology Library'!$B$8:$B$14,0))-F76)*INDEX('Topology Library'!$H$8:$H$14,MATCH(B76,'Topology Library'!$B$8:$B$14,0))</x:f>
        <x:v>18</x:v>
      </x:c>
      <x:c r="I76" s="64" t="n">
        <x:f>H76-ROUNDDOWN(H76*INDEX('Topology Library'!$W$8:$W$14,MATCH(B76,'Topology Library'!$B$8:$B$14,0)),0)</x:f>
        <x:v>4</x:v>
      </x:c>
      <x:c r="J76" s="64" t="n">
        <x:f>MAX(0,H76-I76)</x:f>
        <x:v>14</x:v>
      </x:c>
      <x:c r="K76" s="64" t="n">
        <x:f>Assumptions!$C$8</x:f>
        <x:v>10</x:v>
      </x:c>
      <x:c r="L76" s="64" t="str">
        <x:f>IF(J76&gt;=K76,"PASS","FAIL")</x:f>
        <x:v>PASS</x:v>
      </x:c>
      <x:c r="M76" s="80" t="str">
        <x:v>reconstitution capacity</x:v>
      </x:c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</x:row>
    <x:row r="77">
      <x:c r="B77" s="59" t="str">
        <x:v>T4</x:v>
      </x:c>
      <x:c r="C77" s="59" t="str">
        <x:v>W16</x:v>
      </x:c>
      <x:c r="D77" s="59" t="str">
        <x:v>Source lineage plus one access mode</x:v>
      </x:c>
      <x:c r="E77" s="59" t="n">
        <x:v>0</x:v>
      </x:c>
      <x:c r="F77" s="59" t="n">
        <x:v>1</x:v>
      </x:c>
      <x:c r="G77" s="59" t="str">
        <x:v>SOURCE</x:v>
      </x:c>
      <x:c r="H77" s="64" t="n">
        <x:f>MAX(0,INDEX('Topology Library'!$D$8:$D$14,MATCH(B77,'Topology Library'!$B$8:$B$14,0))-E77)+MAX(0,INDEX('Topology Library'!$F$8:$F$14,MATCH(B77,'Topology Library'!$B$8:$B$14,0))-F77)*INDEX('Topology Library'!$H$8:$H$14,MATCH(B77,'Topology Library'!$B$8:$B$14,0))</x:f>
        <x:v>14</x:v>
      </x:c>
      <x:c r="I77" s="64" t="n">
        <x:f>ROUNDUP(H77/INDEX('Topology Library'!$Q$8:$Q$14,MATCH(B77,'Topology Library'!$B$8:$B$14,0)),0)</x:f>
        <x:v>5</x:v>
      </x:c>
      <x:c r="J77" s="64" t="n">
        <x:f>MAX(0,H77-I77)</x:f>
        <x:v>9</x:v>
      </x:c>
      <x:c r="K77" s="64" t="n">
        <x:f>Assumptions!$C$8</x:f>
        <x:v>10</x:v>
      </x:c>
      <x:c r="L77" s="64" t="str">
        <x:f>IF(J77&gt;=K77,"PASS","FAIL")</x:f>
        <x:v>FAIL</x:v>
      </x:c>
      <x:c r="M77" s="80" t="str">
        <x:v>supplier and route compound</x:v>
      </x:c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</x:row>
    <x:row r="78">
      <x:c r="B78" s="59" t="str">
        <x:v>T4</x:v>
      </x:c>
      <x:c r="C78" s="59" t="str">
        <x:v>W17</x:v>
      </x:c>
      <x:c r="D78" s="59" t="str">
        <x:v>Launch base plus one access mode</x:v>
      </x:c>
      <x:c r="E78" s="59" t="n">
        <x:v>0</x:v>
      </x:c>
      <x:c r="F78" s="59" t="n">
        <x:v>1</x:v>
      </x:c>
      <x:c r="G78" s="59" t="str">
        <x:v>BASE</x:v>
      </x:c>
      <x:c r="H78" s="64" t="n">
        <x:f>MAX(0,INDEX('Topology Library'!$D$8:$D$14,MATCH(B78,'Topology Library'!$B$8:$B$14,0))-E78)+MAX(0,INDEX('Topology Library'!$F$8:$F$14,MATCH(B78,'Topology Library'!$B$8:$B$14,0))-F78)*INDEX('Topology Library'!$H$8:$H$14,MATCH(B78,'Topology Library'!$B$8:$B$14,0))</x:f>
        <x:v>14</x:v>
      </x:c>
      <x:c r="I78" s="64" t="n">
        <x:f>MIN(H78,ROUNDUP(INDEX('Topology Library'!$F$8:$F$14,MATCH(B78,'Topology Library'!$B$8:$B$14,0))/INDEX('Topology Library'!$R$8:$R$14,MATCH(B78,'Topology Library'!$B$8:$B$14,0)),0)*INDEX('Topology Library'!$H$8:$H$14,MATCH(B78,'Topology Library'!$B$8:$B$14,0)))</x:f>
        <x:v>4</x:v>
      </x:c>
      <x:c r="J78" s="64" t="n">
        <x:f>MAX(0,H78-I78)</x:f>
        <x:v>10</x:v>
      </x:c>
      <x:c r="K78" s="64" t="n">
        <x:f>Assumptions!$C$8</x:f>
        <x:v>10</x:v>
      </x:c>
      <x:c r="L78" s="64" t="str">
        <x:f>IF(J78&gt;=K78,"PASS","FAIL")</x:f>
        <x:v>PASS</x:v>
      </x:c>
      <x:c r="M78" s="80" t="str">
        <x:v>base and route compound</x:v>
      </x:c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</x:row>
    <x:row r="79">
      <x:c r="B79" s="59" t="str">
        <x:v>T4</x:v>
      </x:c>
      <x:c r="C79" s="59" t="str">
        <x:v>W18</x:v>
      </x:c>
      <x:c r="D79" s="59" t="str">
        <x:v>Concurrent national allocation</x:v>
      </x:c>
      <x:c r="E79" s="59" t="n">
        <x:v>0</x:v>
      </x:c>
      <x:c r="F79" s="59" t="n">
        <x:v>0</x:v>
      </x:c>
      <x:c r="G79" s="59" t="str">
        <x:v>POOL</x:v>
      </x:c>
      <x:c r="H79" s="64" t="n">
        <x:f>MAX(0,INDEX('Topology Library'!$D$8:$D$14,MATCH(B79,'Topology Library'!$B$8:$B$14,0))-E79)+MAX(0,INDEX('Topology Library'!$F$8:$F$14,MATCH(B79,'Topology Library'!$B$8:$B$14,0))-F79)*INDEX('Topology Library'!$H$8:$H$14,MATCH(B79,'Topology Library'!$B$8:$B$14,0))</x:f>
        <x:v>18</x:v>
      </x:c>
      <x:c r="I79" s="64" t="n">
        <x:f>H79-ROUNDDOWN(H79*INDEX('Topology Library'!$X$8:$X$14,MATCH(B79,'Topology Library'!$B$8:$B$14,0)),0)</x:f>
        <x:v>4</x:v>
      </x:c>
      <x:c r="J79" s="64" t="n">
        <x:f>MAX(0,H79-I79)</x:f>
        <x:v>14</x:v>
      </x:c>
      <x:c r="K79" s="64" t="n">
        <x:f>Assumptions!$C$8</x:f>
        <x:v>10</x:v>
      </x:c>
      <x:c r="L79" s="64" t="str">
        <x:f>IF(J79&gt;=K79,"PASS","FAIL")</x:f>
        <x:v>PASS</x:v>
      </x:c>
      <x:c r="M79" s="80" t="str">
        <x:v>group availability after national pooling</x:v>
      </x:c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</x:row>
    <x:row r="80">
      <x:c r="B80" s="59" t="str">
        <x:v>T5</x:v>
      </x:c>
      <x:c r="C80" s="59" t="str">
        <x:v>W01</x:v>
      </x:c>
      <x:c r="D80" s="59" t="str">
        <x:v>Baseline release</x:v>
      </x:c>
      <x:c r="E80" s="59" t="n">
        <x:v>0</x:v>
      </x:c>
      <x:c r="F80" s="59" t="n">
        <x:v>0</x:v>
      </x:c>
      <x:c r="G80" s="59" t="str">
        <x:v>NONE</x:v>
      </x:c>
      <x:c r="H80" s="64" t="n">
        <x:f>MAX(0,INDEX('Topology Library'!$D$8:$D$14,MATCH(B80,'Topology Library'!$B$8:$B$14,0))-E80)+MAX(0,INDEX('Topology Library'!$F$8:$F$14,MATCH(B80,'Topology Library'!$B$8:$B$14,0))-F80)*INDEX('Topology Library'!$H$8:$H$14,MATCH(B80,'Topology Library'!$B$8:$B$14,0))</x:f>
        <x:v>20</x:v>
      </x:c>
      <x:c r="I80" s="64" t="n">
        <x:v>0</x:v>
      </x:c>
      <x:c r="J80" s="64" t="n">
        <x:f>MAX(0,H80-I80)</x:f>
        <x:v>20</x:v>
      </x:c>
      <x:c r="K80" s="64" t="n">
        <x:f>Assumptions!$C$8</x:f>
        <x:v>10</x:v>
      </x:c>
      <x:c r="L80" s="64" t="str">
        <x:f>IF(J80&gt;=K80,"PASS","FAIL")</x:f>
        <x:v>PASS</x:v>
      </x:c>
      <x:c r="M80" s="80" t="str">
        <x:v>all declared positions available</x:v>
      </x:c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</x:row>
    <x:row r="81">
      <x:c r="B81" s="59" t="str">
        <x:v>T5</x:v>
      </x:c>
      <x:c r="C81" s="59" t="str">
        <x:v>W02</x:v>
      </x:c>
      <x:c r="D81" s="59" t="str">
        <x:v>Any one access mode lost</x:v>
      </x:c>
      <x:c r="E81" s="59" t="n">
        <x:v>0</x:v>
      </x:c>
      <x:c r="F81" s="59" t="n">
        <x:v>1</x:v>
      </x:c>
      <x:c r="G81" s="59" t="str">
        <x:v>NONE</x:v>
      </x:c>
      <x:c r="H81" s="64" t="n">
        <x:f>MAX(0,INDEX('Topology Library'!$D$8:$D$14,MATCH(B81,'Topology Library'!$B$8:$B$14,0))-E81)+MAX(0,INDEX('Topology Library'!$F$8:$F$14,MATCH(B81,'Topology Library'!$B$8:$B$14,0))-F81)*INDEX('Topology Library'!$H$8:$H$14,MATCH(B81,'Topology Library'!$B$8:$B$14,0))</x:f>
        <x:v>15</x:v>
      </x:c>
      <x:c r="I81" s="64" t="n">
        <x:v>0</x:v>
      </x:c>
      <x:c r="J81" s="64" t="n">
        <x:f>MAX(0,H81-I81)</x:f>
        <x:v>15</x:v>
      </x:c>
      <x:c r="K81" s="64" t="n">
        <x:f>Assumptions!$C$8</x:f>
        <x:v>10</x:v>
      </x:c>
      <x:c r="L81" s="64" t="str">
        <x:f>IF(J81&gt;=K81,"PASS","FAIL")</x:f>
        <x:v>PASS</x:v>
      </x:c>
      <x:c r="M81" s="80" t="str">
        <x:v>largest mode-equivalent denial</x:v>
      </x:c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</x:row>
    <x:row r="82">
      <x:c r="B82" s="59" t="str">
        <x:v>T5</x:v>
      </x:c>
      <x:c r="C82" s="59" t="str">
        <x:v>W03</x:v>
      </x:c>
      <x:c r="D82" s="59" t="str">
        <x:v>Any two access modes lost</x:v>
      </x:c>
      <x:c r="E82" s="59" t="n">
        <x:v>0</x:v>
      </x:c>
      <x:c r="F82" s="59" t="n">
        <x:v>2</x:v>
      </x:c>
      <x:c r="G82" s="59" t="str">
        <x:v>NONE</x:v>
      </x:c>
      <x:c r="H82" s="64" t="n">
        <x:f>MAX(0,INDEX('Topology Library'!$D$8:$D$14,MATCH(B82,'Topology Library'!$B$8:$B$14,0))-E82)+MAX(0,INDEX('Topology Library'!$F$8:$F$14,MATCH(B82,'Topology Library'!$B$8:$B$14,0))-F82)*INDEX('Topology Library'!$H$8:$H$14,MATCH(B82,'Topology Library'!$B$8:$B$14,0))</x:f>
        <x:v>10</x:v>
      </x:c>
      <x:c r="I82" s="64" t="n">
        <x:v>0</x:v>
      </x:c>
      <x:c r="J82" s="64" t="n">
        <x:f>MAX(0,H82-I82)</x:f>
        <x:v>10</x:v>
      </x:c>
      <x:c r="K82" s="64" t="n">
        <x:f>Assumptions!$C$8</x:f>
        <x:v>10</x:v>
      </x:c>
      <x:c r="L82" s="64" t="str">
        <x:f>IF(J82&gt;=K82,"PASS","FAIL")</x:f>
        <x:v>PASS</x:v>
      </x:c>
      <x:c r="M82" s="80" t="str">
        <x:v>Pass 75 transport guarantee</x:v>
      </x:c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</x:row>
    <x:row r="83">
      <x:c r="B83" s="59" t="str">
        <x:v>T5</x:v>
      </x:c>
      <x:c r="C83" s="59" t="str">
        <x:v>W04</x:v>
      </x:c>
      <x:c r="D83" s="59" t="str">
        <x:v>Three legacy access modes lost</x:v>
      </x:c>
      <x:c r="E83" s="59" t="n">
        <x:v>0</x:v>
      </x:c>
      <x:c r="F83" s="59" t="n">
        <x:v>3</x:v>
      </x:c>
      <x:c r="G83" s="59" t="str">
        <x:v>NONE</x:v>
      </x:c>
      <x:c r="H83" s="64" t="n">
        <x:f>MAX(0,INDEX('Topology Library'!$D$8:$D$14,MATCH(B83,'Topology Library'!$B$8:$B$14,0))-E83)+MAX(0,INDEX('Topology Library'!$F$8:$F$14,MATCH(B83,'Topology Library'!$B$8:$B$14,0))-F83)*INDEX('Topology Library'!$H$8:$H$14,MATCH(B83,'Topology Library'!$B$8:$B$14,0))</x:f>
        <x:v>5</x:v>
      </x:c>
      <x:c r="I83" s="64" t="n">
        <x:v>0</x:v>
      </x:c>
      <x:c r="J83" s="64" t="n">
        <x:f>MAX(0,H83-I83)</x:f>
        <x:v>5</x:v>
      </x:c>
      <x:c r="K83" s="64" t="n">
        <x:f>Assumptions!$C$8</x:f>
        <x:v>10</x:v>
      </x:c>
      <x:c r="L83" s="64" t="str">
        <x:f>IF(J83&gt;=K83,"PASS","FAIL")</x:f>
        <x:v>FAIL</x:v>
      </x:c>
      <x:c r="M83" s="80" t="str">
        <x:v>tests value of a fourth independent path</x:v>
      </x:c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</x:row>
    <x:row r="84">
      <x:c r="B84" s="59" t="str">
        <x:v>T5</x:v>
      </x:c>
      <x:c r="C84" s="59" t="str">
        <x:v>W05</x:v>
      </x:c>
      <x:c r="D84" s="59" t="str">
        <x:v>One fixed island lost</x:v>
      </x:c>
      <x:c r="E84" s="59" t="n">
        <x:f>IF(INDEX('Topology Library'!$E$8:$E$14,MATCH(B84,'Topology Library'!$B$8:$B$14,0))=0,0,INDEX('Topology Library'!$K$8:$K$14,MATCH(B84,'Topology Library'!$B$8:$B$14,0)))</x:f>
        <x:v>0</x:v>
      </x:c>
      <x:c r="F84" s="59" t="n">
        <x:v>0</x:v>
      </x:c>
      <x:c r="G84" s="59" t="str">
        <x:v>NONE</x:v>
      </x:c>
      <x:c r="H84" s="64" t="n">
        <x:f>MAX(0,INDEX('Topology Library'!$D$8:$D$14,MATCH(B84,'Topology Library'!$B$8:$B$14,0))-E84)+MAX(0,INDEX('Topology Library'!$F$8:$F$14,MATCH(B84,'Topology Library'!$B$8:$B$14,0))-F84)*INDEX('Topology Library'!$H$8:$H$14,MATCH(B84,'Topology Library'!$B$8:$B$14,0))</x:f>
        <x:v>20</x:v>
      </x:c>
      <x:c r="I84" s="64" t="n">
        <x:v>0</x:v>
      </x:c>
      <x:c r="J84" s="64" t="n">
        <x:f>MAX(0,H84-I84)</x:f>
        <x:v>20</x:v>
      </x:c>
      <x:c r="K84" s="64" t="n">
        <x:f>Assumptions!$C$8</x:f>
        <x:v>10</x:v>
      </x:c>
      <x:c r="L84" s="64" t="str">
        <x:f>IF(J84&gt;=K84,"PASS","FAIL")</x:f>
        <x:v>PASS</x:v>
      </x:c>
      <x:c r="M84" s="80" t="str">
        <x:v>largest fixed-island share removed</x:v>
      </x:c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</x:row>
    <x:row r="85">
      <x:c r="B85" s="59" t="str">
        <x:v>T5</x:v>
      </x:c>
      <x:c r="C85" s="59" t="str">
        <x:v>W06</x:v>
      </x:c>
      <x:c r="D85" s="59" t="str">
        <x:v>Fixed island plus one access mode</x:v>
      </x:c>
      <x:c r="E85" s="59" t="n">
        <x:f>IF(INDEX('Topology Library'!$E$8:$E$14,MATCH(B85,'Topology Library'!$B$8:$B$14,0))=0,0,INDEX('Topology Library'!$K$8:$K$14,MATCH(B85,'Topology Library'!$B$8:$B$14,0)))</x:f>
        <x:v>0</x:v>
      </x:c>
      <x:c r="F85" s="59" t="n">
        <x:v>1</x:v>
      </x:c>
      <x:c r="G85" s="59" t="str">
        <x:v>NONE</x:v>
      </x:c>
      <x:c r="H85" s="64" t="n">
        <x:f>MAX(0,INDEX('Topology Library'!$D$8:$D$14,MATCH(B85,'Topology Library'!$B$8:$B$14,0))-E85)+MAX(0,INDEX('Topology Library'!$F$8:$F$14,MATCH(B85,'Topology Library'!$B$8:$B$14,0))-F85)*INDEX('Topology Library'!$H$8:$H$14,MATCH(B85,'Topology Library'!$B$8:$B$14,0))</x:f>
        <x:v>15</x:v>
      </x:c>
      <x:c r="I85" s="64" t="n">
        <x:v>0</x:v>
      </x:c>
      <x:c r="J85" s="64" t="n">
        <x:f>MAX(0,H85-I85)</x:f>
        <x:v>15</x:v>
      </x:c>
      <x:c r="K85" s="64" t="n">
        <x:f>Assumptions!$C$8</x:f>
        <x:v>10</x:v>
      </x:c>
      <x:c r="L85" s="64" t="str">
        <x:f>IF(J85&gt;=K85,"PASS","FAIL")</x:f>
        <x:v>PASS</x:v>
      </x:c>
      <x:c r="M85" s="80" t="str">
        <x:v>mixed geography and route denial</x:v>
      </x:c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</x:row>
    <x:row r="86">
      <x:c r="B86" s="59" t="str">
        <x:v>T5</x:v>
      </x:c>
      <x:c r="C86" s="59" t="str">
        <x:v>W07</x:v>
      </x:c>
      <x:c r="D86" s="59" t="str">
        <x:v>Fixed island plus two access modes</x:v>
      </x:c>
      <x:c r="E86" s="59" t="n">
        <x:f>IF(INDEX('Topology Library'!$E$8:$E$14,MATCH(B86,'Topology Library'!$B$8:$B$14,0))=0,0,INDEX('Topology Library'!$K$8:$K$14,MATCH(B86,'Topology Library'!$B$8:$B$14,0)))</x:f>
        <x:v>0</x:v>
      </x:c>
      <x:c r="F86" s="59" t="n">
        <x:v>2</x:v>
      </x:c>
      <x:c r="G86" s="59" t="str">
        <x:v>NONE</x:v>
      </x:c>
      <x:c r="H86" s="64" t="n">
        <x:f>MAX(0,INDEX('Topology Library'!$D$8:$D$14,MATCH(B86,'Topology Library'!$B$8:$B$14,0))-E86)+MAX(0,INDEX('Topology Library'!$F$8:$F$14,MATCH(B86,'Topology Library'!$B$8:$B$14,0))-F86)*INDEX('Topology Library'!$H$8:$H$14,MATCH(B86,'Topology Library'!$B$8:$B$14,0))</x:f>
        <x:v>10</x:v>
      </x:c>
      <x:c r="I86" s="64" t="n">
        <x:v>0</x:v>
      </x:c>
      <x:c r="J86" s="64" t="n">
        <x:f>MAX(0,H86-I86)</x:f>
        <x:v>10</x:v>
      </x:c>
      <x:c r="K86" s="64" t="n">
        <x:f>Assumptions!$C$8</x:f>
        <x:v>10</x:v>
      </x:c>
      <x:c r="L86" s="64" t="str">
        <x:f>IF(J86&gt;=K86,"PASS","FAIL")</x:f>
        <x:v>PASS</x:v>
      </x:c>
      <x:c r="M86" s="80" t="str">
        <x:v>strong layered guarantee</x:v>
      </x:c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</x:row>
    <x:row r="87">
      <x:c r="B87" s="59" t="str">
        <x:v>T5</x:v>
      </x:c>
      <x:c r="C87" s="59" t="str">
        <x:v>W08</x:v>
      </x:c>
      <x:c r="D87" s="59" t="str">
        <x:v>Entire fixed lattice plus one access mode</x:v>
      </x:c>
      <x:c r="E87" s="59" t="n">
        <x:f>INDEX('Topology Library'!$D$8:$D$14,MATCH(B87,'Topology Library'!$B$8:$B$14,0))</x:f>
        <x:v>0</x:v>
      </x:c>
      <x:c r="F87" s="59" t="n">
        <x:v>1</x:v>
      </x:c>
      <x:c r="G87" s="59" t="str">
        <x:v>NONE</x:v>
      </x:c>
      <x:c r="H87" s="64" t="n">
        <x:f>MAX(0,INDEX('Topology Library'!$D$8:$D$14,MATCH(B87,'Topology Library'!$B$8:$B$14,0))-E87)+MAX(0,INDEX('Topology Library'!$F$8:$F$14,MATCH(B87,'Topology Library'!$B$8:$B$14,0))-F87)*INDEX('Topology Library'!$H$8:$H$14,MATCH(B87,'Topology Library'!$B$8:$B$14,0))</x:f>
        <x:v>15</x:v>
      </x:c>
      <x:c r="I87" s="64" t="n">
        <x:v>0</x:v>
      </x:c>
      <x:c r="J87" s="64" t="n">
        <x:f>MAX(0,H87-I87)</x:f>
        <x:v>15</x:v>
      </x:c>
      <x:c r="K87" s="64" t="n">
        <x:f>Assumptions!$C$8</x:f>
        <x:v>10</x:v>
      </x:c>
      <x:c r="L87" s="64" t="str">
        <x:f>IF(J87&gt;=K87,"PASS","FAIL")</x:f>
        <x:v>PASS</x:v>
      </x:c>
      <x:c r="M87" s="80" t="str">
        <x:v>loss of all forward readiness</x:v>
      </x:c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</x:row>
    <x:row r="88">
      <x:c r="B88" s="59" t="str">
        <x:v>T5</x:v>
      </x:c>
      <x:c r="C88" s="59" t="str">
        <x:v>W09</x:v>
      </x:c>
      <x:c r="D88" s="59" t="str">
        <x:v>Largest source lineage lost</x:v>
      </x:c>
      <x:c r="E88" s="59" t="n">
        <x:v>0</x:v>
      </x:c>
      <x:c r="F88" s="59" t="n">
        <x:v>0</x:v>
      </x:c>
      <x:c r="G88" s="59" t="str">
        <x:v>SOURCE</x:v>
      </x:c>
      <x:c r="H88" s="64" t="n">
        <x:f>MAX(0,INDEX('Topology Library'!$D$8:$D$14,MATCH(B88,'Topology Library'!$B$8:$B$14,0))-E88)+MAX(0,INDEX('Topology Library'!$F$8:$F$14,MATCH(B88,'Topology Library'!$B$8:$B$14,0))-F88)*INDEX('Topology Library'!$H$8:$H$14,MATCH(B88,'Topology Library'!$B$8:$B$14,0))</x:f>
        <x:v>20</x:v>
      </x:c>
      <x:c r="I88" s="64" t="n">
        <x:f>ROUNDUP(H88/INDEX('Topology Library'!$Q$8:$Q$14,MATCH(B88,'Topology Library'!$B$8:$B$14,0)),0)</x:f>
        <x:v>5</x:v>
      </x:c>
      <x:c r="J88" s="64" t="n">
        <x:f>MAX(0,H88-I88)</x:f>
        <x:v>15</x:v>
      </x:c>
      <x:c r="K88" s="64" t="n">
        <x:f>Assumptions!$C$8</x:f>
        <x:v>10</x:v>
      </x:c>
      <x:c r="L88" s="64" t="str">
        <x:f>IF(J88&gt;=K88,"PASS","FAIL")</x:f>
        <x:v>PASS</x:v>
      </x:c>
      <x:c r="M88" s="80" t="str">
        <x:v>serialized source ancestry</x:v>
      </x:c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</x:row>
    <x:row r="89">
      <x:c r="B89" s="59" t="str">
        <x:v>T5</x:v>
      </x:c>
      <x:c r="C89" s="59" t="str">
        <x:v>W10</x:v>
      </x:c>
      <x:c r="D89" s="59" t="str">
        <x:v>Largest launch-base domain lost</x:v>
      </x:c>
      <x:c r="E89" s="59" t="n">
        <x:v>0</x:v>
      </x:c>
      <x:c r="F89" s="59" t="n">
        <x:v>0</x:v>
      </x:c>
      <x:c r="G89" s="59" t="str">
        <x:v>BASE</x:v>
      </x:c>
      <x:c r="H89" s="64" t="n">
        <x:f>MAX(0,INDEX('Topology Library'!$D$8:$D$14,MATCH(B89,'Topology Library'!$B$8:$B$14,0))-E89)+MAX(0,INDEX('Topology Library'!$F$8:$F$14,MATCH(B89,'Topology Library'!$B$8:$B$14,0))-F89)*INDEX('Topology Library'!$H$8:$H$14,MATCH(B89,'Topology Library'!$B$8:$B$14,0))</x:f>
        <x:v>20</x:v>
      </x:c>
      <x:c r="I89" s="64" t="n">
        <x:f>MIN(H89,ROUNDUP(INDEX('Topology Library'!$F$8:$F$14,MATCH(B89,'Topology Library'!$B$8:$B$14,0))/INDEX('Topology Library'!$R$8:$R$14,MATCH(B89,'Topology Library'!$B$8:$B$14,0)),0)*INDEX('Topology Library'!$H$8:$H$14,MATCH(B89,'Topology Library'!$B$8:$B$14,0)))</x:f>
        <x:v>5</x:v>
      </x:c>
      <x:c r="J89" s="64" t="n">
        <x:f>MAX(0,H89-I89)</x:f>
        <x:v>15</x:v>
      </x:c>
      <x:c r="K89" s="64" t="n">
        <x:f>Assumptions!$C$8</x:f>
        <x:v>10</x:v>
      </x:c>
      <x:c r="L89" s="64" t="str">
        <x:f>IF(J89&gt;=K89,"PASS","FAIL")</x:f>
        <x:v>PASS</x:v>
      </x:c>
      <x:c r="M89" s="80" t="str">
        <x:v>base and depot independence</x:v>
      </x:c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</x:row>
    <x:row r="90">
      <x:c r="B90" s="59" t="str">
        <x:v>T5</x:v>
      </x:c>
      <x:c r="C90" s="59" t="str">
        <x:v>W11</x:v>
      </x:c>
      <x:c r="D90" s="59" t="str">
        <x:v>Largest crew-school domain lost</x:v>
      </x:c>
      <x:c r="E90" s="59" t="n">
        <x:v>0</x:v>
      </x:c>
      <x:c r="F90" s="59" t="n">
        <x:v>0</x:v>
      </x:c>
      <x:c r="G90" s="59" t="str">
        <x:v>CREW</x:v>
      </x:c>
      <x:c r="H90" s="64" t="n">
        <x:f>MAX(0,INDEX('Topology Library'!$D$8:$D$14,MATCH(B90,'Topology Library'!$B$8:$B$14,0))-E90)+MAX(0,INDEX('Topology Library'!$F$8:$F$14,MATCH(B90,'Topology Library'!$B$8:$B$14,0))-F90)*INDEX('Topology Library'!$H$8:$H$14,MATCH(B90,'Topology Library'!$B$8:$B$14,0))</x:f>
        <x:v>20</x:v>
      </x:c>
      <x:c r="I90" s="64" t="n">
        <x:f>ROUNDUP(H90/INDEX('Topology Library'!$S$8:$S$14,MATCH(B90,'Topology Library'!$B$8:$B$14,0)),0)</x:f>
        <x:v>7</x:v>
      </x:c>
      <x:c r="J90" s="64" t="n">
        <x:f>MAX(0,H90-I90)</x:f>
        <x:v>13</x:v>
      </x:c>
      <x:c r="K90" s="64" t="n">
        <x:f>Assumptions!$C$8</x:f>
        <x:v>10</x:v>
      </x:c>
      <x:c r="L90" s="64" t="str">
        <x:f>IF(J90&gt;=K90,"PASS","FAIL")</x:f>
        <x:v>PASS</x:v>
      </x:c>
      <x:c r="M90" s="80" t="str">
        <x:v>operator qualification independence</x:v>
      </x:c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</x:row>
    <x:row r="91">
      <x:c r="B91" s="59" t="str">
        <x:v>T5</x:v>
      </x:c>
      <x:c r="C91" s="59" t="str">
        <x:v>W12</x:v>
      </x:c>
      <x:c r="D91" s="59" t="str">
        <x:v>Largest control domain lost</x:v>
      </x:c>
      <x:c r="E91" s="59" t="n">
        <x:v>0</x:v>
      </x:c>
      <x:c r="F91" s="59" t="n">
        <x:v>0</x:v>
      </x:c>
      <x:c r="G91" s="59" t="str">
        <x:v>CONTROL</x:v>
      </x:c>
      <x:c r="H91" s="64" t="n">
        <x:f>MAX(0,INDEX('Topology Library'!$D$8:$D$14,MATCH(B91,'Topology Library'!$B$8:$B$14,0))-E91)+MAX(0,INDEX('Topology Library'!$F$8:$F$14,MATCH(B91,'Topology Library'!$B$8:$B$14,0))-F91)*INDEX('Topology Library'!$H$8:$H$14,MATCH(B91,'Topology Library'!$B$8:$B$14,0))</x:f>
        <x:v>20</x:v>
      </x:c>
      <x:c r="I91" s="64" t="n">
        <x:f>ROUNDUP(H91/INDEX('Topology Library'!$T$8:$T$14,MATCH(B91,'Topology Library'!$B$8:$B$14,0)),0)</x:f>
        <x:v>7</x:v>
      </x:c>
      <x:c r="J91" s="64" t="n">
        <x:f>MAX(0,H91-I91)</x:f>
        <x:v>13</x:v>
      </x:c>
      <x:c r="K91" s="64" t="n">
        <x:f>Assumptions!$C$8</x:f>
        <x:v>10</x:v>
      </x:c>
      <x:c r="L91" s="64" t="str">
        <x:f>IF(J91&gt;=K91,"PASS","FAIL")</x:f>
        <x:v>PASS</x:v>
      </x:c>
      <x:c r="M91" s="80" t="str">
        <x:v>offline command and protection partitions</x:v>
      </x:c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</x:row>
    <x:row r="92">
      <x:c r="B92" s="59" t="str">
        <x:v>T5</x:v>
      </x:c>
      <x:c r="C92" s="59" t="str">
        <x:v>W13</x:v>
      </x:c>
      <x:c r="D92" s="59" t="str">
        <x:v>Largest heat-sink lineage lost</x:v>
      </x:c>
      <x:c r="E92" s="59" t="n">
        <x:v>0</x:v>
      </x:c>
      <x:c r="F92" s="59" t="n">
        <x:v>0</x:v>
      </x:c>
      <x:c r="G92" s="59" t="str">
        <x:v>HEAT</x:v>
      </x:c>
      <x:c r="H92" s="64" t="n">
        <x:f>MAX(0,INDEX('Topology Library'!$D$8:$D$14,MATCH(B92,'Topology Library'!$B$8:$B$14,0))-E92)+MAX(0,INDEX('Topology Library'!$F$8:$F$14,MATCH(B92,'Topology Library'!$B$8:$B$14,0))-F92)*INDEX('Topology Library'!$H$8:$H$14,MATCH(B92,'Topology Library'!$B$8:$B$14,0))</x:f>
        <x:v>20</x:v>
      </x:c>
      <x:c r="I92" s="64" t="n">
        <x:f>ROUNDUP(H92/INDEX('Topology Library'!$U$8:$U$14,MATCH(B92,'Topology Library'!$B$8:$B$14,0)),0)</x:f>
        <x:v>7</x:v>
      </x:c>
      <x:c r="J92" s="64" t="n">
        <x:f>MAX(0,H92-I92)</x:f>
        <x:v>13</x:v>
      </x:c>
      <x:c r="K92" s="64" t="n">
        <x:f>Assumptions!$C$8</x:f>
        <x:v>10</x:v>
      </x:c>
      <x:c r="L92" s="64" t="str">
        <x:f>IF(J92&gt;=K92,"PASS","FAIL")</x:f>
        <x:v>PASS</x:v>
      </x:c>
      <x:c r="M92" s="80" t="str">
        <x:v>final heat destination independence</x:v>
      </x:c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</x:row>
    <x:row r="93">
      <x:c r="B93" s="59" t="str">
        <x:v>T5</x:v>
      </x:c>
      <x:c r="C93" s="59" t="str">
        <x:v>W14</x:v>
      </x:c>
      <x:c r="D93" s="59" t="str">
        <x:v>Largest receiver-interface domain lost</x:v>
      </x:c>
      <x:c r="E93" s="59" t="n">
        <x:v>0</x:v>
      </x:c>
      <x:c r="F93" s="59" t="n">
        <x:v>0</x:v>
      </x:c>
      <x:c r="G93" s="59" t="str">
        <x:v>RECEIVER</x:v>
      </x:c>
      <x:c r="H93" s="64" t="n">
        <x:f>MAX(0,INDEX('Topology Library'!$D$8:$D$14,MATCH(B93,'Topology Library'!$B$8:$B$14,0))-E93)+MAX(0,INDEX('Topology Library'!$F$8:$F$14,MATCH(B93,'Topology Library'!$B$8:$B$14,0))-F93)*INDEX('Topology Library'!$H$8:$H$14,MATCH(B93,'Topology Library'!$B$8:$B$14,0))</x:f>
        <x:v>20</x:v>
      </x:c>
      <x:c r="I93" s="64" t="n">
        <x:f>ROUNDUP(H93/INDEX('Topology Library'!$V$8:$V$14,MATCH(B93,'Topology Library'!$B$8:$B$14,0)),0)</x:f>
        <x:v>20</x:v>
      </x:c>
      <x:c r="J93" s="64" t="n">
        <x:f>MAX(0,H93-I93)</x:f>
        <x:v>0</x:v>
      </x:c>
      <x:c r="K93" s="64" t="n">
        <x:f>Assumptions!$C$8</x:f>
        <x:v>10</x:v>
      </x:c>
      <x:c r="L93" s="64" t="str">
        <x:f>IF(J93&gt;=K93,"PASS","FAIL")</x:f>
        <x:v>FAIL</x:v>
      </x:c>
      <x:c r="M93" s="80" t="str">
        <x:v>site release and utility boundary</x:v>
      </x:c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</x:row>
    <x:row r="94">
      <x:c r="B94" s="59" t="str">
        <x:v>T5</x:v>
      </x:c>
      <x:c r="C94" s="59" t="str">
        <x:v>W15</x:v>
      </x:c>
      <x:c r="D94" s="59" t="str">
        <x:v>Second mission before full reset</x:v>
      </x:c>
      <x:c r="E94" s="59" t="n">
        <x:v>0</x:v>
      </x:c>
      <x:c r="F94" s="59" t="n">
        <x:v>0</x:v>
      </x:c>
      <x:c r="G94" s="59" t="str">
        <x:v>RESET</x:v>
      </x:c>
      <x:c r="H94" s="64" t="n">
        <x:f>MAX(0,INDEX('Topology Library'!$D$8:$D$14,MATCH(B94,'Topology Library'!$B$8:$B$14,0))-E94)+MAX(0,INDEX('Topology Library'!$F$8:$F$14,MATCH(B94,'Topology Library'!$B$8:$B$14,0))-F94)*INDEX('Topology Library'!$H$8:$H$14,MATCH(B94,'Topology Library'!$B$8:$B$14,0))</x:f>
        <x:v>20</x:v>
      </x:c>
      <x:c r="I94" s="64" t="n">
        <x:f>H94-ROUNDDOWN(H94*INDEX('Topology Library'!$W$8:$W$14,MATCH(B94,'Topology Library'!$B$8:$B$14,0)),0)</x:f>
        <x:v>5</x:v>
      </x:c>
      <x:c r="J94" s="64" t="n">
        <x:f>MAX(0,H94-I94)</x:f>
        <x:v>15</x:v>
      </x:c>
      <x:c r="K94" s="64" t="n">
        <x:f>Assumptions!$C$8</x:f>
        <x:v>10</x:v>
      </x:c>
      <x:c r="L94" s="64" t="str">
        <x:f>IF(J94&gt;=K94,"PASS","FAIL")</x:f>
        <x:v>PASS</x:v>
      </x:c>
      <x:c r="M94" s="80" t="str">
        <x:v>reconstitution capacity</x:v>
      </x:c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</x:row>
    <x:row r="95">
      <x:c r="B95" s="59" t="str">
        <x:v>T5</x:v>
      </x:c>
      <x:c r="C95" s="59" t="str">
        <x:v>W16</x:v>
      </x:c>
      <x:c r="D95" s="59" t="str">
        <x:v>Source lineage plus one access mode</x:v>
      </x:c>
      <x:c r="E95" s="59" t="n">
        <x:v>0</x:v>
      </x:c>
      <x:c r="F95" s="59" t="n">
        <x:v>1</x:v>
      </x:c>
      <x:c r="G95" s="59" t="str">
        <x:v>SOURCE</x:v>
      </x:c>
      <x:c r="H95" s="64" t="n">
        <x:f>MAX(0,INDEX('Topology Library'!$D$8:$D$14,MATCH(B95,'Topology Library'!$B$8:$B$14,0))-E95)+MAX(0,INDEX('Topology Library'!$F$8:$F$14,MATCH(B95,'Topology Library'!$B$8:$B$14,0))-F95)*INDEX('Topology Library'!$H$8:$H$14,MATCH(B95,'Topology Library'!$B$8:$B$14,0))</x:f>
        <x:v>15</x:v>
      </x:c>
      <x:c r="I95" s="64" t="n">
        <x:f>ROUNDUP(H95/INDEX('Topology Library'!$Q$8:$Q$14,MATCH(B95,'Topology Library'!$B$8:$B$14,0)),0)</x:f>
        <x:v>4</x:v>
      </x:c>
      <x:c r="J95" s="64" t="n">
        <x:f>MAX(0,H95-I95)</x:f>
        <x:v>11</x:v>
      </x:c>
      <x:c r="K95" s="64" t="n">
        <x:f>Assumptions!$C$8</x:f>
        <x:v>10</x:v>
      </x:c>
      <x:c r="L95" s="64" t="str">
        <x:f>IF(J95&gt;=K95,"PASS","FAIL")</x:f>
        <x:v>PASS</x:v>
      </x:c>
      <x:c r="M95" s="80" t="str">
        <x:v>supplier and route compound</x:v>
      </x:c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</x:row>
    <x:row r="96">
      <x:c r="B96" s="59" t="str">
        <x:v>T5</x:v>
      </x:c>
      <x:c r="C96" s="59" t="str">
        <x:v>W17</x:v>
      </x:c>
      <x:c r="D96" s="59" t="str">
        <x:v>Launch base plus one access mode</x:v>
      </x:c>
      <x:c r="E96" s="59" t="n">
        <x:v>0</x:v>
      </x:c>
      <x:c r="F96" s="59" t="n">
        <x:v>1</x:v>
      </x:c>
      <x:c r="G96" s="59" t="str">
        <x:v>BASE</x:v>
      </x:c>
      <x:c r="H96" s="64" t="n">
        <x:f>MAX(0,INDEX('Topology Library'!$D$8:$D$14,MATCH(B96,'Topology Library'!$B$8:$B$14,0))-E96)+MAX(0,INDEX('Topology Library'!$F$8:$F$14,MATCH(B96,'Topology Library'!$B$8:$B$14,0))-F96)*INDEX('Topology Library'!$H$8:$H$14,MATCH(B96,'Topology Library'!$B$8:$B$14,0))</x:f>
        <x:v>15</x:v>
      </x:c>
      <x:c r="I96" s="64" t="n">
        <x:f>MIN(H96,ROUNDUP(INDEX('Topology Library'!$F$8:$F$14,MATCH(B96,'Topology Library'!$B$8:$B$14,0))/INDEX('Topology Library'!$R$8:$R$14,MATCH(B96,'Topology Library'!$B$8:$B$14,0)),0)*INDEX('Topology Library'!$H$8:$H$14,MATCH(B96,'Topology Library'!$B$8:$B$14,0)))</x:f>
        <x:v>5</x:v>
      </x:c>
      <x:c r="J96" s="64" t="n">
        <x:f>MAX(0,H96-I96)</x:f>
        <x:v>10</x:v>
      </x:c>
      <x:c r="K96" s="64" t="n">
        <x:f>Assumptions!$C$8</x:f>
        <x:v>10</x:v>
      </x:c>
      <x:c r="L96" s="64" t="str">
        <x:f>IF(J96&gt;=K96,"PASS","FAIL")</x:f>
        <x:v>PASS</x:v>
      </x:c>
      <x:c r="M96" s="80" t="str">
        <x:v>base and route compound</x:v>
      </x:c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</x:row>
    <x:row r="97">
      <x:c r="B97" s="59" t="str">
        <x:v>T5</x:v>
      </x:c>
      <x:c r="C97" s="59" t="str">
        <x:v>W18</x:v>
      </x:c>
      <x:c r="D97" s="59" t="str">
        <x:v>Concurrent national allocation</x:v>
      </x:c>
      <x:c r="E97" s="59" t="n">
        <x:v>0</x:v>
      </x:c>
      <x:c r="F97" s="59" t="n">
        <x:v>0</x:v>
      </x:c>
      <x:c r="G97" s="59" t="str">
        <x:v>POOL</x:v>
      </x:c>
      <x:c r="H97" s="64" t="n">
        <x:f>MAX(0,INDEX('Topology Library'!$D$8:$D$14,MATCH(B97,'Topology Library'!$B$8:$B$14,0))-E97)+MAX(0,INDEX('Topology Library'!$F$8:$F$14,MATCH(B97,'Topology Library'!$B$8:$B$14,0))-F97)*INDEX('Topology Library'!$H$8:$H$14,MATCH(B97,'Topology Library'!$B$8:$B$14,0))</x:f>
        <x:v>20</x:v>
      </x:c>
      <x:c r="I97" s="64" t="n">
        <x:f>H97-ROUNDDOWN(H97*INDEX('Topology Library'!$X$8:$X$14,MATCH(B97,'Topology Library'!$B$8:$B$14,0)),0)</x:f>
        <x:v>6</x:v>
      </x:c>
      <x:c r="J97" s="64" t="n">
        <x:f>MAX(0,H97-I97)</x:f>
        <x:v>14</x:v>
      </x:c>
      <x:c r="K97" s="64" t="n">
        <x:f>Assumptions!$C$8</x:f>
        <x:v>10</x:v>
      </x:c>
      <x:c r="L97" s="64" t="str">
        <x:f>IF(J97&gt;=K97,"PASS","FAIL")</x:f>
        <x:v>PASS</x:v>
      </x:c>
      <x:c r="M97" s="80" t="str">
        <x:v>group availability after national pooling</x:v>
      </x:c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</x:row>
    <x:row r="98">
      <x:c r="B98" s="59" t="str">
        <x:v>T6</x:v>
      </x:c>
      <x:c r="C98" s="59" t="str">
        <x:v>W01</x:v>
      </x:c>
      <x:c r="D98" s="59" t="str">
        <x:v>Baseline release</x:v>
      </x:c>
      <x:c r="E98" s="59" t="n">
        <x:v>0</x:v>
      </x:c>
      <x:c r="F98" s="59" t="n">
        <x:v>0</x:v>
      </x:c>
      <x:c r="G98" s="59" t="str">
        <x:v>NONE</x:v>
      </x:c>
      <x:c r="H98" s="64" t="n">
        <x:f>MAX(0,INDEX('Topology Library'!$D$8:$D$14,MATCH(B98,'Topology Library'!$B$8:$B$14,0))-E98)+MAX(0,INDEX('Topology Library'!$F$8:$F$14,MATCH(B98,'Topology Library'!$B$8:$B$14,0))-F98)*INDEX('Topology Library'!$H$8:$H$14,MATCH(B98,'Topology Library'!$B$8:$B$14,0))</x:f>
        <x:v>16</x:v>
      </x:c>
      <x:c r="I98" s="64" t="n">
        <x:v>0</x:v>
      </x:c>
      <x:c r="J98" s="64" t="n">
        <x:f>MAX(0,H98-I98)</x:f>
        <x:v>16</x:v>
      </x:c>
      <x:c r="K98" s="64" t="n">
        <x:f>Assumptions!$C$8</x:f>
        <x:v>10</x:v>
      </x:c>
      <x:c r="L98" s="64" t="str">
        <x:f>IF(J98&gt;=K98,"PASS","FAIL")</x:f>
        <x:v>PASS</x:v>
      </x:c>
      <x:c r="M98" s="80" t="str">
        <x:v>all declared positions available</x:v>
      </x:c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</x:row>
    <x:row r="99">
      <x:c r="B99" s="59" t="str">
        <x:v>T6</x:v>
      </x:c>
      <x:c r="C99" s="59" t="str">
        <x:v>W02</x:v>
      </x:c>
      <x:c r="D99" s="59" t="str">
        <x:v>Any one access mode lost</x:v>
      </x:c>
      <x:c r="E99" s="59" t="n">
        <x:v>0</x:v>
      </x:c>
      <x:c r="F99" s="59" t="n">
        <x:v>1</x:v>
      </x:c>
      <x:c r="G99" s="59" t="str">
        <x:v>NONE</x:v>
      </x:c>
      <x:c r="H99" s="64" t="n">
        <x:f>MAX(0,INDEX('Topology Library'!$D$8:$D$14,MATCH(B99,'Topology Library'!$B$8:$B$14,0))-E99)+MAX(0,INDEX('Topology Library'!$F$8:$F$14,MATCH(B99,'Topology Library'!$B$8:$B$14,0))-F99)*INDEX('Topology Library'!$H$8:$H$14,MATCH(B99,'Topology Library'!$B$8:$B$14,0))</x:f>
        <x:v>14</x:v>
      </x:c>
      <x:c r="I99" s="64" t="n">
        <x:v>0</x:v>
      </x:c>
      <x:c r="J99" s="64" t="n">
        <x:f>MAX(0,H99-I99)</x:f>
        <x:v>14</x:v>
      </x:c>
      <x:c r="K99" s="64" t="n">
        <x:f>Assumptions!$C$8</x:f>
        <x:v>10</x:v>
      </x:c>
      <x:c r="L99" s="64" t="str">
        <x:f>IF(J99&gt;=K99,"PASS","FAIL")</x:f>
        <x:v>PASS</x:v>
      </x:c>
      <x:c r="M99" s="80" t="str">
        <x:v>largest mode-equivalent denial</x:v>
      </x:c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</x:row>
    <x:row r="100">
      <x:c r="B100" s="59" t="str">
        <x:v>T6</x:v>
      </x:c>
      <x:c r="C100" s="59" t="str">
        <x:v>W03</x:v>
      </x:c>
      <x:c r="D100" s="59" t="str">
        <x:v>Any two access modes lost</x:v>
      </x:c>
      <x:c r="E100" s="59" t="n">
        <x:v>0</x:v>
      </x:c>
      <x:c r="F100" s="59" t="n">
        <x:v>2</x:v>
      </x:c>
      <x:c r="G100" s="59" t="str">
        <x:v>NONE</x:v>
      </x:c>
      <x:c r="H100" s="64" t="n">
        <x:f>MAX(0,INDEX('Topology Library'!$D$8:$D$14,MATCH(B100,'Topology Library'!$B$8:$B$14,0))-E100)+MAX(0,INDEX('Topology Library'!$F$8:$F$14,MATCH(B100,'Topology Library'!$B$8:$B$14,0))-F100)*INDEX('Topology Library'!$H$8:$H$14,MATCH(B100,'Topology Library'!$B$8:$B$14,0))</x:f>
        <x:v>12</x:v>
      </x:c>
      <x:c r="I100" s="64" t="n">
        <x:v>0</x:v>
      </x:c>
      <x:c r="J100" s="64" t="n">
        <x:f>MAX(0,H100-I100)</x:f>
        <x:v>12</x:v>
      </x:c>
      <x:c r="K100" s="64" t="n">
        <x:f>Assumptions!$C$8</x:f>
        <x:v>10</x:v>
      </x:c>
      <x:c r="L100" s="64" t="str">
        <x:f>IF(J100&gt;=K100,"PASS","FAIL")</x:f>
        <x:v>PASS</x:v>
      </x:c>
      <x:c r="M100" s="80" t="str">
        <x:v>Pass 75 transport guarantee</x:v>
      </x:c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</x:row>
    <x:row r="101">
      <x:c r="B101" s="59" t="str">
        <x:v>T6</x:v>
      </x:c>
      <x:c r="C101" s="59" t="str">
        <x:v>W04</x:v>
      </x:c>
      <x:c r="D101" s="59" t="str">
        <x:v>Three legacy access modes lost</x:v>
      </x:c>
      <x:c r="E101" s="59" t="n">
        <x:v>0</x:v>
      </x:c>
      <x:c r="F101" s="59" t="n">
        <x:v>3</x:v>
      </x:c>
      <x:c r="G101" s="59" t="str">
        <x:v>NONE</x:v>
      </x:c>
      <x:c r="H101" s="64" t="n">
        <x:f>MAX(0,INDEX('Topology Library'!$D$8:$D$14,MATCH(B101,'Topology Library'!$B$8:$B$14,0))-E101)+MAX(0,INDEX('Topology Library'!$F$8:$F$14,MATCH(B101,'Topology Library'!$B$8:$B$14,0))-F101)*INDEX('Topology Library'!$H$8:$H$14,MATCH(B101,'Topology Library'!$B$8:$B$14,0))</x:f>
        <x:v>10</x:v>
      </x:c>
      <x:c r="I101" s="64" t="n">
        <x:v>0</x:v>
      </x:c>
      <x:c r="J101" s="64" t="n">
        <x:f>MAX(0,H101-I101)</x:f>
        <x:v>10</x:v>
      </x:c>
      <x:c r="K101" s="64" t="n">
        <x:f>Assumptions!$C$8</x:f>
        <x:v>10</x:v>
      </x:c>
      <x:c r="L101" s="64" t="str">
        <x:f>IF(J101&gt;=K101,"PASS","FAIL")</x:f>
        <x:v>PASS</x:v>
      </x:c>
      <x:c r="M101" s="80" t="str">
        <x:v>tests value of a fourth independent path</x:v>
      </x:c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</x:row>
    <x:row r="102">
      <x:c r="B102" s="59" t="str">
        <x:v>T6</x:v>
      </x:c>
      <x:c r="C102" s="59" t="str">
        <x:v>W05</x:v>
      </x:c>
      <x:c r="D102" s="59" t="str">
        <x:v>One fixed island lost</x:v>
      </x:c>
      <x:c r="E102" s="59" t="n">
        <x:f>IF(INDEX('Topology Library'!$E$8:$E$14,MATCH(B102,'Topology Library'!$B$8:$B$14,0))=0,0,INDEX('Topology Library'!$K$8:$K$14,MATCH(B102,'Topology Library'!$B$8:$B$14,0)))</x:f>
        <x:v>2</x:v>
      </x:c>
      <x:c r="F102" s="59" t="n">
        <x:v>0</x:v>
      </x:c>
      <x:c r="G102" s="59" t="str">
        <x:v>NONE</x:v>
      </x:c>
      <x:c r="H102" s="64" t="n">
        <x:f>MAX(0,INDEX('Topology Library'!$D$8:$D$14,MATCH(B102,'Topology Library'!$B$8:$B$14,0))-E102)+MAX(0,INDEX('Topology Library'!$F$8:$F$14,MATCH(B102,'Topology Library'!$B$8:$B$14,0))-F102)*INDEX('Topology Library'!$H$8:$H$14,MATCH(B102,'Topology Library'!$B$8:$B$14,0))</x:f>
        <x:v>14</x:v>
      </x:c>
      <x:c r="I102" s="64" t="n">
        <x:v>0</x:v>
      </x:c>
      <x:c r="J102" s="64" t="n">
        <x:f>MAX(0,H102-I102)</x:f>
        <x:v>14</x:v>
      </x:c>
      <x:c r="K102" s="64" t="n">
        <x:f>Assumptions!$C$8</x:f>
        <x:v>10</x:v>
      </x:c>
      <x:c r="L102" s="64" t="str">
        <x:f>IF(J102&gt;=K102,"PASS","FAIL")</x:f>
        <x:v>PASS</x:v>
      </x:c>
      <x:c r="M102" s="80" t="str">
        <x:v>largest fixed-island share removed</x:v>
      </x:c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</x:row>
    <x:row r="103">
      <x:c r="B103" s="59" t="str">
        <x:v>T6</x:v>
      </x:c>
      <x:c r="C103" s="59" t="str">
        <x:v>W06</x:v>
      </x:c>
      <x:c r="D103" s="59" t="str">
        <x:v>Fixed island plus one access mode</x:v>
      </x:c>
      <x:c r="E103" s="59" t="n">
        <x:f>IF(INDEX('Topology Library'!$E$8:$E$14,MATCH(B103,'Topology Library'!$B$8:$B$14,0))=0,0,INDEX('Topology Library'!$K$8:$K$14,MATCH(B103,'Topology Library'!$B$8:$B$14,0)))</x:f>
        <x:v>2</x:v>
      </x:c>
      <x:c r="F103" s="59" t="n">
        <x:v>1</x:v>
      </x:c>
      <x:c r="G103" s="59" t="str">
        <x:v>NONE</x:v>
      </x:c>
      <x:c r="H103" s="64" t="n">
        <x:f>MAX(0,INDEX('Topology Library'!$D$8:$D$14,MATCH(B103,'Topology Library'!$B$8:$B$14,0))-E103)+MAX(0,INDEX('Topology Library'!$F$8:$F$14,MATCH(B103,'Topology Library'!$B$8:$B$14,0))-F103)*INDEX('Topology Library'!$H$8:$H$14,MATCH(B103,'Topology Library'!$B$8:$B$14,0))</x:f>
        <x:v>12</x:v>
      </x:c>
      <x:c r="I103" s="64" t="n">
        <x:v>0</x:v>
      </x:c>
      <x:c r="J103" s="64" t="n">
        <x:f>MAX(0,H103-I103)</x:f>
        <x:v>12</x:v>
      </x:c>
      <x:c r="K103" s="64" t="n">
        <x:f>Assumptions!$C$8</x:f>
        <x:v>10</x:v>
      </x:c>
      <x:c r="L103" s="64" t="str">
        <x:f>IF(J103&gt;=K103,"PASS","FAIL")</x:f>
        <x:v>PASS</x:v>
      </x:c>
      <x:c r="M103" s="80" t="str">
        <x:v>mixed geography and route denial</x:v>
      </x:c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</x:row>
    <x:row r="104">
      <x:c r="B104" s="59" t="str">
        <x:v>T6</x:v>
      </x:c>
      <x:c r="C104" s="59" t="str">
        <x:v>W07</x:v>
      </x:c>
      <x:c r="D104" s="59" t="str">
        <x:v>Fixed island plus two access modes</x:v>
      </x:c>
      <x:c r="E104" s="59" t="n">
        <x:f>IF(INDEX('Topology Library'!$E$8:$E$14,MATCH(B104,'Topology Library'!$B$8:$B$14,0))=0,0,INDEX('Topology Library'!$K$8:$K$14,MATCH(B104,'Topology Library'!$B$8:$B$14,0)))</x:f>
        <x:v>2</x:v>
      </x:c>
      <x:c r="F104" s="59" t="n">
        <x:v>2</x:v>
      </x:c>
      <x:c r="G104" s="59" t="str">
        <x:v>NONE</x:v>
      </x:c>
      <x:c r="H104" s="64" t="n">
        <x:f>MAX(0,INDEX('Topology Library'!$D$8:$D$14,MATCH(B104,'Topology Library'!$B$8:$B$14,0))-E104)+MAX(0,INDEX('Topology Library'!$F$8:$F$14,MATCH(B104,'Topology Library'!$B$8:$B$14,0))-F104)*INDEX('Topology Library'!$H$8:$H$14,MATCH(B104,'Topology Library'!$B$8:$B$14,0))</x:f>
        <x:v>10</x:v>
      </x:c>
      <x:c r="I104" s="64" t="n">
        <x:v>0</x:v>
      </x:c>
      <x:c r="J104" s="64" t="n">
        <x:f>MAX(0,H104-I104)</x:f>
        <x:v>10</x:v>
      </x:c>
      <x:c r="K104" s="64" t="n">
        <x:f>Assumptions!$C$8</x:f>
        <x:v>10</x:v>
      </x:c>
      <x:c r="L104" s="64" t="str">
        <x:f>IF(J104&gt;=K104,"PASS","FAIL")</x:f>
        <x:v>PASS</x:v>
      </x:c>
      <x:c r="M104" s="80" t="str">
        <x:v>strong layered guarantee</x:v>
      </x:c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</x:row>
    <x:row r="105">
      <x:c r="B105" s="59" t="str">
        <x:v>T6</x:v>
      </x:c>
      <x:c r="C105" s="59" t="str">
        <x:v>W08</x:v>
      </x:c>
      <x:c r="D105" s="59" t="str">
        <x:v>Entire fixed lattice plus one access mode</x:v>
      </x:c>
      <x:c r="E105" s="59" t="n">
        <x:f>INDEX('Topology Library'!$D$8:$D$14,MATCH(B105,'Topology Library'!$B$8:$B$14,0))</x:f>
        <x:v>8</x:v>
      </x:c>
      <x:c r="F105" s="59" t="n">
        <x:v>1</x:v>
      </x:c>
      <x:c r="G105" s="59" t="str">
        <x:v>NONE</x:v>
      </x:c>
      <x:c r="H105" s="64" t="n">
        <x:f>MAX(0,INDEX('Topology Library'!$D$8:$D$14,MATCH(B105,'Topology Library'!$B$8:$B$14,0))-E105)+MAX(0,INDEX('Topology Library'!$F$8:$F$14,MATCH(B105,'Topology Library'!$B$8:$B$14,0))-F105)*INDEX('Topology Library'!$H$8:$H$14,MATCH(B105,'Topology Library'!$B$8:$B$14,0))</x:f>
        <x:v>6</x:v>
      </x:c>
      <x:c r="I105" s="64" t="n">
        <x:v>0</x:v>
      </x:c>
      <x:c r="J105" s="64" t="n">
        <x:f>MAX(0,H105-I105)</x:f>
        <x:v>6</x:v>
      </x:c>
      <x:c r="K105" s="64" t="n">
        <x:f>Assumptions!$C$8</x:f>
        <x:v>10</x:v>
      </x:c>
      <x:c r="L105" s="64" t="str">
        <x:f>IF(J105&gt;=K105,"PASS","FAIL")</x:f>
        <x:v>FAIL</x:v>
      </x:c>
      <x:c r="M105" s="80" t="str">
        <x:v>loss of all forward readiness</x:v>
      </x:c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</x:row>
    <x:row r="106">
      <x:c r="B106" s="59" t="str">
        <x:v>T6</x:v>
      </x:c>
      <x:c r="C106" s="59" t="str">
        <x:v>W09</x:v>
      </x:c>
      <x:c r="D106" s="59" t="str">
        <x:v>Largest source lineage lost</x:v>
      </x:c>
      <x:c r="E106" s="59" t="n">
        <x:v>0</x:v>
      </x:c>
      <x:c r="F106" s="59" t="n">
        <x:v>0</x:v>
      </x:c>
      <x:c r="G106" s="59" t="str">
        <x:v>SOURCE</x:v>
      </x:c>
      <x:c r="H106" s="64" t="n">
        <x:f>MAX(0,INDEX('Topology Library'!$D$8:$D$14,MATCH(B106,'Topology Library'!$B$8:$B$14,0))-E106)+MAX(0,INDEX('Topology Library'!$F$8:$F$14,MATCH(B106,'Topology Library'!$B$8:$B$14,0))-F106)*INDEX('Topology Library'!$H$8:$H$14,MATCH(B106,'Topology Library'!$B$8:$B$14,0))</x:f>
        <x:v>16</x:v>
      </x:c>
      <x:c r="I106" s="64" t="n">
        <x:f>ROUNDUP(H106/INDEX('Topology Library'!$Q$8:$Q$14,MATCH(B106,'Topology Library'!$B$8:$B$14,0)),0)</x:f>
        <x:v>4</x:v>
      </x:c>
      <x:c r="J106" s="64" t="n">
        <x:f>MAX(0,H106-I106)</x:f>
        <x:v>12</x:v>
      </x:c>
      <x:c r="K106" s="64" t="n">
        <x:f>Assumptions!$C$8</x:f>
        <x:v>10</x:v>
      </x:c>
      <x:c r="L106" s="64" t="str">
        <x:f>IF(J106&gt;=K106,"PASS","FAIL")</x:f>
        <x:v>PASS</x:v>
      </x:c>
      <x:c r="M106" s="80" t="str">
        <x:v>serialized source ancestry</x:v>
      </x:c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</x:row>
    <x:row r="107">
      <x:c r="B107" s="59" t="str">
        <x:v>T6</x:v>
      </x:c>
      <x:c r="C107" s="59" t="str">
        <x:v>W10</x:v>
      </x:c>
      <x:c r="D107" s="59" t="str">
        <x:v>Largest launch-base domain lost</x:v>
      </x:c>
      <x:c r="E107" s="59" t="n">
        <x:v>0</x:v>
      </x:c>
      <x:c r="F107" s="59" t="n">
        <x:v>0</x:v>
      </x:c>
      <x:c r="G107" s="59" t="str">
        <x:v>BASE</x:v>
      </x:c>
      <x:c r="H107" s="64" t="n">
        <x:f>MAX(0,INDEX('Topology Library'!$D$8:$D$14,MATCH(B107,'Topology Library'!$B$8:$B$14,0))-E107)+MAX(0,INDEX('Topology Library'!$F$8:$F$14,MATCH(B107,'Topology Library'!$B$8:$B$14,0))-F107)*INDEX('Topology Library'!$H$8:$H$14,MATCH(B107,'Topology Library'!$B$8:$B$14,0))</x:f>
        <x:v>16</x:v>
      </x:c>
      <x:c r="I107" s="64" t="n">
        <x:f>MIN(H107,ROUNDUP(INDEX('Topology Library'!$F$8:$F$14,MATCH(B107,'Topology Library'!$B$8:$B$14,0))/INDEX('Topology Library'!$R$8:$R$14,MATCH(B107,'Topology Library'!$B$8:$B$14,0)),0)*INDEX('Topology Library'!$H$8:$H$14,MATCH(B107,'Topology Library'!$B$8:$B$14,0)))</x:f>
        <x:v>2</x:v>
      </x:c>
      <x:c r="J107" s="64" t="n">
        <x:f>MAX(0,H107-I107)</x:f>
        <x:v>14</x:v>
      </x:c>
      <x:c r="K107" s="64" t="n">
        <x:f>Assumptions!$C$8</x:f>
        <x:v>10</x:v>
      </x:c>
      <x:c r="L107" s="64" t="str">
        <x:f>IF(J107&gt;=K107,"PASS","FAIL")</x:f>
        <x:v>PASS</x:v>
      </x:c>
      <x:c r="M107" s="80" t="str">
        <x:v>base and depot independence</x:v>
      </x:c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</x:row>
    <x:row r="108">
      <x:c r="B108" s="59" t="str">
        <x:v>T6</x:v>
      </x:c>
      <x:c r="C108" s="59" t="str">
        <x:v>W11</x:v>
      </x:c>
      <x:c r="D108" s="59" t="str">
        <x:v>Largest crew-school domain lost</x:v>
      </x:c>
      <x:c r="E108" s="59" t="n">
        <x:v>0</x:v>
      </x:c>
      <x:c r="F108" s="59" t="n">
        <x:v>0</x:v>
      </x:c>
      <x:c r="G108" s="59" t="str">
        <x:v>CREW</x:v>
      </x:c>
      <x:c r="H108" s="64" t="n">
        <x:f>MAX(0,INDEX('Topology Library'!$D$8:$D$14,MATCH(B108,'Topology Library'!$B$8:$B$14,0))-E108)+MAX(0,INDEX('Topology Library'!$F$8:$F$14,MATCH(B108,'Topology Library'!$B$8:$B$14,0))-F108)*INDEX('Topology Library'!$H$8:$H$14,MATCH(B108,'Topology Library'!$B$8:$B$14,0))</x:f>
        <x:v>16</x:v>
      </x:c>
      <x:c r="I108" s="64" t="n">
        <x:f>ROUNDUP(H108/INDEX('Topology Library'!$S$8:$S$14,MATCH(B108,'Topology Library'!$B$8:$B$14,0)),0)</x:f>
        <x:v>4</x:v>
      </x:c>
      <x:c r="J108" s="64" t="n">
        <x:f>MAX(0,H108-I108)</x:f>
        <x:v>12</x:v>
      </x:c>
      <x:c r="K108" s="64" t="n">
        <x:f>Assumptions!$C$8</x:f>
        <x:v>10</x:v>
      </x:c>
      <x:c r="L108" s="64" t="str">
        <x:f>IF(J108&gt;=K108,"PASS","FAIL")</x:f>
        <x:v>PASS</x:v>
      </x:c>
      <x:c r="M108" s="80" t="str">
        <x:v>operator qualification independence</x:v>
      </x:c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</x:row>
    <x:row r="109">
      <x:c r="B109" s="59" t="str">
        <x:v>T6</x:v>
      </x:c>
      <x:c r="C109" s="59" t="str">
        <x:v>W12</x:v>
      </x:c>
      <x:c r="D109" s="59" t="str">
        <x:v>Largest control domain lost</x:v>
      </x:c>
      <x:c r="E109" s="59" t="n">
        <x:v>0</x:v>
      </x:c>
      <x:c r="F109" s="59" t="n">
        <x:v>0</x:v>
      </x:c>
      <x:c r="G109" s="59" t="str">
        <x:v>CONTROL</x:v>
      </x:c>
      <x:c r="H109" s="64" t="n">
        <x:f>MAX(0,INDEX('Topology Library'!$D$8:$D$14,MATCH(B109,'Topology Library'!$B$8:$B$14,0))-E109)+MAX(0,INDEX('Topology Library'!$F$8:$F$14,MATCH(B109,'Topology Library'!$B$8:$B$14,0))-F109)*INDEX('Topology Library'!$H$8:$H$14,MATCH(B109,'Topology Library'!$B$8:$B$14,0))</x:f>
        <x:v>16</x:v>
      </x:c>
      <x:c r="I109" s="64" t="n">
        <x:f>ROUNDUP(H109/INDEX('Topology Library'!$T$8:$T$14,MATCH(B109,'Topology Library'!$B$8:$B$14,0)),0)</x:f>
        <x:v>4</x:v>
      </x:c>
      <x:c r="J109" s="64" t="n">
        <x:f>MAX(0,H109-I109)</x:f>
        <x:v>12</x:v>
      </x:c>
      <x:c r="K109" s="64" t="n">
        <x:f>Assumptions!$C$8</x:f>
        <x:v>10</x:v>
      </x:c>
      <x:c r="L109" s="64" t="str">
        <x:f>IF(J109&gt;=K109,"PASS","FAIL")</x:f>
        <x:v>PASS</x:v>
      </x:c>
      <x:c r="M109" s="80" t="str">
        <x:v>offline command and protection partitions</x:v>
      </x:c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</x:row>
    <x:row r="110">
      <x:c r="B110" s="59" t="str">
        <x:v>T6</x:v>
      </x:c>
      <x:c r="C110" s="59" t="str">
        <x:v>W13</x:v>
      </x:c>
      <x:c r="D110" s="59" t="str">
        <x:v>Largest heat-sink lineage lost</x:v>
      </x:c>
      <x:c r="E110" s="59" t="n">
        <x:v>0</x:v>
      </x:c>
      <x:c r="F110" s="59" t="n">
        <x:v>0</x:v>
      </x:c>
      <x:c r="G110" s="59" t="str">
        <x:v>HEAT</x:v>
      </x:c>
      <x:c r="H110" s="64" t="n">
        <x:f>MAX(0,INDEX('Topology Library'!$D$8:$D$14,MATCH(B110,'Topology Library'!$B$8:$B$14,0))-E110)+MAX(0,INDEX('Topology Library'!$F$8:$F$14,MATCH(B110,'Topology Library'!$B$8:$B$14,0))-F110)*INDEX('Topology Library'!$H$8:$H$14,MATCH(B110,'Topology Library'!$B$8:$B$14,0))</x:f>
        <x:v>16</x:v>
      </x:c>
      <x:c r="I110" s="64" t="n">
        <x:f>ROUNDUP(H110/INDEX('Topology Library'!$U$8:$U$14,MATCH(B110,'Topology Library'!$B$8:$B$14,0)),0)</x:f>
        <x:v>4</x:v>
      </x:c>
      <x:c r="J110" s="64" t="n">
        <x:f>MAX(0,H110-I110)</x:f>
        <x:v>12</x:v>
      </x:c>
      <x:c r="K110" s="64" t="n">
        <x:f>Assumptions!$C$8</x:f>
        <x:v>10</x:v>
      </x:c>
      <x:c r="L110" s="64" t="str">
        <x:f>IF(J110&gt;=K110,"PASS","FAIL")</x:f>
        <x:v>PASS</x:v>
      </x:c>
      <x:c r="M110" s="80" t="str">
        <x:v>final heat destination independence</x:v>
      </x:c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</x:row>
    <x:row r="111">
      <x:c r="B111" s="59" t="str">
        <x:v>T6</x:v>
      </x:c>
      <x:c r="C111" s="59" t="str">
        <x:v>W14</x:v>
      </x:c>
      <x:c r="D111" s="59" t="str">
        <x:v>Largest receiver-interface domain lost</x:v>
      </x:c>
      <x:c r="E111" s="59" t="n">
        <x:v>0</x:v>
      </x:c>
      <x:c r="F111" s="59" t="n">
        <x:v>0</x:v>
      </x:c>
      <x:c r="G111" s="59" t="str">
        <x:v>RECEIVER</x:v>
      </x:c>
      <x:c r="H111" s="64" t="n">
        <x:f>MAX(0,INDEX('Topology Library'!$D$8:$D$14,MATCH(B111,'Topology Library'!$B$8:$B$14,0))-E111)+MAX(0,INDEX('Topology Library'!$F$8:$F$14,MATCH(B111,'Topology Library'!$B$8:$B$14,0))-F111)*INDEX('Topology Library'!$H$8:$H$14,MATCH(B111,'Topology Library'!$B$8:$B$14,0))</x:f>
        <x:v>16</x:v>
      </x:c>
      <x:c r="I111" s="64" t="n">
        <x:f>ROUNDUP(H111/INDEX('Topology Library'!$V$8:$V$14,MATCH(B111,'Topology Library'!$B$8:$B$14,0)),0)</x:f>
        <x:v>4</x:v>
      </x:c>
      <x:c r="J111" s="64" t="n">
        <x:f>MAX(0,H111-I111)</x:f>
        <x:v>12</x:v>
      </x:c>
      <x:c r="K111" s="64" t="n">
        <x:f>Assumptions!$C$8</x:f>
        <x:v>10</x:v>
      </x:c>
      <x:c r="L111" s="64" t="str">
        <x:f>IF(J111&gt;=K111,"PASS","FAIL")</x:f>
        <x:v>PASS</x:v>
      </x:c>
      <x:c r="M111" s="80" t="str">
        <x:v>site release and utility boundary</x:v>
      </x:c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</x:row>
    <x:row r="112">
      <x:c r="B112" s="59" t="str">
        <x:v>T6</x:v>
      </x:c>
      <x:c r="C112" s="59" t="str">
        <x:v>W15</x:v>
      </x:c>
      <x:c r="D112" s="59" t="str">
        <x:v>Second mission before full reset</x:v>
      </x:c>
      <x:c r="E112" s="59" t="n">
        <x:v>0</x:v>
      </x:c>
      <x:c r="F112" s="59" t="n">
        <x:v>0</x:v>
      </x:c>
      <x:c r="G112" s="59" t="str">
        <x:v>RESET</x:v>
      </x:c>
      <x:c r="H112" s="64" t="n">
        <x:f>MAX(0,INDEX('Topology Library'!$D$8:$D$14,MATCH(B112,'Topology Library'!$B$8:$B$14,0))-E112)+MAX(0,INDEX('Topology Library'!$F$8:$F$14,MATCH(B112,'Topology Library'!$B$8:$B$14,0))-F112)*INDEX('Topology Library'!$H$8:$H$14,MATCH(B112,'Topology Library'!$B$8:$B$14,0))</x:f>
        <x:v>16</x:v>
      </x:c>
      <x:c r="I112" s="64" t="n">
        <x:f>H112-ROUNDDOWN(H112*INDEX('Topology Library'!$W$8:$W$14,MATCH(B112,'Topology Library'!$B$8:$B$14,0)),0)</x:f>
        <x:v>2</x:v>
      </x:c>
      <x:c r="J112" s="64" t="n">
        <x:f>MAX(0,H112-I112)</x:f>
        <x:v>14</x:v>
      </x:c>
      <x:c r="K112" s="64" t="n">
        <x:f>Assumptions!$C$8</x:f>
        <x:v>10</x:v>
      </x:c>
      <x:c r="L112" s="64" t="str">
        <x:f>IF(J112&gt;=K112,"PASS","FAIL")</x:f>
        <x:v>PASS</x:v>
      </x:c>
      <x:c r="M112" s="80" t="str">
        <x:v>reconstitution capacity</x:v>
      </x:c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</x:row>
    <x:row r="113">
      <x:c r="B113" s="59" t="str">
        <x:v>T6</x:v>
      </x:c>
      <x:c r="C113" s="59" t="str">
        <x:v>W16</x:v>
      </x:c>
      <x:c r="D113" s="59" t="str">
        <x:v>Source lineage plus one access mode</x:v>
      </x:c>
      <x:c r="E113" s="59" t="n">
        <x:v>0</x:v>
      </x:c>
      <x:c r="F113" s="59" t="n">
        <x:v>1</x:v>
      </x:c>
      <x:c r="G113" s="59" t="str">
        <x:v>SOURCE</x:v>
      </x:c>
      <x:c r="H113" s="64" t="n">
        <x:f>MAX(0,INDEX('Topology Library'!$D$8:$D$14,MATCH(B113,'Topology Library'!$B$8:$B$14,0))-E113)+MAX(0,INDEX('Topology Library'!$F$8:$F$14,MATCH(B113,'Topology Library'!$B$8:$B$14,0))-F113)*INDEX('Topology Library'!$H$8:$H$14,MATCH(B113,'Topology Library'!$B$8:$B$14,0))</x:f>
        <x:v>14</x:v>
      </x:c>
      <x:c r="I113" s="64" t="n">
        <x:f>ROUNDUP(H113/INDEX('Topology Library'!$Q$8:$Q$14,MATCH(B113,'Topology Library'!$B$8:$B$14,0)),0)</x:f>
        <x:v>4</x:v>
      </x:c>
      <x:c r="J113" s="64" t="n">
        <x:f>MAX(0,H113-I113)</x:f>
        <x:v>10</x:v>
      </x:c>
      <x:c r="K113" s="64" t="n">
        <x:f>Assumptions!$C$8</x:f>
        <x:v>10</x:v>
      </x:c>
      <x:c r="L113" s="64" t="str">
        <x:f>IF(J113&gt;=K113,"PASS","FAIL")</x:f>
        <x:v>PASS</x:v>
      </x:c>
      <x:c r="M113" s="80" t="str">
        <x:v>supplier and route compound</x:v>
      </x:c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</x:row>
    <x:row r="114">
      <x:c r="B114" s="59" t="str">
        <x:v>T6</x:v>
      </x:c>
      <x:c r="C114" s="59" t="str">
        <x:v>W17</x:v>
      </x:c>
      <x:c r="D114" s="59" t="str">
        <x:v>Launch base plus one access mode</x:v>
      </x:c>
      <x:c r="E114" s="59" t="n">
        <x:v>0</x:v>
      </x:c>
      <x:c r="F114" s="59" t="n">
        <x:v>1</x:v>
      </x:c>
      <x:c r="G114" s="59" t="str">
        <x:v>BASE</x:v>
      </x:c>
      <x:c r="H114" s="64" t="n">
        <x:f>MAX(0,INDEX('Topology Library'!$D$8:$D$14,MATCH(B114,'Topology Library'!$B$8:$B$14,0))-E114)+MAX(0,INDEX('Topology Library'!$F$8:$F$14,MATCH(B114,'Topology Library'!$B$8:$B$14,0))-F114)*INDEX('Topology Library'!$H$8:$H$14,MATCH(B114,'Topology Library'!$B$8:$B$14,0))</x:f>
        <x:v>14</x:v>
      </x:c>
      <x:c r="I114" s="64" t="n">
        <x:f>MIN(H114,ROUNDUP(INDEX('Topology Library'!$F$8:$F$14,MATCH(B114,'Topology Library'!$B$8:$B$14,0))/INDEX('Topology Library'!$R$8:$R$14,MATCH(B114,'Topology Library'!$B$8:$B$14,0)),0)*INDEX('Topology Library'!$H$8:$H$14,MATCH(B114,'Topology Library'!$B$8:$B$14,0)))</x:f>
        <x:v>2</x:v>
      </x:c>
      <x:c r="J114" s="64" t="n">
        <x:f>MAX(0,H114-I114)</x:f>
        <x:v>12</x:v>
      </x:c>
      <x:c r="K114" s="64" t="n">
        <x:f>Assumptions!$C$8</x:f>
        <x:v>10</x:v>
      </x:c>
      <x:c r="L114" s="64" t="str">
        <x:f>IF(J114&gt;=K114,"PASS","FAIL")</x:f>
        <x:v>PASS</x:v>
      </x:c>
      <x:c r="M114" s="80" t="str">
        <x:v>base and route compound</x:v>
      </x:c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</x:row>
    <x:row r="115">
      <x:c r="B115" s="59" t="str">
        <x:v>T6</x:v>
      </x:c>
      <x:c r="C115" s="59" t="str">
        <x:v>W18</x:v>
      </x:c>
      <x:c r="D115" s="59" t="str">
        <x:v>Concurrent national allocation</x:v>
      </x:c>
      <x:c r="E115" s="59" t="n">
        <x:v>0</x:v>
      </x:c>
      <x:c r="F115" s="59" t="n">
        <x:v>0</x:v>
      </x:c>
      <x:c r="G115" s="59" t="str">
        <x:v>POOL</x:v>
      </x:c>
      <x:c r="H115" s="64" t="n">
        <x:f>MAX(0,INDEX('Topology Library'!$D$8:$D$14,MATCH(B115,'Topology Library'!$B$8:$B$14,0))-E115)+MAX(0,INDEX('Topology Library'!$F$8:$F$14,MATCH(B115,'Topology Library'!$B$8:$B$14,0))-F115)*INDEX('Topology Library'!$H$8:$H$14,MATCH(B115,'Topology Library'!$B$8:$B$14,0))</x:f>
        <x:v>16</x:v>
      </x:c>
      <x:c r="I115" s="64" t="n">
        <x:f>H115-ROUNDDOWN(H115*INDEX('Topology Library'!$X$8:$X$14,MATCH(B115,'Topology Library'!$B$8:$B$14,0)),0)</x:f>
        <x:v>2</x:v>
      </x:c>
      <x:c r="J115" s="64" t="n">
        <x:f>MAX(0,H115-I115)</x:f>
        <x:v>14</x:v>
      </x:c>
      <x:c r="K115" s="64" t="n">
        <x:f>Assumptions!$C$8</x:f>
        <x:v>10</x:v>
      </x:c>
      <x:c r="L115" s="64" t="str">
        <x:f>IF(J115&gt;=K115,"PASS","FAIL")</x:f>
        <x:v>PASS</x:v>
      </x:c>
      <x:c r="M115" s="80" t="str">
        <x:v>group availability after national pooling</x:v>
      </x:c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</x:row>
    <x:row r="116">
      <x:c r="B116" s="59" t="str">
        <x:v>T7</x:v>
      </x:c>
      <x:c r="C116" s="59" t="str">
        <x:v>W01</x:v>
      </x:c>
      <x:c r="D116" s="59" t="str">
        <x:v>Baseline release</x:v>
      </x:c>
      <x:c r="E116" s="59" t="n">
        <x:v>0</x:v>
      </x:c>
      <x:c r="F116" s="59" t="n">
        <x:v>0</x:v>
      </x:c>
      <x:c r="G116" s="59" t="str">
        <x:v>NONE</x:v>
      </x:c>
      <x:c r="H116" s="64" t="n">
        <x:f>MAX(0,INDEX('Topology Library'!$D$8:$D$14,MATCH(B116,'Topology Library'!$B$8:$B$14,0))-E116)+MAX(0,INDEX('Topology Library'!$F$8:$F$14,MATCH(B116,'Topology Library'!$B$8:$B$14,0))-F116)*INDEX('Topology Library'!$H$8:$H$14,MATCH(B116,'Topology Library'!$B$8:$B$14,0))</x:f>
        <x:v>13</x:v>
      </x:c>
      <x:c r="I116" s="64" t="n">
        <x:v>0</x:v>
      </x:c>
      <x:c r="J116" s="64" t="n">
        <x:f>MAX(0,H116-I116)</x:f>
        <x:v>13</x:v>
      </x:c>
      <x:c r="K116" s="64" t="n">
        <x:f>Assumptions!$C$8</x:f>
        <x:v>10</x:v>
      </x:c>
      <x:c r="L116" s="64" t="str">
        <x:f>IF(J116&gt;=K116,"PASS","FAIL")</x:f>
        <x:v>PASS</x:v>
      </x:c>
      <x:c r="M116" s="80" t="str">
        <x:v>all declared positions available</x:v>
      </x:c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</x:row>
    <x:row r="117">
      <x:c r="B117" s="59" t="str">
        <x:v>T7</x:v>
      </x:c>
      <x:c r="C117" s="59" t="str">
        <x:v>W02</x:v>
      </x:c>
      <x:c r="D117" s="59" t="str">
        <x:v>Any one access mode lost</x:v>
      </x:c>
      <x:c r="E117" s="59" t="n">
        <x:v>0</x:v>
      </x:c>
      <x:c r="F117" s="59" t="n">
        <x:v>1</x:v>
      </x:c>
      <x:c r="G117" s="59" t="str">
        <x:v>NONE</x:v>
      </x:c>
      <x:c r="H117" s="64" t="n">
        <x:f>MAX(0,INDEX('Topology Library'!$D$8:$D$14,MATCH(B117,'Topology Library'!$B$8:$B$14,0))-E117)+MAX(0,INDEX('Topology Library'!$F$8:$F$14,MATCH(B117,'Topology Library'!$B$8:$B$14,0))-F117)*INDEX('Topology Library'!$H$8:$H$14,MATCH(B117,'Topology Library'!$B$8:$B$14,0))</x:f>
        <x:v>12</x:v>
      </x:c>
      <x:c r="I117" s="64" t="n">
        <x:v>0</x:v>
      </x:c>
      <x:c r="J117" s="64" t="n">
        <x:f>MAX(0,H117-I117)</x:f>
        <x:v>12</x:v>
      </x:c>
      <x:c r="K117" s="64" t="n">
        <x:f>Assumptions!$C$8</x:f>
        <x:v>10</x:v>
      </x:c>
      <x:c r="L117" s="64" t="str">
        <x:f>IF(J117&gt;=K117,"PASS","FAIL")</x:f>
        <x:v>PASS</x:v>
      </x:c>
      <x:c r="M117" s="80" t="str">
        <x:v>largest mode-equivalent denial</x:v>
      </x:c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</x:row>
    <x:row r="118">
      <x:c r="B118" s="59" t="str">
        <x:v>T7</x:v>
      </x:c>
      <x:c r="C118" s="59" t="str">
        <x:v>W03</x:v>
      </x:c>
      <x:c r="D118" s="59" t="str">
        <x:v>Any two access modes lost</x:v>
      </x:c>
      <x:c r="E118" s="59" t="n">
        <x:v>0</x:v>
      </x:c>
      <x:c r="F118" s="59" t="n">
        <x:v>2</x:v>
      </x:c>
      <x:c r="G118" s="59" t="str">
        <x:v>NONE</x:v>
      </x:c>
      <x:c r="H118" s="64" t="n">
        <x:f>MAX(0,INDEX('Topology Library'!$D$8:$D$14,MATCH(B118,'Topology Library'!$B$8:$B$14,0))-E118)+MAX(0,INDEX('Topology Library'!$F$8:$F$14,MATCH(B118,'Topology Library'!$B$8:$B$14,0))-F118)*INDEX('Topology Library'!$H$8:$H$14,MATCH(B118,'Topology Library'!$B$8:$B$14,0))</x:f>
        <x:v>11</x:v>
      </x:c>
      <x:c r="I118" s="64" t="n">
        <x:v>0</x:v>
      </x:c>
      <x:c r="J118" s="64" t="n">
        <x:f>MAX(0,H118-I118)</x:f>
        <x:v>11</x:v>
      </x:c>
      <x:c r="K118" s="64" t="n">
        <x:f>Assumptions!$C$8</x:f>
        <x:v>10</x:v>
      </x:c>
      <x:c r="L118" s="64" t="str">
        <x:f>IF(J118&gt;=K118,"PASS","FAIL")</x:f>
        <x:v>PASS</x:v>
      </x:c>
      <x:c r="M118" s="80" t="str">
        <x:v>Pass 75 transport guarantee</x:v>
      </x:c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</x:row>
    <x:row r="119">
      <x:c r="B119" s="59" t="str">
        <x:v>T7</x:v>
      </x:c>
      <x:c r="C119" s="59" t="str">
        <x:v>W04</x:v>
      </x:c>
      <x:c r="D119" s="59" t="str">
        <x:v>Three legacy access modes lost</x:v>
      </x:c>
      <x:c r="E119" s="59" t="n">
        <x:v>0</x:v>
      </x:c>
      <x:c r="F119" s="59" t="n">
        <x:v>3</x:v>
      </x:c>
      <x:c r="G119" s="59" t="str">
        <x:v>NONE</x:v>
      </x:c>
      <x:c r="H119" s="64" t="n">
        <x:f>MAX(0,INDEX('Topology Library'!$D$8:$D$14,MATCH(B119,'Topology Library'!$B$8:$B$14,0))-E119)+MAX(0,INDEX('Topology Library'!$F$8:$F$14,MATCH(B119,'Topology Library'!$B$8:$B$14,0))-F119)*INDEX('Topology Library'!$H$8:$H$14,MATCH(B119,'Topology Library'!$B$8:$B$14,0))</x:f>
        <x:v>10</x:v>
      </x:c>
      <x:c r="I119" s="64" t="n">
        <x:v>0</x:v>
      </x:c>
      <x:c r="J119" s="64" t="n">
        <x:f>MAX(0,H119-I119)</x:f>
        <x:v>10</x:v>
      </x:c>
      <x:c r="K119" s="64" t="n">
        <x:f>Assumptions!$C$8</x:f>
        <x:v>10</x:v>
      </x:c>
      <x:c r="L119" s="64" t="str">
        <x:f>IF(J119&gt;=K119,"PASS","FAIL")</x:f>
        <x:v>PASS</x:v>
      </x:c>
      <x:c r="M119" s="80" t="str">
        <x:v>tests value of a fourth independent path</x:v>
      </x:c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</x:row>
    <x:row r="120">
      <x:c r="B120" s="59" t="str">
        <x:v>T7</x:v>
      </x:c>
      <x:c r="C120" s="59" t="str">
        <x:v>W05</x:v>
      </x:c>
      <x:c r="D120" s="59" t="str">
        <x:v>One fixed island lost</x:v>
      </x:c>
      <x:c r="E120" s="59" t="n">
        <x:f>IF(INDEX('Topology Library'!$E$8:$E$14,MATCH(B120,'Topology Library'!$B$8:$B$14,0))=0,0,INDEX('Topology Library'!$K$8:$K$14,MATCH(B120,'Topology Library'!$B$8:$B$14,0)))</x:f>
        <x:v>1</x:v>
      </x:c>
      <x:c r="F120" s="59" t="n">
        <x:v>0</x:v>
      </x:c>
      <x:c r="G120" s="59" t="str">
        <x:v>NONE</x:v>
      </x:c>
      <x:c r="H120" s="64" t="n">
        <x:f>MAX(0,INDEX('Topology Library'!$D$8:$D$14,MATCH(B120,'Topology Library'!$B$8:$B$14,0))-E120)+MAX(0,INDEX('Topology Library'!$F$8:$F$14,MATCH(B120,'Topology Library'!$B$8:$B$14,0))-F120)*INDEX('Topology Library'!$H$8:$H$14,MATCH(B120,'Topology Library'!$B$8:$B$14,0))</x:f>
        <x:v>12</x:v>
      </x:c>
      <x:c r="I120" s="64" t="n">
        <x:v>0</x:v>
      </x:c>
      <x:c r="J120" s="64" t="n">
        <x:f>MAX(0,H120-I120)</x:f>
        <x:v>12</x:v>
      </x:c>
      <x:c r="K120" s="64" t="n">
        <x:f>Assumptions!$C$8</x:f>
        <x:v>10</x:v>
      </x:c>
      <x:c r="L120" s="64" t="str">
        <x:f>IF(J120&gt;=K120,"PASS","FAIL")</x:f>
        <x:v>PASS</x:v>
      </x:c>
      <x:c r="M120" s="80" t="str">
        <x:v>largest fixed-island share removed</x:v>
      </x:c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</x:row>
    <x:row r="121">
      <x:c r="B121" s="59" t="str">
        <x:v>T7</x:v>
      </x:c>
      <x:c r="C121" s="59" t="str">
        <x:v>W06</x:v>
      </x:c>
      <x:c r="D121" s="59" t="str">
        <x:v>Fixed island plus one access mode</x:v>
      </x:c>
      <x:c r="E121" s="59" t="n">
        <x:f>IF(INDEX('Topology Library'!$E$8:$E$14,MATCH(B121,'Topology Library'!$B$8:$B$14,0))=0,0,INDEX('Topology Library'!$K$8:$K$14,MATCH(B121,'Topology Library'!$B$8:$B$14,0)))</x:f>
        <x:v>1</x:v>
      </x:c>
      <x:c r="F121" s="59" t="n">
        <x:v>1</x:v>
      </x:c>
      <x:c r="G121" s="59" t="str">
        <x:v>NONE</x:v>
      </x:c>
      <x:c r="H121" s="64" t="n">
        <x:f>MAX(0,INDEX('Topology Library'!$D$8:$D$14,MATCH(B121,'Topology Library'!$B$8:$B$14,0))-E121)+MAX(0,INDEX('Topology Library'!$F$8:$F$14,MATCH(B121,'Topology Library'!$B$8:$B$14,0))-F121)*INDEX('Topology Library'!$H$8:$H$14,MATCH(B121,'Topology Library'!$B$8:$B$14,0))</x:f>
        <x:v>11</x:v>
      </x:c>
      <x:c r="I121" s="64" t="n">
        <x:v>0</x:v>
      </x:c>
      <x:c r="J121" s="64" t="n">
        <x:f>MAX(0,H121-I121)</x:f>
        <x:v>11</x:v>
      </x:c>
      <x:c r="K121" s="64" t="n">
        <x:f>Assumptions!$C$8</x:f>
        <x:v>10</x:v>
      </x:c>
      <x:c r="L121" s="64" t="str">
        <x:f>IF(J121&gt;=K121,"PASS","FAIL")</x:f>
        <x:v>PASS</x:v>
      </x:c>
      <x:c r="M121" s="80" t="str">
        <x:v>mixed geography and route denial</x:v>
      </x:c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</x:row>
    <x:row r="122">
      <x:c r="B122" s="59" t="str">
        <x:v>T7</x:v>
      </x:c>
      <x:c r="C122" s="59" t="str">
        <x:v>W07</x:v>
      </x:c>
      <x:c r="D122" s="59" t="str">
        <x:v>Fixed island plus two access modes</x:v>
      </x:c>
      <x:c r="E122" s="59" t="n">
        <x:f>IF(INDEX('Topology Library'!$E$8:$E$14,MATCH(B122,'Topology Library'!$B$8:$B$14,0))=0,0,INDEX('Topology Library'!$K$8:$K$14,MATCH(B122,'Topology Library'!$B$8:$B$14,0)))</x:f>
        <x:v>1</x:v>
      </x:c>
      <x:c r="F122" s="59" t="n">
        <x:v>2</x:v>
      </x:c>
      <x:c r="G122" s="59" t="str">
        <x:v>NONE</x:v>
      </x:c>
      <x:c r="H122" s="64" t="n">
        <x:f>MAX(0,INDEX('Topology Library'!$D$8:$D$14,MATCH(B122,'Topology Library'!$B$8:$B$14,0))-E122)+MAX(0,INDEX('Topology Library'!$F$8:$F$14,MATCH(B122,'Topology Library'!$B$8:$B$14,0))-F122)*INDEX('Topology Library'!$H$8:$H$14,MATCH(B122,'Topology Library'!$B$8:$B$14,0))</x:f>
        <x:v>10</x:v>
      </x:c>
      <x:c r="I122" s="64" t="n">
        <x:v>0</x:v>
      </x:c>
      <x:c r="J122" s="64" t="n">
        <x:f>MAX(0,H122-I122)</x:f>
        <x:v>10</x:v>
      </x:c>
      <x:c r="K122" s="64" t="n">
        <x:f>Assumptions!$C$8</x:f>
        <x:v>10</x:v>
      </x:c>
      <x:c r="L122" s="64" t="str">
        <x:f>IF(J122&gt;=K122,"PASS","FAIL")</x:f>
        <x:v>PASS</x:v>
      </x:c>
      <x:c r="M122" s="80" t="str">
        <x:v>strong layered guarantee</x:v>
      </x:c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</x:row>
    <x:row r="123">
      <x:c r="B123" s="59" t="str">
        <x:v>T7</x:v>
      </x:c>
      <x:c r="C123" s="59" t="str">
        <x:v>W08</x:v>
      </x:c>
      <x:c r="D123" s="59" t="str">
        <x:v>Entire fixed lattice plus one access mode</x:v>
      </x:c>
      <x:c r="E123" s="59" t="n">
        <x:f>INDEX('Topology Library'!$D$8:$D$14,MATCH(B123,'Topology Library'!$B$8:$B$14,0))</x:f>
        <x:v>10</x:v>
      </x:c>
      <x:c r="F123" s="59" t="n">
        <x:v>1</x:v>
      </x:c>
      <x:c r="G123" s="59" t="str">
        <x:v>NONE</x:v>
      </x:c>
      <x:c r="H123" s="64" t="n">
        <x:f>MAX(0,INDEX('Topology Library'!$D$8:$D$14,MATCH(B123,'Topology Library'!$B$8:$B$14,0))-E123)+MAX(0,INDEX('Topology Library'!$F$8:$F$14,MATCH(B123,'Topology Library'!$B$8:$B$14,0))-F123)*INDEX('Topology Library'!$H$8:$H$14,MATCH(B123,'Topology Library'!$B$8:$B$14,0))</x:f>
        <x:v>2</x:v>
      </x:c>
      <x:c r="I123" s="64" t="n">
        <x:v>0</x:v>
      </x:c>
      <x:c r="J123" s="64" t="n">
        <x:f>MAX(0,H123-I123)</x:f>
        <x:v>2</x:v>
      </x:c>
      <x:c r="K123" s="64" t="n">
        <x:f>Assumptions!$C$8</x:f>
        <x:v>10</x:v>
      </x:c>
      <x:c r="L123" s="64" t="str">
        <x:f>IF(J123&gt;=K123,"PASS","FAIL")</x:f>
        <x:v>FAIL</x:v>
      </x:c>
      <x:c r="M123" s="80" t="str">
        <x:v>loss of all forward readiness</x:v>
      </x:c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</x:row>
    <x:row r="124">
      <x:c r="B124" s="59" t="str">
        <x:v>T7</x:v>
      </x:c>
      <x:c r="C124" s="59" t="str">
        <x:v>W09</x:v>
      </x:c>
      <x:c r="D124" s="59" t="str">
        <x:v>Largest source lineage lost</x:v>
      </x:c>
      <x:c r="E124" s="59" t="n">
        <x:v>0</x:v>
      </x:c>
      <x:c r="F124" s="59" t="n">
        <x:v>0</x:v>
      </x:c>
      <x:c r="G124" s="59" t="str">
        <x:v>SOURCE</x:v>
      </x:c>
      <x:c r="H124" s="64" t="n">
        <x:f>MAX(0,INDEX('Topology Library'!$D$8:$D$14,MATCH(B124,'Topology Library'!$B$8:$B$14,0))-E124)+MAX(0,INDEX('Topology Library'!$F$8:$F$14,MATCH(B124,'Topology Library'!$B$8:$B$14,0))-F124)*INDEX('Topology Library'!$H$8:$H$14,MATCH(B124,'Topology Library'!$B$8:$B$14,0))</x:f>
        <x:v>13</x:v>
      </x:c>
      <x:c r="I124" s="64" t="n">
        <x:f>ROUNDUP(H124/INDEX('Topology Library'!$Q$8:$Q$14,MATCH(B124,'Topology Library'!$B$8:$B$14,0)),0)</x:f>
        <x:v>3</x:v>
      </x:c>
      <x:c r="J124" s="64" t="n">
        <x:f>MAX(0,H124-I124)</x:f>
        <x:v>10</x:v>
      </x:c>
      <x:c r="K124" s="64" t="n">
        <x:f>Assumptions!$C$8</x:f>
        <x:v>10</x:v>
      </x:c>
      <x:c r="L124" s="64" t="str">
        <x:f>IF(J124&gt;=K124,"PASS","FAIL")</x:f>
        <x:v>PASS</x:v>
      </x:c>
      <x:c r="M124" s="80" t="str">
        <x:v>serialized source ancestry</x:v>
      </x:c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</x:row>
    <x:row r="125">
      <x:c r="B125" s="59" t="str">
        <x:v>T7</x:v>
      </x:c>
      <x:c r="C125" s="59" t="str">
        <x:v>W10</x:v>
      </x:c>
      <x:c r="D125" s="59" t="str">
        <x:v>Largest launch-base domain lost</x:v>
      </x:c>
      <x:c r="E125" s="59" t="n">
        <x:v>0</x:v>
      </x:c>
      <x:c r="F125" s="59" t="n">
        <x:v>0</x:v>
      </x:c>
      <x:c r="G125" s="59" t="str">
        <x:v>BASE</x:v>
      </x:c>
      <x:c r="H125" s="64" t="n">
        <x:f>MAX(0,INDEX('Topology Library'!$D$8:$D$14,MATCH(B125,'Topology Library'!$B$8:$B$14,0))-E125)+MAX(0,INDEX('Topology Library'!$F$8:$F$14,MATCH(B125,'Topology Library'!$B$8:$B$14,0))-F125)*INDEX('Topology Library'!$H$8:$H$14,MATCH(B125,'Topology Library'!$B$8:$B$14,0))</x:f>
        <x:v>13</x:v>
      </x:c>
      <x:c r="I125" s="64" t="n">
        <x:f>MIN(H125,ROUNDUP(INDEX('Topology Library'!$F$8:$F$14,MATCH(B125,'Topology Library'!$B$8:$B$14,0))/INDEX('Topology Library'!$R$8:$R$14,MATCH(B125,'Topology Library'!$B$8:$B$14,0)),0)*INDEX('Topology Library'!$H$8:$H$14,MATCH(B125,'Topology Library'!$B$8:$B$14,0)))</x:f>
        <x:v>1</x:v>
      </x:c>
      <x:c r="J125" s="64" t="n">
        <x:f>MAX(0,H125-I125)</x:f>
        <x:v>12</x:v>
      </x:c>
      <x:c r="K125" s="64" t="n">
        <x:f>Assumptions!$C$8</x:f>
        <x:v>10</x:v>
      </x:c>
      <x:c r="L125" s="64" t="str">
        <x:f>IF(J125&gt;=K125,"PASS","FAIL")</x:f>
        <x:v>PASS</x:v>
      </x:c>
      <x:c r="M125" s="80" t="str">
        <x:v>base and depot independence</x:v>
      </x:c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</x:row>
    <x:row r="126">
      <x:c r="B126" s="59" t="str">
        <x:v>T7</x:v>
      </x:c>
      <x:c r="C126" s="59" t="str">
        <x:v>W11</x:v>
      </x:c>
      <x:c r="D126" s="59" t="str">
        <x:v>Largest crew-school domain lost</x:v>
      </x:c>
      <x:c r="E126" s="59" t="n">
        <x:v>0</x:v>
      </x:c>
      <x:c r="F126" s="59" t="n">
        <x:v>0</x:v>
      </x:c>
      <x:c r="G126" s="59" t="str">
        <x:v>CREW</x:v>
      </x:c>
      <x:c r="H126" s="64" t="n">
        <x:f>MAX(0,INDEX('Topology Library'!$D$8:$D$14,MATCH(B126,'Topology Library'!$B$8:$B$14,0))-E126)+MAX(0,INDEX('Topology Library'!$F$8:$F$14,MATCH(B126,'Topology Library'!$B$8:$B$14,0))-F126)*INDEX('Topology Library'!$H$8:$H$14,MATCH(B126,'Topology Library'!$B$8:$B$14,0))</x:f>
        <x:v>13</x:v>
      </x:c>
      <x:c r="I126" s="64" t="n">
        <x:f>ROUNDUP(H126/INDEX('Topology Library'!$S$8:$S$14,MATCH(B126,'Topology Library'!$B$8:$B$14,0)),0)</x:f>
        <x:v>3</x:v>
      </x:c>
      <x:c r="J126" s="64" t="n">
        <x:f>MAX(0,H126-I126)</x:f>
        <x:v>10</x:v>
      </x:c>
      <x:c r="K126" s="64" t="n">
        <x:f>Assumptions!$C$8</x:f>
        <x:v>10</x:v>
      </x:c>
      <x:c r="L126" s="64" t="str">
        <x:f>IF(J126&gt;=K126,"PASS","FAIL")</x:f>
        <x:v>PASS</x:v>
      </x:c>
      <x:c r="M126" s="80" t="str">
        <x:v>operator qualification independence</x:v>
      </x:c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</x:row>
    <x:row r="127">
      <x:c r="B127" s="59" t="str">
        <x:v>T7</x:v>
      </x:c>
      <x:c r="C127" s="59" t="str">
        <x:v>W12</x:v>
      </x:c>
      <x:c r="D127" s="59" t="str">
        <x:v>Largest control domain lost</x:v>
      </x:c>
      <x:c r="E127" s="59" t="n">
        <x:v>0</x:v>
      </x:c>
      <x:c r="F127" s="59" t="n">
        <x:v>0</x:v>
      </x:c>
      <x:c r="G127" s="59" t="str">
        <x:v>CONTROL</x:v>
      </x:c>
      <x:c r="H127" s="64" t="n">
        <x:f>MAX(0,INDEX('Topology Library'!$D$8:$D$14,MATCH(B127,'Topology Library'!$B$8:$B$14,0))-E127)+MAX(0,INDEX('Topology Library'!$F$8:$F$14,MATCH(B127,'Topology Library'!$B$8:$B$14,0))-F127)*INDEX('Topology Library'!$H$8:$H$14,MATCH(B127,'Topology Library'!$B$8:$B$14,0))</x:f>
        <x:v>13</x:v>
      </x:c>
      <x:c r="I127" s="64" t="n">
        <x:f>ROUNDUP(H127/INDEX('Topology Library'!$T$8:$T$14,MATCH(B127,'Topology Library'!$B$8:$B$14,0)),0)</x:f>
        <x:v>3</x:v>
      </x:c>
      <x:c r="J127" s="64" t="n">
        <x:f>MAX(0,H127-I127)</x:f>
        <x:v>10</x:v>
      </x:c>
      <x:c r="K127" s="64" t="n">
        <x:f>Assumptions!$C$8</x:f>
        <x:v>10</x:v>
      </x:c>
      <x:c r="L127" s="64" t="str">
        <x:f>IF(J127&gt;=K127,"PASS","FAIL")</x:f>
        <x:v>PASS</x:v>
      </x:c>
      <x:c r="M127" s="80" t="str">
        <x:v>offline command and protection partitions</x:v>
      </x:c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</x:row>
    <x:row r="128">
      <x:c r="B128" s="59" t="str">
        <x:v>T7</x:v>
      </x:c>
      <x:c r="C128" s="59" t="str">
        <x:v>W13</x:v>
      </x:c>
      <x:c r="D128" s="59" t="str">
        <x:v>Largest heat-sink lineage lost</x:v>
      </x:c>
      <x:c r="E128" s="59" t="n">
        <x:v>0</x:v>
      </x:c>
      <x:c r="F128" s="59" t="n">
        <x:v>0</x:v>
      </x:c>
      <x:c r="G128" s="59" t="str">
        <x:v>HEAT</x:v>
      </x:c>
      <x:c r="H128" s="64" t="n">
        <x:f>MAX(0,INDEX('Topology Library'!$D$8:$D$14,MATCH(B128,'Topology Library'!$B$8:$B$14,0))-E128)+MAX(0,INDEX('Topology Library'!$F$8:$F$14,MATCH(B128,'Topology Library'!$B$8:$B$14,0))-F128)*INDEX('Topology Library'!$H$8:$H$14,MATCH(B128,'Topology Library'!$B$8:$B$14,0))</x:f>
        <x:v>13</x:v>
      </x:c>
      <x:c r="I128" s="64" t="n">
        <x:f>ROUNDUP(H128/INDEX('Topology Library'!$U$8:$U$14,MATCH(B128,'Topology Library'!$B$8:$B$14,0)),0)</x:f>
        <x:v>3</x:v>
      </x:c>
      <x:c r="J128" s="64" t="n">
        <x:f>MAX(0,H128-I128)</x:f>
        <x:v>10</x:v>
      </x:c>
      <x:c r="K128" s="64" t="n">
        <x:f>Assumptions!$C$8</x:f>
        <x:v>10</x:v>
      </x:c>
      <x:c r="L128" s="64" t="str">
        <x:f>IF(J128&gt;=K128,"PASS","FAIL")</x:f>
        <x:v>PASS</x:v>
      </x:c>
      <x:c r="M128" s="80" t="str">
        <x:v>final heat destination independence</x:v>
      </x:c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</x:row>
    <x:row r="129">
      <x:c r="B129" s="59" t="str">
        <x:v>T7</x:v>
      </x:c>
      <x:c r="C129" s="59" t="str">
        <x:v>W14</x:v>
      </x:c>
      <x:c r="D129" s="59" t="str">
        <x:v>Largest receiver-interface domain lost</x:v>
      </x:c>
      <x:c r="E129" s="59" t="n">
        <x:v>0</x:v>
      </x:c>
      <x:c r="F129" s="59" t="n">
        <x:v>0</x:v>
      </x:c>
      <x:c r="G129" s="59" t="str">
        <x:v>RECEIVER</x:v>
      </x:c>
      <x:c r="H129" s="64" t="n">
        <x:f>MAX(0,INDEX('Topology Library'!$D$8:$D$14,MATCH(B129,'Topology Library'!$B$8:$B$14,0))-E129)+MAX(0,INDEX('Topology Library'!$F$8:$F$14,MATCH(B129,'Topology Library'!$B$8:$B$14,0))-F129)*INDEX('Topology Library'!$H$8:$H$14,MATCH(B129,'Topology Library'!$B$8:$B$14,0))</x:f>
        <x:v>13</x:v>
      </x:c>
      <x:c r="I129" s="64" t="n">
        <x:f>ROUNDUP(H129/INDEX('Topology Library'!$V$8:$V$14,MATCH(B129,'Topology Library'!$B$8:$B$14,0)),0)</x:f>
        <x:v>2</x:v>
      </x:c>
      <x:c r="J129" s="64" t="n">
        <x:f>MAX(0,H129-I129)</x:f>
        <x:v>11</x:v>
      </x:c>
      <x:c r="K129" s="64" t="n">
        <x:f>Assumptions!$C$8</x:f>
        <x:v>10</x:v>
      </x:c>
      <x:c r="L129" s="64" t="str">
        <x:f>IF(J129&gt;=K129,"PASS","FAIL")</x:f>
        <x:v>PASS</x:v>
      </x:c>
      <x:c r="M129" s="80" t="str">
        <x:v>site release and utility boundary</x:v>
      </x:c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</x:row>
    <x:row r="130">
      <x:c r="B130" s="59" t="str">
        <x:v>T7</x:v>
      </x:c>
      <x:c r="C130" s="59" t="str">
        <x:v>W15</x:v>
      </x:c>
      <x:c r="D130" s="59" t="str">
        <x:v>Second mission before full reset</x:v>
      </x:c>
      <x:c r="E130" s="59" t="n">
        <x:v>0</x:v>
      </x:c>
      <x:c r="F130" s="59" t="n">
        <x:v>0</x:v>
      </x:c>
      <x:c r="G130" s="59" t="str">
        <x:v>RESET</x:v>
      </x:c>
      <x:c r="H130" s="64" t="n">
        <x:f>MAX(0,INDEX('Topology Library'!$D$8:$D$14,MATCH(B130,'Topology Library'!$B$8:$B$14,0))-E130)+MAX(0,INDEX('Topology Library'!$F$8:$F$14,MATCH(B130,'Topology Library'!$B$8:$B$14,0))-F130)*INDEX('Topology Library'!$H$8:$H$14,MATCH(B130,'Topology Library'!$B$8:$B$14,0))</x:f>
        <x:v>13</x:v>
      </x:c>
      <x:c r="I130" s="64" t="n">
        <x:f>H130-ROUNDDOWN(H130*INDEX('Topology Library'!$W$8:$W$14,MATCH(B130,'Topology Library'!$B$8:$B$14,0)),0)</x:f>
        <x:v>2</x:v>
      </x:c>
      <x:c r="J130" s="64" t="n">
        <x:f>MAX(0,H130-I130)</x:f>
        <x:v>11</x:v>
      </x:c>
      <x:c r="K130" s="64" t="n">
        <x:f>Assumptions!$C$8</x:f>
        <x:v>10</x:v>
      </x:c>
      <x:c r="L130" s="64" t="str">
        <x:f>IF(J130&gt;=K130,"PASS","FAIL")</x:f>
        <x:v>PASS</x:v>
      </x:c>
      <x:c r="M130" s="80" t="str">
        <x:v>reconstitution capacity</x:v>
      </x:c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</x:row>
    <x:row r="131">
      <x:c r="B131" s="59" t="str">
        <x:v>T7</x:v>
      </x:c>
      <x:c r="C131" s="59" t="str">
        <x:v>W16</x:v>
      </x:c>
      <x:c r="D131" s="59" t="str">
        <x:v>Source lineage plus one access mode</x:v>
      </x:c>
      <x:c r="E131" s="59" t="n">
        <x:v>0</x:v>
      </x:c>
      <x:c r="F131" s="59" t="n">
        <x:v>1</x:v>
      </x:c>
      <x:c r="G131" s="59" t="str">
        <x:v>SOURCE</x:v>
      </x:c>
      <x:c r="H131" s="64" t="n">
        <x:f>MAX(0,INDEX('Topology Library'!$D$8:$D$14,MATCH(B131,'Topology Library'!$B$8:$B$14,0))-E131)+MAX(0,INDEX('Topology Library'!$F$8:$F$14,MATCH(B131,'Topology Library'!$B$8:$B$14,0))-F131)*INDEX('Topology Library'!$H$8:$H$14,MATCH(B131,'Topology Library'!$B$8:$B$14,0))</x:f>
        <x:v>12</x:v>
      </x:c>
      <x:c r="I131" s="64" t="n">
        <x:f>ROUNDUP(H131/INDEX('Topology Library'!$Q$8:$Q$14,MATCH(B131,'Topology Library'!$B$8:$B$14,0)),0)</x:f>
        <x:v>3</x:v>
      </x:c>
      <x:c r="J131" s="64" t="n">
        <x:f>MAX(0,H131-I131)</x:f>
        <x:v>9</x:v>
      </x:c>
      <x:c r="K131" s="64" t="n">
        <x:f>Assumptions!$C$8</x:f>
        <x:v>10</x:v>
      </x:c>
      <x:c r="L131" s="64" t="str">
        <x:f>IF(J131&gt;=K131,"PASS","FAIL")</x:f>
        <x:v>FAIL</x:v>
      </x:c>
      <x:c r="M131" s="80" t="str">
        <x:v>supplier and route compound</x:v>
      </x:c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</x:row>
    <x:row r="132">
      <x:c r="B132" s="59" t="str">
        <x:v>T7</x:v>
      </x:c>
      <x:c r="C132" s="59" t="str">
        <x:v>W17</x:v>
      </x:c>
      <x:c r="D132" s="59" t="str">
        <x:v>Launch base plus one access mode</x:v>
      </x:c>
      <x:c r="E132" s="59" t="n">
        <x:v>0</x:v>
      </x:c>
      <x:c r="F132" s="59" t="n">
        <x:v>1</x:v>
      </x:c>
      <x:c r="G132" s="59" t="str">
        <x:v>BASE</x:v>
      </x:c>
      <x:c r="H132" s="64" t="n">
        <x:f>MAX(0,INDEX('Topology Library'!$D$8:$D$14,MATCH(B132,'Topology Library'!$B$8:$B$14,0))-E132)+MAX(0,INDEX('Topology Library'!$F$8:$F$14,MATCH(B132,'Topology Library'!$B$8:$B$14,0))-F132)*INDEX('Topology Library'!$H$8:$H$14,MATCH(B132,'Topology Library'!$B$8:$B$14,0))</x:f>
        <x:v>12</x:v>
      </x:c>
      <x:c r="I132" s="64" t="n">
        <x:f>MIN(H132,ROUNDUP(INDEX('Topology Library'!$F$8:$F$14,MATCH(B132,'Topology Library'!$B$8:$B$14,0))/INDEX('Topology Library'!$R$8:$R$14,MATCH(B132,'Topology Library'!$B$8:$B$14,0)),0)*INDEX('Topology Library'!$H$8:$H$14,MATCH(B132,'Topology Library'!$B$8:$B$14,0)))</x:f>
        <x:v>1</x:v>
      </x:c>
      <x:c r="J132" s="64" t="n">
        <x:f>MAX(0,H132-I132)</x:f>
        <x:v>11</x:v>
      </x:c>
      <x:c r="K132" s="64" t="n">
        <x:f>Assumptions!$C$8</x:f>
        <x:v>10</x:v>
      </x:c>
      <x:c r="L132" s="64" t="str">
        <x:f>IF(J132&gt;=K132,"PASS","FAIL")</x:f>
        <x:v>PASS</x:v>
      </x:c>
      <x:c r="M132" s="80" t="str">
        <x:v>base and route compound</x:v>
      </x:c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</x:row>
    <x:row r="133">
      <x:c r="B133" s="66" t="str">
        <x:v>T7</x:v>
      </x:c>
      <x:c r="C133" s="66" t="str">
        <x:v>W18</x:v>
      </x:c>
      <x:c r="D133" s="66" t="str">
        <x:v>Concurrent national allocation</x:v>
      </x:c>
      <x:c r="E133" s="66" t="n">
        <x:v>0</x:v>
      </x:c>
      <x:c r="F133" s="66" t="n">
        <x:v>0</x:v>
      </x:c>
      <x:c r="G133" s="66" t="str">
        <x:v>POOL</x:v>
      </x:c>
      <x:c r="H133" s="71" t="n">
        <x:f>MAX(0,INDEX('Topology Library'!$D$8:$D$14,MATCH(B133,'Topology Library'!$B$8:$B$14,0))-E133)+MAX(0,INDEX('Topology Library'!$F$8:$F$14,MATCH(B133,'Topology Library'!$B$8:$B$14,0))-F133)*INDEX('Topology Library'!$H$8:$H$14,MATCH(B133,'Topology Library'!$B$8:$B$14,0))</x:f>
        <x:v>13</x:v>
      </x:c>
      <x:c r="I133" s="71" t="n">
        <x:f>H133-ROUNDDOWN(H133*INDEX('Topology Library'!$X$8:$X$14,MATCH(B133,'Topology Library'!$B$8:$B$14,0)),0)</x:f>
        <x:v>2</x:v>
      </x:c>
      <x:c r="J133" s="71" t="n">
        <x:f>MAX(0,H133-I133)</x:f>
        <x:v>11</x:v>
      </x:c>
      <x:c r="K133" s="71" t="n">
        <x:f>Assumptions!$C$8</x:f>
        <x:v>10</x:v>
      </x:c>
      <x:c r="L133" s="71" t="str">
        <x:f>IF(J133&gt;=K133,"PASS","FAIL")</x:f>
        <x:v>PASS</x:v>
      </x:c>
      <x:c r="M133" s="84" t="str">
        <x:v>group availability after national pooling</x:v>
      </x:c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</x:row>
    <x:row r="134"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</x:row>
    <x:row r="135"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</x:row>
    <x:row r="136"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</x:row>
    <x:row r="137"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</x:row>
    <x:row r="138"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</x:row>
    <x:row r="139"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</x:row>
    <x:row r="140"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</x:row>
    <x:row r="141"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</x:row>
    <x:row r="142"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</x:row>
    <x:row r="143"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</x:row>
    <x:row r="144"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</x:row>
    <x:row r="145"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</x:row>
    <x:row r="146"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</x:row>
    <x:row r="147"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</x:row>
    <x:row r="148"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</x:row>
    <x:row r="149"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</x:row>
    <x:row r="150"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</x:row>
    <x:row r="151"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</x:row>
    <x:row r="152"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</x:row>
    <x:row r="153"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</x:row>
    <x:row r="154"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</x:row>
    <x:row r="155"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</x:row>
    <x:row r="156"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</x:row>
    <x:row r="157"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</x:row>
    <x:row r="158"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</x:row>
    <x:row r="159"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</x:row>
    <x:row r="160"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</x:row>
    <x:row r="161"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</x:row>
    <x:row r="162"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</x:row>
    <x:row r="163"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</x:row>
    <x:row r="164"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</x:row>
    <x:row r="165"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</x:row>
    <x:row r="166"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</x:row>
    <x:row r="167"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</x:row>
    <x:row r="168"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</x:row>
    <x:row r="169"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</x:row>
    <x:row r="170"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</x:row>
    <x:row r="171"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</x:row>
    <x:row r="172"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</x:row>
    <x:row r="173"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</x:row>
    <x:row r="174"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</x:row>
    <x:row r="175"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</x:row>
    <x:row r="176"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</x:row>
    <x:row r="177"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</x:row>
    <x:row r="178"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</x:row>
    <x:row r="179"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</x:row>
    <x:row r="180"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</x:row>
    <x:row r="181"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</x:row>
    <x:row r="182"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</x:row>
    <x:row r="183"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</x:row>
    <x:row r="184"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</x:row>
    <x:row r="185"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</x:row>
    <x:row r="186"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</x:row>
    <x:row r="187"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</x:row>
    <x:row r="188"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</x:row>
    <x:row r="189"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</x:row>
    <x:row r="190"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</x:row>
    <x:row r="191"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</x:row>
    <x:row r="192"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</x:row>
    <x:row r="193"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</x:row>
    <x:row r="194"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</x:row>
    <x:row r="195"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</x:row>
    <x:row r="196"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</x:row>
    <x:row r="197"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</x:row>
    <x:row r="198"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</x:row>
    <x:row r="199"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</x:row>
    <x:row r="200"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</x:row>
    <x:row r="201"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</x:row>
    <x:row r="202"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</x:row>
    <x:row r="203"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</x:row>
    <x:row r="204"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</x:row>
    <x:row r="205"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</x:row>
    <x:row r="206"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</x:row>
    <x:row r="207"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</x:row>
    <x:row r="208"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</x:row>
    <x:row r="209"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</x:row>
    <x:row r="210"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</x:row>
    <x:row r="211"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</x:row>
    <x:row r="212"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</x:row>
    <x:row r="213"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</x:row>
    <x:row r="214"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</x:row>
    <x:row r="215"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</x:row>
    <x:row r="216"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</x:row>
    <x:row r="217"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</x:row>
    <x:row r="218"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</x:row>
    <x:row r="219"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</x:row>
    <x:row r="220"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</x:row>
    <x:row r="221"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</x:row>
    <x:row r="222"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</x:row>
    <x:row r="223"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</x:row>
    <x:row r="224"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</x:row>
    <x:row r="225"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</x:row>
    <x:row r="226"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</x:row>
    <x:row r="227"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</x:row>
    <x:row r="228"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</x:row>
    <x:row r="229"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</x:row>
    <x:row r="230"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</x:row>
    <x:row r="231"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</x:row>
    <x:row r="232"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</x:row>
    <x:row r="233"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</x:row>
    <x:row r="234"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</x:row>
    <x:row r="235"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</x:row>
    <x:row r="236"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</x:row>
    <x:row r="237"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</x:row>
    <x:row r="238"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</x:row>
    <x:row r="239"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</x:row>
    <x:row r="240"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</x:row>
    <x:row r="241"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</x:row>
    <x:row r="242"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</x:row>
    <x:row r="243"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</x:row>
    <x:row r="244"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</x:row>
    <x:row r="245"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</x:row>
    <x:row r="246"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</x:row>
    <x:row r="247"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</x:row>
    <x:row r="248"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</x:row>
    <x:row r="249"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</x:row>
    <x:row r="250"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</x:row>
    <x:row r="251"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</x:row>
    <x:row r="252"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</x:row>
    <x:row r="253"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</x:row>
    <x:row r="254"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</x:row>
    <x:row r="255"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</x:row>
    <x:row r="256"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</x:row>
    <x:row r="257"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</x:row>
    <x:row r="258"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</x:row>
    <x:row r="259"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</x:row>
    <x:row r="260"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</x:row>
    <x:row r="261"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</x:row>
    <x:row r="262"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</x:row>
    <x:row r="263"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</x:row>
    <x:row r="264"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</x:row>
    <x:row r="265"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</x:row>
    <x:row r="266"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</x:row>
    <x:row r="267"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</x:row>
    <x:row r="268"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</x:row>
    <x:row r="269"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</x:row>
    <x:row r="270"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</x:row>
    <x:row r="271"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</x:row>
    <x:row r="272"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</x:row>
    <x:row r="273"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</x:row>
    <x:row r="274"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</x:row>
    <x:row r="275"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</x:row>
    <x:row r="276"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</x:row>
    <x:row r="277"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</x:row>
    <x:row r="278"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</x:row>
    <x:row r="279"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</x:row>
    <x:row r="280"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</x:row>
    <x:row r="281"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</x:row>
    <x:row r="282"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</x:row>
    <x:row r="283"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</x:row>
    <x:row r="284"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</x:row>
    <x:row r="285"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</x:row>
    <x:row r="286"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</x:row>
    <x:row r="287"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</x:row>
    <x:row r="288"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</x:row>
    <x:row r="289"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</x:row>
    <x:row r="290"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</x:row>
    <x:row r="291"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</x:row>
    <x:row r="292"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</x:row>
    <x:row r="293"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</x:row>
    <x:row r="294"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</x:row>
    <x:row r="295"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</x:row>
    <x:row r="296"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</x:row>
    <x:row r="297"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</x:row>
    <x:row r="298"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</x:row>
    <x:row r="299"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</x:row>
    <x:row r="300"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</x:row>
    <x:row r="301"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</x:row>
    <x:row r="302"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</x:row>
    <x:row r="303"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</x:row>
    <x:row r="304"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</x:row>
    <x:row r="305"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</x:row>
    <x:row r="306"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</x:row>
    <x:row r="307"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</x:row>
    <x:row r="308"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</x:row>
    <x:row r="309"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</x:row>
    <x:row r="310"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</x:row>
    <x:row r="311"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</x:row>
    <x:row r="312"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</x:row>
    <x:row r="313"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</x:row>
    <x:row r="314"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</x:row>
    <x:row r="315"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</x:row>
    <x:row r="316"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</x:row>
    <x:row r="317"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</x:row>
    <x:row r="318"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</x:row>
    <x:row r="319"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</x:row>
    <x:row r="320"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</x:row>
  </x:sheetData>
  <x:mergeCells>
    <x:mergeCell ref="B6:M6"/>
  </x:mergeCells>
  <x:conditionalFormatting sqref="L8:L133">
    <x:cfRule type="containsText" dxfId="0" priority="1" operator="containsText" text="FAIL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2" max="2" width="37" hidden="0" customWidth="1"/>
    <x:col min="3" max="3" width="11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4" hidden="0" customWidth="1"/>
    <x:col min="9" max="9" width="14" hidden="0" customWidth="1"/>
    <x:col min="10" max="10" width="16" hidden="0" customWidth="1"/>
    <x:col min="11" max="11" width="18" hidden="0" customWidth="1"/>
    <x:col min="12" max="12" width="17" hidden="0" customWidth="1"/>
    <x:col min="13" max="13" width="15" hidden="0" customWidth="1"/>
    <x:col min="14" max="14" width="16" hidden="0" customWidth="1"/>
    <x:col min="15" max="15" width="16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2">
      <x:c r="B2" s="3" t="str">
        <x:v>National program comparison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</x:row>
    <x:row r="3">
      <x:c r="B3" s="4" t="str">
        <x:v>Universal architectures and one geography-assigned portfolio in constant 2026 dollars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</x:row>
    <x:row r="6">
      <x:c r="B6" s="8" t="str">
        <x:v>Seventy-two-group force alternatives</x:v>
      </x:c>
      <x:c r="C6" s="9" t="str">
        <x:v>Seventy-two-group force alternatives</x:v>
      </x:c>
      <x:c r="D6" s="9" t="str">
        <x:v>Seventy-two-group force alternatives</x:v>
      </x:c>
      <x:c r="E6" s="9" t="str">
        <x:v>Seventy-two-group force alternatives</x:v>
      </x:c>
      <x:c r="F6" s="9" t="str">
        <x:v>Seventy-two-group force alternatives</x:v>
      </x:c>
      <x:c r="G6" s="9" t="str">
        <x:v>Seventy-two-group force alternatives</x:v>
      </x:c>
      <x:c r="H6" s="9" t="str">
        <x:v>Seventy-two-group force alternatives</x:v>
      </x:c>
      <x:c r="I6" s="9" t="str">
        <x:v>Seventy-two-group force alternatives</x:v>
      </x:c>
      <x:c r="J6" s="9" t="str">
        <x:v>Seventy-two-group force alternatives</x:v>
      </x:c>
      <x:c r="K6" s="9" t="str">
        <x:v>Seventy-two-group force alternatives</x:v>
      </x:c>
      <x:c r="L6" s="9" t="str">
        <x:v>Seventy-two-group force alternatives</x:v>
      </x:c>
      <x:c r="M6" s="9" t="str">
        <x:v>Seventy-two-group force alternatives</x:v>
      </x:c>
      <x:c r="N6" s="9" t="str">
        <x:v>Seventy-two-group force alternatives</x:v>
      </x:c>
      <x:c r="O6" s="9" t="str">
        <x:v>Seventy-two-group force alternatives</x:v>
      </x:c>
      <x:c r="P6" s="9" t="str">
        <x:v>Seventy-two-group force alternatives</x:v>
      </x:c>
      <x:c r="Q6" s="9" t="str">
        <x:v>Seventy-two-group force alternatives</x:v>
      </x:c>
      <x:c r="R6" s="10" t="str">
        <x:v>Seventy-two-group force alternatives</x:v>
      </x:c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</x:row>
    <x:row r="7">
      <x:c r="B7" s="24" t="str">
        <x:v>Architecture</x:v>
      </x:c>
      <x:c r="C7" s="25" t="str">
        <x:v>Groups</x:v>
      </x:c>
      <x:c r="D7" s="25" t="str">
        <x:v>Fixed cells</x:v>
      </x:c>
      <x:c r="E7" s="25" t="str">
        <x:v>Road cells</x:v>
      </x:c>
      <x:c r="F7" s="25" t="str">
        <x:v>Rail cells</x:v>
      </x:c>
      <x:c r="G7" s="25" t="str">
        <x:v>Water cells</x:v>
      </x:c>
      <x:c r="H7" s="25" t="str">
        <x:v>Fourth-path cells</x:v>
      </x:c>
      <x:c r="I7" s="25" t="str">
        <x:v>Total packages</x:v>
      </x:c>
      <x:c r="J7" s="25" t="str">
        <x:v>Fixed lifecycle $B</x:v>
      </x:c>
      <x:c r="K7" s="25" t="str">
        <x:v>Legacy mobile lifecycle $B</x:v>
      </x:c>
      <x:c r="L7" s="25" t="str">
        <x:v>Fourth-path lifecycle $B</x:v>
      </x:c>
      <x:c r="M7" s="25" t="str">
        <x:v>Cell layer $B</x:v>
      </x:c>
      <x:c r="N7" s="25" t="str">
        <x:v>Retained common $B</x:v>
      </x:c>
      <x:c r="O7" s="25" t="str">
        <x:v>Topology increment $B</x:v>
      </x:c>
      <x:c r="P7" s="25" t="str">
        <x:v>Low $B</x:v>
      </x:c>
      <x:c r="Q7" s="25" t="str">
        <x:v>Base $B</x:v>
      </x:c>
      <x:c r="R7" s="25" t="str">
        <x:v>High $B</x:v>
      </x:c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</x:row>
    <x:row r="8">
      <x:c r="B8" s="89" t="str">
        <x:f>'Topology Library'!B8&amp;" — "&amp;'Topology Library'!C8</x:f>
        <x:v>T1 — Expeditionary triple replication</x:v>
      </x:c>
      <x:c r="C8" s="89" t="n">
        <x:f>Assumptions!$C$9</x:f>
        <x:v>72</x:v>
      </x:c>
      <x:c r="D8" s="89" t="n">
        <x:f>C8*'Topology Library'!D8</x:f>
        <x:v>0</x:v>
      </x:c>
      <x:c r="E8" s="89" t="n">
        <x:f>C8*'Topology Library'!H8</x:f>
        <x:v>720</x:v>
      </x:c>
      <x:c r="F8" s="89" t="n">
        <x:f>C8*'Topology Library'!H8</x:f>
        <x:v>720</x:v>
      </x:c>
      <x:c r="G8" s="89" t="n">
        <x:f>C8*'Topology Library'!H8</x:f>
        <x:v>720</x:v>
      </x:c>
      <x:c r="H8" s="89" t="n">
        <x:f>IF('Topology Library'!F8=4,C8*'Topology Library'!H8,0)</x:f>
        <x:v>0</x:v>
      </x:c>
      <x:c r="I8" s="89" t="n">
        <x:f>SUM(D8:H8)</x:f>
        <x:v>2160</x:v>
      </x:c>
      <x:c r="J8" s="90" t="n">
        <x:f>D8*Assumptions!$E$22</x:f>
        <x:v>0</x:v>
      </x:c>
      <x:c r="K8" s="90" t="n">
        <x:f>E8*Assumptions!$E$23+F8*Assumptions!$E$24+G8*Assumptions!$E$25</x:f>
        <x:v>6132.24</x:v>
      </x:c>
      <x:c r="L8" s="90" t="n">
        <x:f>H8*Assumptions!$E$26</x:f>
        <x:v>0</x:v>
      </x:c>
      <x:c r="M8" s="90" t="n">
        <x:f>SUM(J8:L8)</x:f>
        <x:v>6132.24</x:v>
      </x:c>
      <x:c r="N8" s="90" t="n">
        <x:f>Assumptions!$I$24</x:f>
        <x:v>2129.4272</x:v>
      </x:c>
      <x:c r="O8" s="90" t="n">
        <x:f>Assumptions!$I$27</x:f>
        <x:v>140</x:v>
      </x:c>
      <x:c r="P8" s="90" t="n">
        <x:f>J8*Assumptions!$C$33+K8*Assumptions!$C$34+L8*Assumptions!$C$35+N8*Assumptions!$C$32+O8*Assumptions!$C$36</x:f>
        <x:v>6521.19312</x:v>
      </x:c>
      <x:c r="Q8" s="90" t="n">
        <x:f>SUM(M8:O8)</x:f>
        <x:v>8401.6672</x:v>
      </x:c>
      <x:c r="R8" s="91" t="n">
        <x:f>J8*Assumptions!$E$33+K8*Assumptions!$E$34+L8*Assumptions!$E$35+N8*Assumptions!$E$32+O8*Assumptions!$E$36</x:f>
        <x:v>11749.532</x:v>
      </x:c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</x:row>
    <x:row r="9">
      <x:c r="B9" s="89" t="str">
        <x:f>'Topology Library'!B9&amp;" — "&amp;'Topology Library'!C9</x:f>
        <x:v>T2 — Concentrated forward anchor</x:v>
      </x:c>
      <x:c r="C9" s="89" t="n">
        <x:f>Assumptions!$C$9</x:f>
        <x:v>72</x:v>
      </x:c>
      <x:c r="D9" s="89" t="n">
        <x:f>C9*'Topology Library'!D9</x:f>
        <x:v>648</x:v>
      </x:c>
      <x:c r="E9" s="89" t="n">
        <x:f>C9*'Topology Library'!H9</x:f>
        <x:v>72</x:v>
      </x:c>
      <x:c r="F9" s="89" t="n">
        <x:f>C9*'Topology Library'!H9</x:f>
        <x:v>72</x:v>
      </x:c>
      <x:c r="G9" s="89" t="n">
        <x:f>C9*'Topology Library'!H9</x:f>
        <x:v>72</x:v>
      </x:c>
      <x:c r="H9" s="89" t="n">
        <x:f>IF('Topology Library'!F9=4,C9*'Topology Library'!H9,0)</x:f>
        <x:v>0</x:v>
      </x:c>
      <x:c r="I9" s="89" t="n">
        <x:f>SUM(D9:H9)</x:f>
        <x:v>864</x:v>
      </x:c>
      <x:c r="J9" s="90" t="n">
        <x:f>D9*Assumptions!$E$22</x:f>
        <x:v>1594.08</x:v>
      </x:c>
      <x:c r="K9" s="90" t="n">
        <x:f>E9*Assumptions!$E$23+F9*Assumptions!$E$24+G9*Assumptions!$E$25</x:f>
        <x:v>613.2239999999999</x:v>
      </x:c>
      <x:c r="L9" s="90" t="n">
        <x:f>H9*Assumptions!$E$26</x:f>
        <x:v>0</x:v>
      </x:c>
      <x:c r="M9" s="90" t="n">
        <x:f>SUM(J9:L9)</x:f>
        <x:v>2207.304</x:v>
      </x:c>
      <x:c r="N9" s="90" t="n">
        <x:f>Assumptions!$I$24</x:f>
        <x:v>2129.4272</x:v>
      </x:c>
      <x:c r="O9" s="90" t="n">
        <x:f>Assumptions!$I$27</x:f>
        <x:v>140</x:v>
      </x:c>
      <x:c r="P9" s="90" t="n">
        <x:f>J9*Assumptions!$C$33+K9*Assumptions!$C$34+L9*Assumptions!$C$35+N9*Assumptions!$C$32+O9*Assumptions!$C$36</x:f>
        <x:v>3657.1951200000003</x:v>
      </x:c>
      <x:c r="Q9" s="90" t="n">
        <x:f>SUM(M9:O9)</x:f>
        <x:v>4476.7312</x:v>
      </x:c>
      <x:c r="R9" s="91" t="n">
        <x:f>J9*Assumptions!$E$33+K9*Assumptions!$E$34+L9*Assumptions!$E$35+N9*Assumptions!$E$32+O9*Assumptions!$E$36</x:f>
        <x:v>5898.9668</x:v>
      </x:c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</x:row>
    <x:row r="10">
      <x:c r="B10" s="89" t="str">
        <x:f>'Topology Library'!B10&amp;" — "&amp;'Topology Library'!C10</x:f>
        <x:v>T3 — Federated forward lattice</x:v>
      </x:c>
      <x:c r="C10" s="89" t="n">
        <x:f>Assumptions!$C$9</x:f>
        <x:v>72</x:v>
      </x:c>
      <x:c r="D10" s="89" t="n">
        <x:f>C10*'Topology Library'!D10</x:f>
        <x:v>648</x:v>
      </x:c>
      <x:c r="E10" s="89" t="n">
        <x:f>C10*'Topology Library'!H10</x:f>
        <x:v>144</x:v>
      </x:c>
      <x:c r="F10" s="89" t="n">
        <x:f>C10*'Topology Library'!H10</x:f>
        <x:v>144</x:v>
      </x:c>
      <x:c r="G10" s="89" t="n">
        <x:f>C10*'Topology Library'!H10</x:f>
        <x:v>144</x:v>
      </x:c>
      <x:c r="H10" s="89" t="n">
        <x:f>IF('Topology Library'!F10=4,C10*'Topology Library'!H10,0)</x:f>
        <x:v>0</x:v>
      </x:c>
      <x:c r="I10" s="89" t="n">
        <x:f>SUM(D10:H10)</x:f>
        <x:v>1080</x:v>
      </x:c>
      <x:c r="J10" s="90" t="n">
        <x:f>D10*Assumptions!$E$22</x:f>
        <x:v>1594.08</x:v>
      </x:c>
      <x:c r="K10" s="90" t="n">
        <x:f>E10*Assumptions!$E$23+F10*Assumptions!$E$24+G10*Assumptions!$E$25</x:f>
        <x:v>1226.4479999999999</x:v>
      </x:c>
      <x:c r="L10" s="90" t="n">
        <x:f>H10*Assumptions!$E$26</x:f>
        <x:v>0</x:v>
      </x:c>
      <x:c r="M10" s="90" t="n">
        <x:f>SUM(J10:L10)</x:f>
        <x:v>2820.528</x:v>
      </x:c>
      <x:c r="N10" s="90" t="n">
        <x:f>Assumptions!$I$24</x:f>
        <x:v>2129.4272</x:v>
      </x:c>
      <x:c r="O10" s="90" t="n">
        <x:f>Assumptions!$I$27</x:f>
        <x:v>140</x:v>
      </x:c>
      <x:c r="P10" s="90" t="n">
        <x:f>J10*Assumptions!$C$33+K10*Assumptions!$C$34+L10*Assumptions!$C$35+N10*Assumptions!$C$32+O10*Assumptions!$C$36</x:f>
        <x:v>4117.11312</x:v>
      </x:c>
      <x:c r="Q10" s="90" t="n">
        <x:f>SUM(M10:O10)</x:f>
        <x:v>5089.9552</x:v>
      </x:c>
      <x:c r="R10" s="91" t="n">
        <x:f>J10*Assumptions!$E$33+K10*Assumptions!$E$34+L10*Assumptions!$E$35+N10*Assumptions!$E$32+O10*Assumptions!$E$36</x:f>
        <x:v>6788.141600000001</x:v>
      </x:c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</x:row>
    <x:row r="11">
      <x:c r="B11" s="89" t="str">
        <x:f>'Topology Library'!B11&amp;" — "&amp;'Topology Library'!C11</x:f>
        <x:v>T4 — Balanced six-cell hybrid</x:v>
      </x:c>
      <x:c r="C11" s="89" t="n">
        <x:f>Assumptions!$C$9</x:f>
        <x:v>72</x:v>
      </x:c>
      <x:c r="D11" s="89" t="n">
        <x:f>C11*'Topology Library'!D11</x:f>
        <x:v>432</x:v>
      </x:c>
      <x:c r="E11" s="89" t="n">
        <x:f>C11*'Topology Library'!H11</x:f>
        <x:v>288</x:v>
      </x:c>
      <x:c r="F11" s="89" t="n">
        <x:f>C11*'Topology Library'!H11</x:f>
        <x:v>288</x:v>
      </x:c>
      <x:c r="G11" s="89" t="n">
        <x:f>C11*'Topology Library'!H11</x:f>
        <x:v>288</x:v>
      </x:c>
      <x:c r="H11" s="89" t="n">
        <x:f>IF('Topology Library'!F11=4,C11*'Topology Library'!H11,0)</x:f>
        <x:v>0</x:v>
      </x:c>
      <x:c r="I11" s="89" t="n">
        <x:f>SUM(D11:H11)</x:f>
        <x:v>1296</x:v>
      </x:c>
      <x:c r="J11" s="90" t="n">
        <x:f>D11*Assumptions!$E$22</x:f>
        <x:v>1062.72</x:v>
      </x:c>
      <x:c r="K11" s="90" t="n">
        <x:f>E11*Assumptions!$E$23+F11*Assumptions!$E$24+G11*Assumptions!$E$25</x:f>
        <x:v>2452.8959999999997</x:v>
      </x:c>
      <x:c r="L11" s="90" t="n">
        <x:f>H11*Assumptions!$E$26</x:f>
        <x:v>0</x:v>
      </x:c>
      <x:c r="M11" s="90" t="n">
        <x:f>SUM(J11:L11)</x:f>
        <x:v>3515.616</x:v>
      </x:c>
      <x:c r="N11" s="90" t="n">
        <x:f>Assumptions!$I$24</x:f>
        <x:v>2129.4272</x:v>
      </x:c>
      <x:c r="O11" s="90" t="n">
        <x:f>Assumptions!$I$27</x:f>
        <x:v>140</x:v>
      </x:c>
      <x:c r="P11" s="90" t="n">
        <x:f>J11*Assumptions!$C$33+K11*Assumptions!$C$34+L11*Assumptions!$C$35+N11*Assumptions!$C$32+O11*Assumptions!$C$36</x:f>
        <x:v>4611.86112</x:v>
      </x:c>
      <x:c r="Q11" s="90" t="n">
        <x:f>SUM(M11:O11)</x:f>
        <x:v>5785.0432</x:v>
      </x:c>
      <x:c r="R11" s="91" t="n">
        <x:f>J11*Assumptions!$E$33+K11*Assumptions!$E$34+L11*Assumptions!$E$35+N11*Assumptions!$E$32+O11*Assumptions!$E$36</x:f>
        <x:v>7849.155199999999</x:v>
      </x:c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</x:row>
    <x:row r="12">
      <x:c r="B12" s="89" t="str">
        <x:f>'Topology Library'!B12&amp;" — "&amp;'Topology Library'!C12</x:f>
        <x:v>T5 — Four-path expeditionary lattice</x:v>
      </x:c>
      <x:c r="C12" s="89" t="n">
        <x:f>Assumptions!$C$9</x:f>
        <x:v>72</x:v>
      </x:c>
      <x:c r="D12" s="89" t="n">
        <x:f>C12*'Topology Library'!D12</x:f>
        <x:v>0</x:v>
      </x:c>
      <x:c r="E12" s="89" t="n">
        <x:f>C12*'Topology Library'!H12</x:f>
        <x:v>360</x:v>
      </x:c>
      <x:c r="F12" s="89" t="n">
        <x:f>C12*'Topology Library'!H12</x:f>
        <x:v>360</x:v>
      </x:c>
      <x:c r="G12" s="89" t="n">
        <x:f>C12*'Topology Library'!H12</x:f>
        <x:v>360</x:v>
      </x:c>
      <x:c r="H12" s="89" t="n">
        <x:f>IF('Topology Library'!F12=4,C12*'Topology Library'!H12,0)</x:f>
        <x:v>360</x:v>
      </x:c>
      <x:c r="I12" s="89" t="n">
        <x:f>SUM(D12:H12)</x:f>
        <x:v>1440</x:v>
      </x:c>
      <x:c r="J12" s="90" t="n">
        <x:f>D12*Assumptions!$E$22</x:f>
        <x:v>0</x:v>
      </x:c>
      <x:c r="K12" s="90" t="n">
        <x:f>E12*Assumptions!$E$23+F12*Assumptions!$E$24+G12*Assumptions!$E$25</x:f>
        <x:v>3066.12</x:v>
      </x:c>
      <x:c r="L12" s="90" t="n">
        <x:f>H12*Assumptions!$E$26</x:f>
        <x:v>1620</x:v>
      </x:c>
      <x:c r="M12" s="90" t="n">
        <x:f>SUM(J12:L12)</x:f>
        <x:v>4686.12</x:v>
      </x:c>
      <x:c r="N12" s="90" t="n">
        <x:f>Assumptions!$I$24</x:f>
        <x:v>2129.4272</x:v>
      </x:c>
      <x:c r="O12" s="90" t="n">
        <x:f>Assumptions!$I$27</x:f>
        <x:v>140</x:v>
      </x:c>
      <x:c r="P12" s="90" t="n">
        <x:f>J12*Assumptions!$C$33+K12*Assumptions!$C$34+L12*Assumptions!$C$35+N12*Assumptions!$C$32+O12*Assumptions!$C$36</x:f>
        <x:v>5193.60312</x:v>
      </x:c>
      <x:c r="Q12" s="90" t="n">
        <x:f>SUM(M12:O12)</x:f>
        <x:v>6955.5472</x:v>
      </x:c>
      <x:c r="R12" s="91" t="n">
        <x:f>J12*Assumptions!$E$33+K12*Assumptions!$E$34+L12*Assumptions!$E$35+N12*Assumptions!$E$32+O12*Assumptions!$E$36</x:f>
        <x:v>10138.658</x:v>
      </x:c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</x:row>
    <x:row r="13">
      <x:c r="B13" s="89" t="str">
        <x:f>'Topology Library'!B13&amp;" — "&amp;'Topology Library'!C13</x:f>
        <x:v>T6 — Layered eight-cell lattice</x:v>
      </x:c>
      <x:c r="C13" s="89" t="n">
        <x:f>Assumptions!$C$9</x:f>
        <x:v>72</x:v>
      </x:c>
      <x:c r="D13" s="89" t="n">
        <x:f>C13*'Topology Library'!D13</x:f>
        <x:v>576</x:v>
      </x:c>
      <x:c r="E13" s="89" t="n">
        <x:f>C13*'Topology Library'!H13</x:f>
        <x:v>144</x:v>
      </x:c>
      <x:c r="F13" s="89" t="n">
        <x:f>C13*'Topology Library'!H13</x:f>
        <x:v>144</x:v>
      </x:c>
      <x:c r="G13" s="89" t="n">
        <x:f>C13*'Topology Library'!H13</x:f>
        <x:v>144</x:v>
      </x:c>
      <x:c r="H13" s="89" t="n">
        <x:f>IF('Topology Library'!F13=4,C13*'Topology Library'!H13,0)</x:f>
        <x:v>144</x:v>
      </x:c>
      <x:c r="I13" s="89" t="n">
        <x:f>SUM(D13:H13)</x:f>
        <x:v>1152</x:v>
      </x:c>
      <x:c r="J13" s="90" t="n">
        <x:f>D13*Assumptions!$E$22</x:f>
        <x:v>1416.96</x:v>
      </x:c>
      <x:c r="K13" s="90" t="n">
        <x:f>E13*Assumptions!$E$23+F13*Assumptions!$E$24+G13*Assumptions!$E$25</x:f>
        <x:v>1226.4479999999999</x:v>
      </x:c>
      <x:c r="L13" s="90" t="n">
        <x:f>H13*Assumptions!$E$26</x:f>
        <x:v>648</x:v>
      </x:c>
      <x:c r="M13" s="90" t="n">
        <x:f>SUM(J13:L13)</x:f>
        <x:v>3291.408</x:v>
      </x:c>
      <x:c r="N13" s="90" t="n">
        <x:f>Assumptions!$I$24</x:f>
        <x:v>2129.4272</x:v>
      </x:c>
      <x:c r="O13" s="90" t="n">
        <x:f>Assumptions!$I$27</x:f>
        <x:v>140</x:v>
      </x:c>
      <x:c r="P13" s="90" t="n">
        <x:f>J13*Assumptions!$C$33+K13*Assumptions!$C$34+L13*Assumptions!$C$35+N13*Assumptions!$C$32+O13*Assumptions!$C$36</x:f>
        <x:v>4364.21712</x:v>
      </x:c>
      <x:c r="Q13" s="90" t="n">
        <x:f>SUM(M13:O13)</x:f>
        <x:v>5560.8351999999995</x:v>
      </x:c>
      <x:c r="R13" s="91" t="n">
        <x:f>J13*Assumptions!$E$33+K13*Assumptions!$E$34+L13*Assumptions!$E$35+N13*Assumptions!$E$32+O13*Assumptions!$E$36</x:f>
        <x:v>7683.0296</x:v>
      </x:c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</x:row>
    <x:row r="14">
      <x:c r="B14" s="89" t="str">
        <x:f>'Topology Library'!B14&amp;" — "&amp;'Topology Library'!C14</x:f>
        <x:v>T7 — Ten-island neighborhood lattice</x:v>
      </x:c>
      <x:c r="C14" s="89" t="n">
        <x:f>Assumptions!$C$9</x:f>
        <x:v>72</x:v>
      </x:c>
      <x:c r="D14" s="89" t="n">
        <x:f>C14*'Topology Library'!D14</x:f>
        <x:v>720</x:v>
      </x:c>
      <x:c r="E14" s="89" t="n">
        <x:f>C14*'Topology Library'!H14</x:f>
        <x:v>72</x:v>
      </x:c>
      <x:c r="F14" s="89" t="n">
        <x:f>C14*'Topology Library'!H14</x:f>
        <x:v>72</x:v>
      </x:c>
      <x:c r="G14" s="89" t="n">
        <x:f>C14*'Topology Library'!H14</x:f>
        <x:v>72</x:v>
      </x:c>
      <x:c r="H14" s="89" t="n">
        <x:f>IF('Topology Library'!F14=4,C14*'Topology Library'!H14,0)</x:f>
        <x:v>0</x:v>
      </x:c>
      <x:c r="I14" s="89" t="n">
        <x:f>SUM(D14:H14)</x:f>
        <x:v>936</x:v>
      </x:c>
      <x:c r="J14" s="90" t="n">
        <x:f>D14*Assumptions!$E$22</x:f>
        <x:v>1771.2</x:v>
      </x:c>
      <x:c r="K14" s="90" t="n">
        <x:f>E14*Assumptions!$E$23+F14*Assumptions!$E$24+G14*Assumptions!$E$25</x:f>
        <x:v>613.2239999999999</x:v>
      </x:c>
      <x:c r="L14" s="90" t="n">
        <x:f>H14*Assumptions!$E$26</x:f>
        <x:v>0</x:v>
      </x:c>
      <x:c r="M14" s="90" t="n">
        <x:f>SUM(J14:L14)</x:f>
        <x:v>2384.424</x:v>
      </x:c>
      <x:c r="N14" s="90" t="n">
        <x:f>Assumptions!$I$24</x:f>
        <x:v>2129.4272</x:v>
      </x:c>
      <x:c r="O14" s="90" t="n">
        <x:f>Assumptions!$I$27</x:f>
        <x:v>140</x:v>
      </x:c>
      <x:c r="P14" s="90" t="n">
        <x:f>J14*Assumptions!$C$33+K14*Assumptions!$C$34+L14*Assumptions!$C$35+N14*Assumptions!$C$32+O14*Assumptions!$C$36</x:f>
        <x:v>3798.8911200000002</x:v>
      </x:c>
      <x:c r="Q14" s="90" t="n">
        <x:f>SUM(M14:O14)</x:f>
        <x:v>4653.8512</x:v>
      </x:c>
      <x:c r="R14" s="91" t="n">
        <x:f>J14*Assumptions!$E$33+K14*Assumptions!$E$34+L14*Assumptions!$E$35+N14*Assumptions!$E$32+O14*Assumptions!$E$36</x:f>
        <x:v>6138.0788</x:v>
      </x:c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</x:row>
    <x:row r="15">
      <x:c r="B15" s="89"/>
      <x:c r="C15" s="89"/>
      <x:c r="D15" s="89"/>
      <x:c r="E15" s="89"/>
      <x:c r="F15" s="89"/>
      <x:c r="G15" s="89"/>
      <x:c r="H15" s="89"/>
      <x:c r="I15" s="89"/>
      <x:c r="J15" s="90"/>
      <x:c r="K15" s="90"/>
      <x:c r="L15" s="90"/>
      <x:c r="M15" s="90"/>
      <x:c r="N15" s="90"/>
      <x:c r="O15" s="90"/>
      <x:c r="P15" s="90"/>
      <x:c r="Q15" s="90"/>
      <x:c r="R15" s="91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</x:row>
    <x:row r="16">
      <x:c r="B16" s="92" t="str">
        <x:v>P1 — geography-assigned layered portfolio</x:v>
      </x:c>
      <x:c r="C16" s="92" t="n">
        <x:f>SUM('SCA Allocation'!$O$8:$O$39)</x:f>
        <x:v>72</x:v>
      </x:c>
      <x:c r="D16" s="92" t="n">
        <x:f>SUMPRODUCT('SCA Allocation'!$O$8:$O$39,'SCA Allocation'!$R$8:$R$39)</x:f>
        <x:v>607</x:v>
      </x:c>
      <x:c r="E16" s="92" t="n">
        <x:f>SUMPRODUCT('SCA Allocation'!$O$8:$O$39,'SCA Allocation'!$T$8:$T$39)</x:f>
        <x:v>153</x:v>
      </x:c>
      <x:c r="F16" s="92" t="n">
        <x:f>SUMPRODUCT('SCA Allocation'!$O$8:$O$39,'SCA Allocation'!$T$8:$T$39)</x:f>
        <x:v>153</x:v>
      </x:c>
      <x:c r="G16" s="92" t="n">
        <x:f>SUMPRODUCT('SCA Allocation'!$O$8:$O$39,'SCA Allocation'!$T$8:$T$39)</x:f>
        <x:v>153</x:v>
      </x:c>
      <x:c r="H16" s="92" t="n">
        <x:f>SUMPRODUCT('SCA Allocation'!$O$8:$O$39,'SCA Allocation'!$W$8:$W$39)</x:f>
        <x:v>22</x:v>
      </x:c>
      <x:c r="I16" s="92" t="n">
        <x:f>SUM(D16:H16)</x:f>
        <x:v>1088</x:v>
      </x:c>
      <x:c r="J16" s="93" t="n">
        <x:f>D16*Assumptions!$E$22</x:f>
        <x:v>1493.22</x:v>
      </x:c>
      <x:c r="K16" s="93" t="n">
        <x:f>E16*Assumptions!$E$23+F16*Assumptions!$E$24+G16*Assumptions!$E$25</x:f>
        <x:v>1303.101</x:v>
      </x:c>
      <x:c r="L16" s="93" t="n">
        <x:f>H16*Assumptions!$E$26</x:f>
        <x:v>99</x:v>
      </x:c>
      <x:c r="M16" s="93" t="n">
        <x:f>SUM(J16:L16)</x:f>
        <x:v>2895.321</x:v>
      </x:c>
      <x:c r="N16" s="93" t="n">
        <x:f>Assumptions!$I$24</x:f>
        <x:v>2129.4272</x:v>
      </x:c>
      <x:c r="O16" s="93" t="n">
        <x:f>Assumptions!$I$27</x:f>
        <x:v>140</x:v>
      </x:c>
      <x:c r="P16" s="93" t="n">
        <x:f>J16*Assumptions!$C$33+K16*Assumptions!$C$34+L16*Assumptions!$C$35+N16*Assumptions!$C$32+O16*Assumptions!$C$36</x:f>
        <x:v>4153.31487</x:v>
      </x:c>
      <x:c r="Q16" s="93" t="n">
        <x:f>SUM(M16:O16)</x:f>
        <x:v>5164.7482</x:v>
      </x:c>
      <x:c r="R16" s="94" t="n">
        <x:f>J16*Assumptions!$E$33+K16*Assumptions!$E$34+L16*Assumptions!$E$35+N16*Assumptions!$E$32+O16*Assumptions!$E$36</x:f>
        <x:v>6936.37745</x:v>
      </x:c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</x:row>
    <x:row r="17"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</x:row>
    <x:row r="18">
      <x:c r="B18" s="8" t="str">
        <x:v>Interpretation</x:v>
      </x:c>
      <x:c r="C18" s="9" t="str">
        <x:v>Interpretation</x:v>
      </x:c>
      <x:c r="D18" s="9" t="str">
        <x:v>Interpretation</x:v>
      </x:c>
      <x:c r="E18" s="9" t="str">
        <x:v>Interpretation</x:v>
      </x:c>
      <x:c r="F18" s="9" t="str">
        <x:v>Interpretation</x:v>
      </x:c>
      <x:c r="G18" s="9" t="str">
        <x:v>Interpretation</x:v>
      </x:c>
      <x:c r="H18" s="10" t="str">
        <x:v>Interpretation</x:v>
      </x:c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</x:row>
    <x:row r="19">
      <x:c r="B19" s="24" t="str">
        <x:v>Finding</x:v>
      </x:c>
      <x:c r="C19" s="25" t="str">
        <x:v>Result</x:v>
      </x:c>
      <x:c r="D19" s="25" t="str">
        <x:v>Boundary</x:v>
      </x:c>
      <x:c r="E19" s="25"/>
      <x:c r="F19" s="25"/>
      <x:c r="G19" s="25"/>
      <x:c r="H19" s="25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</x:row>
    <x:row r="20">
      <x:c r="B20" s="26" t="str">
        <x:v>Lowest-cost topology that closes W07</x:v>
      </x:c>
      <x:c r="C20" s="26" t="str">
        <x:v>T7 ten-island neighborhood lattice</x:v>
      </x:c>
      <x:c r="D20" s="26" t="str">
        <x:v>requires ten independently releasable one-cell islands plus one cell per legacy mode</x:v>
      </x:c>
      <x:c r="E20" s="26"/>
      <x:c r="F20" s="26"/>
      <x:c r="G20" s="26"/>
      <x:c r="H20" s="28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</x:row>
    <x:row r="21">
      <x:c r="B21" s="26" t="str">
        <x:v>T7 inventory</x:v>
      </x:c>
      <x:c r="C21" s="26" t="n">
        <x:v>13</x:v>
      </x:c>
      <x:c r="D21" s="26" t="str">
        <x:v>packages per group</x:v>
      </x:c>
      <x:c r="E21" s="26"/>
      <x:c r="F21" s="26"/>
      <x:c r="G21" s="26"/>
      <x:c r="H21" s="28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</x:row>
    <x:row r="22">
      <x:c r="B22" s="26" t="str">
        <x:v>T7 retained service in W07</x:v>
      </x:c>
      <x:c r="C22" s="26" t="n">
        <x:v>10</x:v>
      </x:c>
      <x:c r="D22" s="26" t="str">
        <x:v>complete cells</x:v>
      </x:c>
      <x:c r="E22" s="26"/>
      <x:c r="F22" s="26"/>
      <x:c r="G22" s="26"/>
      <x:c r="H22" s="28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</x:row>
    <x:row r="23">
      <x:c r="B23" s="26" t="str">
        <x:v>Fourth-path fiscal value</x:v>
      </x:c>
      <x:c r="C23" s="95" t="n">
        <x:f>Q8-Q12</x:f>
        <x:v>1446.12</x:v>
      </x:c>
      <x:c r="D23" s="26" t="str">
        <x:v>T5 versus T1 before proving risk</x:v>
      </x:c>
      <x:c r="E23" s="26"/>
      <x:c r="F23" s="26"/>
      <x:c r="G23" s="26"/>
      <x:c r="H23" s="28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</x:row>
    <x:row r="24">
      <x:c r="B24" s="29" t="str">
        <x:v>Decision state</x:v>
      </x:c>
      <x:c r="C24" s="29" t="str">
        <x:v>RESEARCH PORTFOLIO ONLY</x:v>
      </x:c>
      <x:c r="D24" s="29" t="str">
        <x:v>no topology admitted; fourth-path maturity remains zero</x:v>
      </x:c>
      <x:c r="E24" s="29"/>
      <x:c r="F24" s="29"/>
      <x:c r="G24" s="29"/>
      <x:c r="H24" s="31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</x:row>
    <x:row r="25"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</x:row>
    <x:row r="26"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</x:row>
    <x:row r="27"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</x:row>
    <x:row r="28"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</x:row>
    <x:row r="29"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</x:row>
    <x:row r="30"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</x:row>
    <x:row r="31"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</x:row>
    <x:row r="32"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</x:row>
    <x:row r="33"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</x:row>
    <x:row r="34"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</x:row>
    <x:row r="35"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</x:row>
    <x:row r="36"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</x:row>
    <x:row r="37"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</x:row>
    <x:row r="38"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</x:row>
    <x:row r="39"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</x:row>
    <x:row r="40"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</x:row>
    <x:row r="41"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</x:row>
    <x:row r="42"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</x:row>
    <x:row r="43"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</x:row>
    <x:row r="44"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</x:row>
    <x:row r="45"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</x:row>
    <x:row r="46"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</x:row>
    <x:row r="47"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</x:row>
    <x:row r="48"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</x:row>
    <x:row r="49"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</x:row>
    <x:row r="50"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</x:row>
    <x:row r="51"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</x:row>
    <x:row r="52"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</x:row>
    <x:row r="53"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</x:row>
    <x:row r="54"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</x:row>
    <x:row r="55"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</x:row>
    <x:row r="56"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</x:row>
    <x:row r="57"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</x:row>
    <x:row r="58"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</x:row>
    <x:row r="59"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</x:row>
    <x:row r="60"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</x:row>
    <x:row r="61"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</x:row>
    <x:row r="62"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</x:row>
    <x:row r="63"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</x:row>
    <x:row r="64"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</x:row>
    <x:row r="65"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</x:row>
    <x:row r="66"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</x:row>
    <x:row r="67"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</x:row>
    <x:row r="68"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</x:row>
    <x:row r="69"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</x:row>
    <x:row r="70"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</x:row>
    <x:row r="71"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</x:row>
    <x:row r="72"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</x:row>
    <x:row r="73"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</x:row>
    <x:row r="74"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</x:row>
    <x:row r="75"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</x:row>
    <x:row r="76"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</x:row>
    <x:row r="77"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</x:row>
    <x:row r="78"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</x:row>
    <x:row r="79"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</x:row>
    <x:row r="80"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</x:row>
    <x:row r="81"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</x:row>
    <x:row r="82"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</x:row>
    <x:row r="83"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</x:row>
    <x:row r="84"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</x:row>
    <x:row r="85"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</x:row>
    <x:row r="86"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</x:row>
    <x:row r="87"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</x:row>
    <x:row r="88"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</x:row>
    <x:row r="89"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</x:row>
    <x:row r="90"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</x:row>
    <x:row r="91"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</x:row>
    <x:row r="92"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</x:row>
    <x:row r="93"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</x:row>
    <x:row r="94"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</x:row>
    <x:row r="95"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</x:row>
    <x:row r="96"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</x:row>
    <x:row r="97"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</x:row>
    <x:row r="98"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</x:row>
    <x:row r="99"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</x:row>
    <x:row r="100"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</x:row>
    <x:row r="101"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</x:row>
    <x:row r="102"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</x:row>
    <x:row r="103"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</x:row>
    <x:row r="104"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</x:row>
    <x:row r="105"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</x:row>
    <x:row r="106"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</x:row>
    <x:row r="107"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</x:row>
    <x:row r="108"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</x:row>
    <x:row r="109"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</x:row>
    <x:row r="110"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</x:row>
    <x:row r="111"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</x:row>
    <x:row r="112"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</x:row>
    <x:row r="113"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</x:row>
    <x:row r="114"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</x:row>
    <x:row r="115"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</x:row>
    <x:row r="116"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</x:row>
    <x:row r="117"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</x:row>
    <x:row r="118"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</x:row>
    <x:row r="119"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</x:row>
    <x:row r="120"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</x:row>
    <x:row r="121"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</x:row>
    <x:row r="122"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</x:row>
    <x:row r="123"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</x:row>
    <x:row r="124"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</x:row>
    <x:row r="125"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</x:row>
    <x:row r="126"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</x:row>
    <x:row r="127"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</x:row>
    <x:row r="128"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</x:row>
    <x:row r="129"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</x:row>
    <x:row r="130"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</x:row>
    <x:row r="131"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</x:row>
    <x:row r="132"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</x:row>
    <x:row r="133"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</x:row>
    <x:row r="134"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</x:row>
    <x:row r="135"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</x:row>
    <x:row r="136"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</x:row>
    <x:row r="137"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</x:row>
    <x:row r="138"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</x:row>
    <x:row r="139"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</x:row>
    <x:row r="140"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</x:row>
    <x:row r="141"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</x:row>
    <x:row r="142"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</x:row>
    <x:row r="143"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</x:row>
    <x:row r="144"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</x:row>
    <x:row r="145"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</x:row>
    <x:row r="146"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</x:row>
    <x:row r="147"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</x:row>
    <x:row r="148"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</x:row>
    <x:row r="149"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</x:row>
    <x:row r="150"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</x:row>
    <x:row r="151"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</x:row>
    <x:row r="152"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</x:row>
    <x:row r="153"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</x:row>
    <x:row r="154"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</x:row>
    <x:row r="155"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</x:row>
    <x:row r="156"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</x:row>
    <x:row r="157"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</x:row>
    <x:row r="158"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</x:row>
    <x:row r="159"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</x:row>
    <x:row r="160"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</x:row>
    <x:row r="161"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</x:row>
    <x:row r="162"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</x:row>
    <x:row r="163"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</x:row>
    <x:row r="164"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</x:row>
    <x:row r="165"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</x:row>
    <x:row r="166"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</x:row>
    <x:row r="167"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</x:row>
    <x:row r="168"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</x:row>
    <x:row r="169"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</x:row>
    <x:row r="170"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</x:row>
    <x:row r="171"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</x:row>
    <x:row r="172"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</x:row>
    <x:row r="173"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</x:row>
    <x:row r="174"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</x:row>
    <x:row r="175"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</x:row>
    <x:row r="176"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</x:row>
    <x:row r="177"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</x:row>
    <x:row r="178"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</x:row>
    <x:row r="179"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</x:row>
    <x:row r="180"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</x:row>
    <x:row r="181"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</x:row>
    <x:row r="182"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</x:row>
    <x:row r="183"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</x:row>
    <x:row r="184"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</x:row>
    <x:row r="185"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</x:row>
    <x:row r="186"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</x:row>
    <x:row r="187"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</x:row>
    <x:row r="188"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</x:row>
    <x:row r="189"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</x:row>
    <x:row r="190"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</x:row>
    <x:row r="191"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</x:row>
    <x:row r="192"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</x:row>
    <x:row r="193"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</x:row>
    <x:row r="194"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</x:row>
    <x:row r="195"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</x:row>
    <x:row r="196"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</x:row>
    <x:row r="197"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</x:row>
    <x:row r="198"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</x:row>
    <x:row r="199"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</x:row>
    <x:row r="200"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</x:row>
    <x:row r="201"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</x:row>
    <x:row r="202"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</x:row>
    <x:row r="203"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</x:row>
    <x:row r="204"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</x:row>
    <x:row r="205"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</x:row>
    <x:row r="206"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</x:row>
    <x:row r="207"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</x:row>
    <x:row r="208"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</x:row>
    <x:row r="209"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</x:row>
    <x:row r="210"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</x:row>
    <x:row r="211"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</x:row>
    <x:row r="212"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</x:row>
    <x:row r="213"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</x:row>
    <x:row r="214"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</x:row>
    <x:row r="215"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</x:row>
    <x:row r="216"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</x:row>
    <x:row r="217"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</x:row>
    <x:row r="218"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</x:row>
    <x:row r="219"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</x:row>
    <x:row r="220"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</x:row>
    <x:row r="221"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</x:row>
    <x:row r="222"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</x:row>
    <x:row r="223"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</x:row>
    <x:row r="224"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</x:row>
    <x:row r="225"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</x:row>
    <x:row r="226"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</x:row>
    <x:row r="227"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</x:row>
    <x:row r="228"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</x:row>
    <x:row r="229"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</x:row>
    <x:row r="230"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</x:row>
    <x:row r="231"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</x:row>
    <x:row r="232"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</x:row>
    <x:row r="233"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</x:row>
    <x:row r="234"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</x:row>
    <x:row r="235"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</x:row>
    <x:row r="236"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</x:row>
    <x:row r="237"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</x:row>
    <x:row r="238"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</x:row>
    <x:row r="239"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</x:row>
    <x:row r="240"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</x:row>
    <x:row r="241"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</x:row>
    <x:row r="242"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</x:row>
    <x:row r="243"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</x:row>
    <x:row r="244"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</x:row>
    <x:row r="245"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</x:row>
    <x:row r="246"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</x:row>
    <x:row r="247"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</x:row>
    <x:row r="248"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</x:row>
    <x:row r="249"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</x:row>
    <x:row r="250"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</x:row>
    <x:row r="251"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</x:row>
    <x:row r="252"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</x:row>
    <x:row r="253"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</x:row>
    <x:row r="254"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</x:row>
    <x:row r="255"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</x:row>
    <x:row r="256"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</x:row>
    <x:row r="257"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</x:row>
    <x:row r="258"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</x:row>
    <x:row r="259"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</x:row>
    <x:row r="260"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</x:row>
    <x:row r="261"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</x:row>
    <x:row r="262"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</x:row>
    <x:row r="263"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</x:row>
    <x:row r="264"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</x:row>
    <x:row r="265"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</x:row>
    <x:row r="266"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</x:row>
    <x:row r="267"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</x:row>
    <x:row r="268"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</x:row>
    <x:row r="269"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</x:row>
    <x:row r="270"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</x:row>
    <x:row r="271"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</x:row>
    <x:row r="272"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</x:row>
    <x:row r="273"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</x:row>
    <x:row r="274"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</x:row>
    <x:row r="275"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</x:row>
    <x:row r="276"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</x:row>
    <x:row r="277"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</x:row>
    <x:row r="278"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</x:row>
    <x:row r="279"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</x:row>
    <x:row r="280"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</x:row>
    <x:row r="281"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</x:row>
    <x:row r="282"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</x:row>
    <x:row r="283"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</x:row>
    <x:row r="284"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</x:row>
    <x:row r="285"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</x:row>
    <x:row r="286"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</x:row>
    <x:row r="287"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</x:row>
    <x:row r="288"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</x:row>
    <x:row r="289"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</x:row>
    <x:row r="290"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</x:row>
    <x:row r="291"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</x:row>
    <x:row r="292"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</x:row>
    <x:row r="293"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</x:row>
    <x:row r="294"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</x:row>
    <x:row r="295"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</x:row>
    <x:row r="296"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</x:row>
    <x:row r="297"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</x:row>
    <x:row r="298"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</x:row>
    <x:row r="299"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</x:row>
    <x:row r="300"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</x:row>
    <x:row r="301"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</x:row>
    <x:row r="302"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</x:row>
    <x:row r="303"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</x:row>
    <x:row r="304"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</x:row>
    <x:row r="305"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</x:row>
    <x:row r="306"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</x:row>
    <x:row r="307"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</x:row>
    <x:row r="308"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</x:row>
    <x:row r="309"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</x:row>
    <x:row r="310"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</x:row>
    <x:row r="311"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</x:row>
    <x:row r="312"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</x:row>
    <x:row r="313"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</x:row>
    <x:row r="314"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</x:row>
    <x:row r="315"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</x:row>
    <x:row r="316"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</x:row>
    <x:row r="317"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</x:row>
    <x:row r="318"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</x:row>
    <x:row r="319"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</x:row>
    <x:row r="320"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</x:row>
  </x:sheetData>
  <x:mergeCells>
    <x:mergeCell ref="B6:R6"/>
    <x:mergeCell ref="B18:H18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2" max="2" width="15" hidden="0" customWidth="1"/>
    <x:col min="3" max="3" width="31" hidden="0" customWidth="1"/>
    <x:col min="4" max="4" width="16" hidden="0" customWidth="1"/>
    <x:col min="5" max="5" width="42" hidden="0" customWidth="1"/>
    <x:col min="6" max="6" width="38" hidden="0" customWidth="1"/>
    <x:col min="7" max="7" width="23" hidden="0" customWidth="1"/>
    <x:col min="8" max="8" width="13" hidden="0" customWidth="1"/>
    <x:col min="9" max="9" width="10" hidden="0" customWidth="1"/>
    <x:col min="10" max="10" width="24" hidden="0" customWidth="1"/>
    <x:col min="11" max="11" width="40" hidden="0" customWidth="1"/>
  </x:cols>
  <x:sheetData>
    <x:row r="2">
      <x:c r="B2" s="3" t="str">
        <x:v>Serialized failure ancestry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</x:row>
    <x:row r="3">
      <x:c r="B3" s="4" t="str">
        <x:v>Names do not establish independence; every credited domain requires a separable origin-to-effect chain</x:v>
      </x:c>
      <x:c r="C3" s="4"/>
      <x:c r="D3" s="4"/>
      <x:c r="E3" s="4"/>
      <x:c r="F3" s="4"/>
      <x:c r="G3" s="4"/>
      <x:c r="H3" s="4"/>
      <x:c r="I3" s="4"/>
      <x:c r="J3" s="4"/>
      <x:c r="K3" s="4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</x:row>
    <x:row r="6">
      <x:c r="B6" s="8" t="str">
        <x:v>National topology ancestry ledger</x:v>
      </x:c>
      <x:c r="C6" s="9" t="str">
        <x:v>National topology ancestry ledger</x:v>
      </x:c>
      <x:c r="D6" s="9" t="str">
        <x:v>National topology ancestry ledger</x:v>
      </x:c>
      <x:c r="E6" s="9" t="str">
        <x:v>National topology ancestry ledger</x:v>
      </x:c>
      <x:c r="F6" s="9" t="str">
        <x:v>National topology ancestry ledger</x:v>
      </x:c>
      <x:c r="G6" s="9" t="str">
        <x:v>National topology ancestry ledger</x:v>
      </x:c>
      <x:c r="H6" s="9" t="str">
        <x:v>National topology ancestry ledger</x:v>
      </x:c>
      <x:c r="I6" s="9" t="str">
        <x:v>National topology ancestry ledger</x:v>
      </x:c>
      <x:c r="J6" s="9" t="str">
        <x:v>National topology ancestry ledger</x:v>
      </x:c>
      <x:c r="K6" s="10" t="str">
        <x:v>National topology ancestry ledger</x:v>
      </x:c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</x:row>
    <x:row r="7">
      <x:c r="B7" s="24" t="str">
        <x:v>Domain</x:v>
      </x:c>
      <x:c r="C7" s="25" t="str">
        <x:v>Serialized object</x:v>
      </x:c>
      <x:c r="D7" s="25" t="str">
        <x:v>Claimed partitions</x:v>
      </x:c>
      <x:c r="E7" s="25" t="str">
        <x:v>Shared dependency to expose</x:v>
      </x:c>
      <x:c r="F7" s="25" t="str">
        <x:v>Minimum evidence</x:v>
      </x:c>
      <x:c r="G7" s="25" t="str">
        <x:v>Compound partner</x:v>
      </x:c>
      <x:c r="H7" s="25" t="str">
        <x:v>Credit now</x:v>
      </x:c>
      <x:c r="I7" s="25" t="str">
        <x:v>Gate</x:v>
      </x:c>
      <x:c r="J7" s="25" t="str">
        <x:v>Owner</x:v>
      </x:c>
      <x:c r="K7" s="25" t="str">
        <x:v>Failure consequence</x:v>
      </x:c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</x:row>
    <x:row r="8">
      <x:c r="B8" s="89" t="str">
        <x:v>Fixed</x:v>
      </x:c>
      <x:c r="C8" s="89" t="str">
        <x:v>prepared service island</x:v>
      </x:c>
      <x:c r="D8" s="89" t="n">
        <x:v>10</x:v>
      </x:c>
      <x:c r="E8" s="89" t="str">
        <x:v>floodplain, substation, district heat sink, workforce</x:v>
      </x:c>
      <x:c r="F8" s="89" t="str">
        <x:v>simultaneous island-loss exercise</x:v>
      </x:c>
      <x:c r="G8" s="89" t="str">
        <x:v>two access modes</x:v>
      </x:c>
      <x:c r="H8" s="89" t="n">
        <x:v>0</x:v>
      </x:c>
      <x:c r="I8" s="89" t="str">
        <x:v>A01</x:v>
      </x:c>
      <x:c r="J8" s="89" t="str">
        <x:v>receiving command</x:v>
      </x:c>
      <x:c r="K8" s="80" t="str">
        <x:v>forward cells removed</x:v>
      </x:c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</x:row>
    <x:row r="9">
      <x:c r="B9" s="89" t="str">
        <x:v>Fixed</x:v>
      </x:c>
      <x:c r="C9" s="89" t="str">
        <x:v>utility protection zone</x:v>
      </x:c>
      <x:c r="D9" s="89" t="n">
        <x:v>10</x:v>
      </x:c>
      <x:c r="E9" s="89" t="str">
        <x:v>common switchgear and firmware</x:v>
      </x:c>
      <x:c r="F9" s="89" t="str">
        <x:v>fault-injection and black-start test</x:v>
      </x:c>
      <x:c r="G9" s="89" t="str">
        <x:v>control loss</x:v>
      </x:c>
      <x:c r="H9" s="89" t="n">
        <x:v>0</x:v>
      </x:c>
      <x:c r="I9" s="89" t="str">
        <x:v>A02</x:v>
      </x:c>
      <x:c r="J9" s="89" t="str">
        <x:v>technical authority</x:v>
      </x:c>
      <x:c r="K9" s="80" t="str">
        <x:v>unsafe or unreleasable service</x:v>
      </x:c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</x:row>
    <x:row r="10">
      <x:c r="B10" s="89" t="str">
        <x:v>Fixed</x:v>
      </x:c>
      <x:c r="C10" s="89" t="str">
        <x:v>local stock custody</x:v>
      </x:c>
      <x:c r="D10" s="89" t="n">
        <x:v>10</x:v>
      </x:c>
      <x:c r="E10" s="89" t="str">
        <x:v>one warehouse, vendor or replenishment path</x:v>
      </x:c>
      <x:c r="F10" s="89" t="str">
        <x:v>inventory denial and substitution trial</x:v>
      </x:c>
      <x:c r="G10" s="89" t="str">
        <x:v>second mission</x:v>
      </x:c>
      <x:c r="H10" s="89" t="n">
        <x:v>0</x:v>
      </x:c>
      <x:c r="I10" s="89" t="str">
        <x:v>A03</x:v>
      </x:c>
      <x:c r="J10" s="89" t="str">
        <x:v>logistics command</x:v>
      </x:c>
      <x:c r="K10" s="80" t="str">
        <x:v>fixed cell incomplete</x:v>
      </x:c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</x:row>
    <x:row r="11">
      <x:c r="B11" s="89" t="str">
        <x:v>Road</x:v>
      </x:c>
      <x:c r="C11" s="89" t="str">
        <x:v>complete road cell chain</x:v>
      </x:c>
      <x:c r="D11" s="89" t="n">
        <x:v>4</x:v>
      </x:c>
      <x:c r="E11" s="89" t="str">
        <x:v>bridge corridor, fuel lot, prime mover family</x:v>
      </x:c>
      <x:c r="F11" s="89" t="str">
        <x:v>damaged-network launch-to-service trial</x:v>
      </x:c>
      <x:c r="G11" s="89" t="str">
        <x:v>source lineage</x:v>
      </x:c>
      <x:c r="H11" s="89" t="n">
        <x:v>0</x:v>
      </x:c>
      <x:c r="I11" s="89" t="str">
        <x:v>A04</x:v>
      </x:c>
      <x:c r="J11" s="89" t="str">
        <x:v>road systems prime</x:v>
      </x:c>
      <x:c r="K11" s="80" t="str">
        <x:v>road-domain cells lost</x:v>
      </x:c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</x:row>
    <x:row r="12">
      <x:c r="B12" s="89" t="str">
        <x:v>Rail</x:v>
      </x:c>
      <x:c r="C12" s="89" t="str">
        <x:v>complete rail cell chain</x:v>
      </x:c>
      <x:c r="D12" s="89" t="n">
        <x:v>4</x:v>
      </x:c>
      <x:c r="E12" s="89" t="str">
        <x:v>terminal, locomotive pool, siding release</x:v>
      </x:c>
      <x:c r="F12" s="89" t="str">
        <x:v>alternate-terminal end-to-end trial</x:v>
      </x:c>
      <x:c r="G12" s="89" t="str">
        <x:v>base loss</x:v>
      </x:c>
      <x:c r="H12" s="89" t="n">
        <x:v>0</x:v>
      </x:c>
      <x:c r="I12" s="89" t="str">
        <x:v>A05</x:v>
      </x:c>
      <x:c r="J12" s="89" t="str">
        <x:v>rail systems prime</x:v>
      </x:c>
      <x:c r="K12" s="80" t="str">
        <x:v>rail-domain cells lost</x:v>
      </x:c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</x:row>
    <x:row r="13">
      <x:c r="B13" s="89" t="str">
        <x:v>Water</x:v>
      </x:c>
      <x:c r="C13" s="89" t="str">
        <x:v>complete shallow-water cell chain</x:v>
      </x:c>
      <x:c r="D13" s="89" t="n">
        <x:v>4</x:v>
      </x:c>
      <x:c r="E13" s="89" t="str">
        <x:v>waterway reach, launch, assist craft, heat sink</x:v>
      </x:c>
      <x:c r="F13" s="89" t="str">
        <x:v>no-pier inland/coastal trial</x:v>
      </x:c>
      <x:c r="G13" s="89" t="str">
        <x:v>heat-sink loss</x:v>
      </x:c>
      <x:c r="H13" s="89" t="n">
        <x:v>0</x:v>
      </x:c>
      <x:c r="I13" s="89" t="str">
        <x:v>A06</x:v>
      </x:c>
      <x:c r="J13" s="89" t="str">
        <x:v>water systems prime</x:v>
      </x:c>
      <x:c r="K13" s="80" t="str">
        <x:v>water-domain cells lost</x:v>
      </x:c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</x:row>
    <x:row r="14">
      <x:c r="B14" s="89" t="str">
        <x:v>Fourth path</x:v>
      </x:c>
      <x:c r="C14" s="89" t="str">
        <x:v>clean-sheet complete access chain</x:v>
      </x:c>
      <x:c r="D14" s="89" t="n">
        <x:v>4</x:v>
      </x:c>
      <x:c r="E14" s="89" t="str">
        <x:v>airspace, weather, ground node, energy, receiver</x:v>
      </x:c>
      <x:c r="F14" s="89" t="str">
        <x:v>ten-cell two-route-loss campaign</x:v>
      </x:c>
      <x:c r="G14" s="89" t="str">
        <x:v>legacy-mode denial</x:v>
      </x:c>
      <x:c r="H14" s="89" t="n">
        <x:v>0</x:v>
      </x:c>
      <x:c r="I14" s="89" t="str">
        <x:v>A07</x:v>
      </x:c>
      <x:c r="J14" s="89" t="str">
        <x:v>advanced access office</x:v>
      </x:c>
      <x:c r="K14" s="80" t="str">
        <x:v>the lower package theorem does not apply</x:v>
      </x:c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</x:row>
    <x:row r="15">
      <x:c r="B15" s="89" t="str">
        <x:v>Source</x:v>
      </x:c>
      <x:c r="C15" s="89" t="str">
        <x:v>source and conversion lineage</x:v>
      </x:c>
      <x:c r="D15" s="89" t="n">
        <x:v>4</x:v>
      </x:c>
      <x:c r="E15" s="89" t="str">
        <x:v>fuel/feedstock, power electronics, controls</x:v>
      </x:c>
      <x:c r="F15" s="89" t="str">
        <x:v>cross-prime substitution under load</x:v>
      </x:c>
      <x:c r="G15" s="89" t="str">
        <x:v>one access mode</x:v>
      </x:c>
      <x:c r="H15" s="89" t="n">
        <x:v>0</x:v>
      </x:c>
      <x:c r="I15" s="89" t="str">
        <x:v>A08</x:v>
      </x:c>
      <x:c r="J15" s="89" t="str">
        <x:v>energy office</x:v>
      </x:c>
      <x:c r="K15" s="80" t="str">
        <x:v>largest ancestry bucket lost</x:v>
      </x:c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</x:row>
    <x:row r="16">
      <x:c r="B16" s="89" t="str">
        <x:v>Heat</x:v>
      </x:c>
      <x:c r="C16" s="89" t="str">
        <x:v>final heat-destination lineage</x:v>
      </x:c>
      <x:c r="D16" s="89" t="n">
        <x:v>4</x:v>
      </x:c>
      <x:c r="E16" s="89" t="str">
        <x:v>fans, exchangers, water, smoke environment</x:v>
      </x:c>
      <x:c r="F16" s="89" t="str">
        <x:v>50°C smoke N-1 trial</x:v>
      </x:c>
      <x:c r="G16" s="89" t="str">
        <x:v>source loss</x:v>
      </x:c>
      <x:c r="H16" s="89" t="n">
        <x:v>0</x:v>
      </x:c>
      <x:c r="I16" s="89" t="str">
        <x:v>A09</x:v>
      </x:c>
      <x:c r="J16" s="89" t="str">
        <x:v>thermal office</x:v>
      </x:c>
      <x:c r="K16" s="80" t="str">
        <x:v>service cannot be released</x:v>
      </x:c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</x:row>
    <x:row r="17">
      <x:c r="B17" s="89" t="str">
        <x:v>Base</x:v>
      </x:c>
      <x:c r="C17" s="89" t="str">
        <x:v>launch and reset complex</x:v>
      </x:c>
      <x:c r="D17" s="89" t="n">
        <x:v>4</x:v>
      </x:c>
      <x:c r="E17" s="89" t="str">
        <x:v>single depot, crane, loader, spares, railhead</x:v>
      </x:c>
      <x:c r="F17" s="89" t="str">
        <x:v>simultaneous launch and reset exercise</x:v>
      </x:c>
      <x:c r="G17" s="89" t="str">
        <x:v>one access mode</x:v>
      </x:c>
      <x:c r="H17" s="89" t="n">
        <x:v>0</x:v>
      </x:c>
      <x:c r="I17" s="89" t="str">
        <x:v>A10</x:v>
      </x:c>
      <x:c r="J17" s="89" t="str">
        <x:v>sustainment command</x:v>
      </x:c>
      <x:c r="K17" s="80" t="str">
        <x:v>one or more access domains unavailable</x:v>
      </x:c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</x:row>
    <x:row r="18">
      <x:c r="B18" s="89" t="str">
        <x:v>Crew</x:v>
      </x:c>
      <x:c r="C18" s="89" t="str">
        <x:v>operator qualification lineage</x:v>
      </x:c>
      <x:c r="D18" s="89" t="n">
        <x:v>4</x:v>
      </x:c>
      <x:c r="E18" s="89" t="str">
        <x:v>one school, simulator, certification authority</x:v>
      </x:c>
      <x:c r="F18" s="89" t="str">
        <x:v>25% crew and school denial</x:v>
      </x:c>
      <x:c r="G18" s="89" t="str">
        <x:v>second mission</x:v>
      </x:c>
      <x:c r="H18" s="89" t="n">
        <x:v>0</x:v>
      </x:c>
      <x:c r="I18" s="89" t="str">
        <x:v>A11</x:v>
      </x:c>
      <x:c r="J18" s="89" t="str">
        <x:v>personnel command</x:v>
      </x:c>
      <x:c r="K18" s="80" t="str">
        <x:v>nominal packages cannot operate</x:v>
      </x:c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</x:row>
    <x:row r="19">
      <x:c r="B19" s="89" t="str">
        <x:v>Control</x:v>
      </x:c>
      <x:c r="C19" s="89" t="str">
        <x:v>offline protection domain</x:v>
      </x:c>
      <x:c r="D19" s="89" t="n">
        <x:v>4</x:v>
      </x:c>
      <x:c r="E19" s="89" t="str">
        <x:v>cloud identity, common firmware, time source</x:v>
      </x:c>
      <x:c r="F19" s="89" t="str">
        <x:v>72-hour disconnected fault campaign</x:v>
      </x:c>
      <x:c r="G19" s="89" t="str">
        <x:v>receiver boundary</x:v>
      </x:c>
      <x:c r="H19" s="89" t="n">
        <x:v>0</x:v>
      </x:c>
      <x:c r="I19" s="89" t="str">
        <x:v>A12</x:v>
      </x:c>
      <x:c r="J19" s="89" t="str">
        <x:v>control authority</x:v>
      </x:c>
      <x:c r="K19" s="80" t="str">
        <x:v>unsafe service or common stop</x:v>
      </x:c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</x:row>
    <x:row r="20">
      <x:c r="B20" s="89" t="str">
        <x:v>Receiver</x:v>
      </x:c>
      <x:c r="C20" s="89" t="str">
        <x:v>accepted public-service boundary</x:v>
      </x:c>
      <x:c r="D20" s="89" t="n">
        <x:v>4</x:v>
      </x:c>
      <x:c r="E20" s="89" t="str">
        <x:v>one site authority, utility vault, heat field</x:v>
      </x:c>
      <x:c r="F20" s="89" t="str">
        <x:v>alternate-boundary acceptance trial</x:v>
      </x:c>
      <x:c r="G20" s="89" t="str">
        <x:v>fixed island</x:v>
      </x:c>
      <x:c r="H20" s="89" t="n">
        <x:v>0</x:v>
      </x:c>
      <x:c r="I20" s="89" t="str">
        <x:v>A13</x:v>
      </x:c>
      <x:c r="J20" s="89" t="str">
        <x:v>receiving command</x:v>
      </x:c>
      <x:c r="K20" s="80" t="str">
        <x:v>delivered plant produces no public effect</x:v>
      </x:c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</x:row>
    <x:row r="21">
      <x:c r="B21" s="89" t="str">
        <x:v>Supplier</x:v>
      </x:c>
      <x:c r="C21" s="89" t="str">
        <x:v>prime and critical-component lineage</x:v>
      </x:c>
      <x:c r="D21" s="89" t="n">
        <x:v>4</x:v>
      </x:c>
      <x:c r="E21" s="89" t="str">
        <x:v>common upstream factory, software or material</x:v>
      </x:c>
      <x:c r="F21" s="89" t="str">
        <x:v>cold-start second source and teardown</x:v>
      </x:c>
      <x:c r="G21" s="89" t="str">
        <x:v>route loss</x:v>
      </x:c>
      <x:c r="H21" s="89" t="n">
        <x:v>0</x:v>
      </x:c>
      <x:c r="I21" s="89" t="str">
        <x:v>A14</x:v>
      </x:c>
      <x:c r="J21" s="89" t="str">
        <x:v>industrial command</x:v>
      </x:c>
      <x:c r="K21" s="80" t="str">
        <x:v>apparent diversity collapses</x:v>
      </x:c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</x:row>
    <x:row r="22">
      <x:c r="B22" s="89" t="str">
        <x:v>Information</x:v>
      </x:c>
      <x:c r="C22" s="89" t="str">
        <x:v>mission passport and evidence store</x:v>
      </x:c>
      <x:c r="D22" s="89" t="n">
        <x:v>4</x:v>
      </x:c>
      <x:c r="E22" s="89" t="str">
        <x:v>one registry, signing root or schema defect</x:v>
      </x:c>
      <x:c r="F22" s="89" t="str">
        <x:v>offline restore and cross-version trial</x:v>
      </x:c>
      <x:c r="G22" s="89" t="str">
        <x:v>control loss</x:v>
      </x:c>
      <x:c r="H22" s="89" t="n">
        <x:v>0</x:v>
      </x:c>
      <x:c r="I22" s="89" t="str">
        <x:v>A15</x:v>
      </x:c>
      <x:c r="J22" s="89" t="str">
        <x:v>configuration authority</x:v>
      </x:c>
      <x:c r="K22" s="80" t="str">
        <x:v>configuration cannot be trusted</x:v>
      </x:c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</x:row>
    <x:row r="23">
      <x:c r="B23" s="96" t="str">
        <x:v>Authority</x:v>
      </x:c>
      <x:c r="C23" s="96" t="str">
        <x:v>civil release and appeals domain</x:v>
      </x:c>
      <x:c r="D23" s="96" t="n">
        <x:v>4</x:v>
      </x:c>
      <x:c r="E23" s="96" t="str">
        <x:v>one official, jurisdiction or emergency order</x:v>
      </x:c>
      <x:c r="F23" s="96" t="str">
        <x:v>degraded release and appeal exercise</x:v>
      </x:c>
      <x:c r="G23" s="96" t="str">
        <x:v>receiver loss</x:v>
      </x:c>
      <x:c r="H23" s="96" t="n">
        <x:v>0</x:v>
      </x:c>
      <x:c r="I23" s="96" t="str">
        <x:v>A16</x:v>
      </x:c>
      <x:c r="J23" s="96" t="str">
        <x:v>civil authority</x:v>
      </x:c>
      <x:c r="K23" s="84" t="str">
        <x:v>safe equipment remains unusable</x:v>
      </x:c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</x:row>
    <x:row r="24"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</x:row>
    <x:row r="25"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</x:row>
    <x:row r="26"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</x:row>
    <x:row r="27"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</x:row>
    <x:row r="28"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</x:row>
    <x:row r="29"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</x:row>
    <x:row r="30"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</x:row>
    <x:row r="31"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</x:row>
    <x:row r="32"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</x:row>
    <x:row r="33"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</x:row>
    <x:row r="34"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</x:row>
    <x:row r="35"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</x:row>
    <x:row r="36"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</x:row>
    <x:row r="37"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</x:row>
    <x:row r="38"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</x:row>
    <x:row r="39"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</x:row>
    <x:row r="40"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</x:row>
    <x:row r="41"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</x:row>
    <x:row r="42"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</x:row>
    <x:row r="43"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</x:row>
    <x:row r="44"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</x:row>
    <x:row r="45"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</x:row>
    <x:row r="46"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</x:row>
    <x:row r="47"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</x:row>
    <x:row r="48"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</x:row>
    <x:row r="49"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</x:row>
    <x:row r="50"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</x:row>
    <x:row r="51"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</x:row>
    <x:row r="52"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</x:row>
    <x:row r="53"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</x:row>
    <x:row r="54"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</x:row>
    <x:row r="55"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</x:row>
    <x:row r="56"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</x:row>
    <x:row r="57"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</x:row>
    <x:row r="58"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</x:row>
    <x:row r="59"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</x:row>
    <x:row r="60"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</x:row>
    <x:row r="61"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</x:row>
    <x:row r="62"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</x:row>
    <x:row r="63"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</x:row>
    <x:row r="64"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</x:row>
    <x:row r="65"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</x:row>
    <x:row r="66"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</x:row>
    <x:row r="67"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</x:row>
    <x:row r="68"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</x:row>
    <x:row r="69"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</x:row>
    <x:row r="70"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</x:row>
    <x:row r="71"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</x:row>
    <x:row r="72"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</x:row>
    <x:row r="73"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</x:row>
    <x:row r="74"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</x:row>
    <x:row r="75"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</x:row>
    <x:row r="76"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</x:row>
    <x:row r="77"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</x:row>
    <x:row r="78"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</x:row>
    <x:row r="79"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</x:row>
    <x:row r="80"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</x:row>
    <x:row r="81"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</x:row>
    <x:row r="82"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</x:row>
    <x:row r="83"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</x:row>
    <x:row r="84"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</x:row>
    <x:row r="85"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</x:row>
    <x:row r="86"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</x:row>
    <x:row r="87"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</x:row>
    <x:row r="88"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</x:row>
    <x:row r="89"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</x:row>
    <x:row r="90"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</x:row>
    <x:row r="91"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</x:row>
    <x:row r="92"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</x:row>
    <x:row r="93"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</x:row>
    <x:row r="94"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</x:row>
    <x:row r="95"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</x:row>
    <x:row r="96"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</x:row>
    <x:row r="97"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</x:row>
    <x:row r="98"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</x:row>
    <x:row r="99"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</x:row>
    <x:row r="100"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</x:row>
    <x:row r="101"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</x:row>
    <x:row r="102"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</x:row>
    <x:row r="103"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</x:row>
    <x:row r="104"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</x:row>
    <x:row r="105"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</x:row>
    <x:row r="106"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</x:row>
    <x:row r="107"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</x:row>
    <x:row r="108"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</x:row>
    <x:row r="109"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</x:row>
    <x:row r="110"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</x:row>
    <x:row r="111"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</x:row>
    <x:row r="112"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</x:row>
    <x:row r="113"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</x:row>
    <x:row r="114"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</x:row>
    <x:row r="115"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</x:row>
    <x:row r="116"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</x:row>
    <x:row r="117"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</x:row>
    <x:row r="118"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</x:row>
    <x:row r="119"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</x:row>
    <x:row r="120"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</x:row>
    <x:row r="121"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</x:row>
    <x:row r="122"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</x:row>
    <x:row r="123"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</x:row>
    <x:row r="124"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</x:row>
    <x:row r="125"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</x:row>
    <x:row r="126"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</x:row>
    <x:row r="127"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</x:row>
    <x:row r="128"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</x:row>
    <x:row r="129"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</x:row>
    <x:row r="130"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</x:row>
    <x:row r="131"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</x:row>
    <x:row r="132"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</x:row>
    <x:row r="133"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</x:row>
    <x:row r="134"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</x:row>
    <x:row r="135"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</x:row>
    <x:row r="136"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</x:row>
    <x:row r="137"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</x:row>
    <x:row r="138"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</x:row>
    <x:row r="139"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</x:row>
    <x:row r="140"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</x:row>
    <x:row r="141"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</x:row>
    <x:row r="142"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</x:row>
    <x:row r="143"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</x:row>
    <x:row r="144"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</x:row>
    <x:row r="145"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</x:row>
    <x:row r="146"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</x:row>
    <x:row r="147"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</x:row>
    <x:row r="148"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</x:row>
    <x:row r="149"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</x:row>
    <x:row r="150"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</x:row>
    <x:row r="151"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</x:row>
    <x:row r="152"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</x:row>
    <x:row r="153"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</x:row>
    <x:row r="154"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</x:row>
    <x:row r="155"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</x:row>
    <x:row r="156"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</x:row>
    <x:row r="157"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</x:row>
    <x:row r="158"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</x:row>
    <x:row r="159"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</x:row>
    <x:row r="160"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</x:row>
    <x:row r="161"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</x:row>
    <x:row r="162"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</x:row>
    <x:row r="163"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</x:row>
    <x:row r="164"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</x:row>
    <x:row r="165"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</x:row>
    <x:row r="166"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</x:row>
    <x:row r="167"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</x:row>
    <x:row r="168"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</x:row>
    <x:row r="169"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</x:row>
    <x:row r="170"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</x:row>
    <x:row r="171"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</x:row>
    <x:row r="172"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</x:row>
    <x:row r="173"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</x:row>
    <x:row r="174"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</x:row>
    <x:row r="175"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</x:row>
    <x:row r="176"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</x:row>
    <x:row r="177"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</x:row>
    <x:row r="178"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</x:row>
    <x:row r="179"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</x:row>
    <x:row r="180"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</x:row>
    <x:row r="181"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</x:row>
    <x:row r="182"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</x:row>
    <x:row r="183"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</x:row>
    <x:row r="184"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</x:row>
    <x:row r="185"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</x:row>
    <x:row r="186"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</x:row>
    <x:row r="187"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</x:row>
    <x:row r="188"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</x:row>
    <x:row r="189"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</x:row>
    <x:row r="190"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</x:row>
    <x:row r="191"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</x:row>
    <x:row r="192"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</x:row>
    <x:row r="193"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</x:row>
    <x:row r="194"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</x:row>
    <x:row r="195"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</x:row>
    <x:row r="196"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</x:row>
    <x:row r="197"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</x:row>
    <x:row r="198"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</x:row>
    <x:row r="199"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</x:row>
    <x:row r="200"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</x:row>
    <x:row r="201"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</x:row>
    <x:row r="202"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</x:row>
    <x:row r="203"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</x:row>
    <x:row r="204"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</x:row>
    <x:row r="205"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</x:row>
    <x:row r="206"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</x:row>
    <x:row r="207"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</x:row>
    <x:row r="208"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</x:row>
    <x:row r="209"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</x:row>
    <x:row r="210"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</x:row>
    <x:row r="211"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</x:row>
    <x:row r="212"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</x:row>
    <x:row r="213"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</x:row>
    <x:row r="214"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</x:row>
    <x:row r="215"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</x:row>
    <x:row r="216"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</x:row>
    <x:row r="217"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</x:row>
    <x:row r="218"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</x:row>
    <x:row r="219"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</x:row>
    <x:row r="220"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</x:row>
    <x:row r="221"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</x:row>
    <x:row r="222"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</x:row>
    <x:row r="223"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</x:row>
    <x:row r="224"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</x:row>
    <x:row r="225"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</x:row>
    <x:row r="226"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</x:row>
    <x:row r="227"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</x:row>
    <x:row r="228"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</x:row>
    <x:row r="229"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</x:row>
    <x:row r="230"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</x:row>
    <x:row r="231"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</x:row>
    <x:row r="232"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</x:row>
    <x:row r="233"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</x:row>
    <x:row r="234"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</x:row>
    <x:row r="235"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</x:row>
    <x:row r="236"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</x:row>
    <x:row r="237"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</x:row>
    <x:row r="238"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</x:row>
    <x:row r="239"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</x:row>
    <x:row r="240"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</x:row>
    <x:row r="241"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</x:row>
    <x:row r="242"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</x:row>
    <x:row r="243"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</x:row>
    <x:row r="244"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</x:row>
    <x:row r="245"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</x:row>
    <x:row r="246"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</x:row>
    <x:row r="247"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</x:row>
    <x:row r="248"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</x:row>
    <x:row r="249"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</x:row>
    <x:row r="250"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</x:row>
    <x:row r="251"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</x:row>
    <x:row r="252"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</x:row>
    <x:row r="253"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</x:row>
    <x:row r="254"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</x:row>
    <x:row r="255"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</x:row>
    <x:row r="256"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</x:row>
    <x:row r="257"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</x:row>
    <x:row r="258"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</x:row>
    <x:row r="259"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</x:row>
    <x:row r="260"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</x:row>
    <x:row r="261"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</x:row>
    <x:row r="262"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</x:row>
    <x:row r="263"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</x:row>
    <x:row r="264"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</x:row>
    <x:row r="265"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</x:row>
    <x:row r="266"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</x:row>
    <x:row r="267"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</x:row>
    <x:row r="268"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</x:row>
    <x:row r="269"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</x:row>
    <x:row r="270"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</x:row>
    <x:row r="271"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</x:row>
    <x:row r="272"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</x:row>
    <x:row r="273"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</x:row>
    <x:row r="274"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</x:row>
    <x:row r="275"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</x:row>
    <x:row r="276"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</x:row>
    <x:row r="277"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</x:row>
    <x:row r="278"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</x:row>
    <x:row r="279"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</x:row>
    <x:row r="280"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</x:row>
    <x:row r="281"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</x:row>
    <x:row r="282"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</x:row>
    <x:row r="283"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</x:row>
    <x:row r="284"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</x:row>
    <x:row r="285"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</x:row>
    <x:row r="286"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</x:row>
    <x:row r="287"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</x:row>
    <x:row r="288"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</x:row>
    <x:row r="289"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</x:row>
    <x:row r="290"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</x:row>
    <x:row r="291"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</x:row>
    <x:row r="292"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</x:row>
    <x:row r="293"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</x:row>
    <x:row r="294"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</x:row>
    <x:row r="295"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</x:row>
    <x:row r="296"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</x:row>
    <x:row r="297"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</x:row>
    <x:row r="298"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</x:row>
    <x:row r="299"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</x:row>
    <x:row r="300"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</x:row>
    <x:row r="301"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</x:row>
    <x:row r="302"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</x:row>
    <x:row r="303"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</x:row>
    <x:row r="304"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</x:row>
    <x:row r="305"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</x:row>
    <x:row r="306"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</x:row>
    <x:row r="307"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</x:row>
    <x:row r="308"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</x:row>
    <x:row r="309"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</x:row>
    <x:row r="310"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</x:row>
    <x:row r="311"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</x:row>
    <x:row r="312"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</x:row>
    <x:row r="313"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</x:row>
    <x:row r="314"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</x:row>
    <x:row r="315"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</x:row>
    <x:row r="316"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</x:row>
    <x:row r="317"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</x:row>
    <x:row r="318"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</x:row>
    <x:row r="319"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</x:row>
    <x:row r="320"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</x:row>
  </x:sheetData>
  <x:mergeCells>
    <x:mergeCell ref="B6:K6"/>
  </x:mergeCells>
  <x:conditionalFormatting sqref="H8:H23">
    <x:cfRule type="cellIs" dxfId="1" priority="1" operator="equal">
      <x:formula>0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2" max="2" width="34" hidden="0" customWidth="1"/>
    <x:col min="3" max="3" width="14" hidden="0" customWidth="1"/>
    <x:col min="4" max="4" width="35" hidden="0" customWidth="1"/>
    <x:col min="5" max="5" width="39" hidden="0" customWidth="1"/>
    <x:col min="6" max="6" width="38" hidden="0" customWidth="1"/>
    <x:col min="7" max="7" width="31" hidden="0" customWidth="1"/>
    <x:col min="8" max="8" width="15" hidden="0" customWidth="1"/>
    <x:col min="9" max="9" width="15" hidden="0" customWidth="1"/>
    <x:col min="10" max="10" width="27" hidden="0" customWidth="1"/>
    <x:col min="11" max="11" width="16" hidden="0" customWidth="1"/>
  </x:cols>
  <x:sheetData>
    <x:row r="2">
      <x:c r="B2" s="3" t="str">
        <x:v>Topology technology portfolio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</x:row>
    <x:row r="3">
      <x:c r="B3" s="4" t="str">
        <x:v>Research is pulled by complete-path failure, not by platform appearance</x:v>
      </x:c>
      <x:c r="C3" s="4"/>
      <x:c r="D3" s="4"/>
      <x:c r="E3" s="4"/>
      <x:c r="F3" s="4"/>
      <x:c r="G3" s="4"/>
      <x:c r="H3" s="4"/>
      <x:c r="I3" s="4"/>
      <x:c r="J3" s="4"/>
      <x:c r="K3" s="4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</x:row>
    <x:row r="6">
      <x:c r="B6" s="8" t="str">
        <x:v>$320 billion research, industrialization and proving portfolio</x:v>
      </x:c>
      <x:c r="C6" s="9" t="str">
        <x:v>$320 billion research, industrialization and proving portfolio</x:v>
      </x:c>
      <x:c r="D6" s="9" t="str">
        <x:v>$320 billion research, industrialization and proving portfolio</x:v>
      </x:c>
      <x:c r="E6" s="9" t="str">
        <x:v>$320 billion research, industrialization and proving portfolio</x:v>
      </x:c>
      <x:c r="F6" s="9" t="str">
        <x:v>$320 billion research, industrialization and proving portfolio</x:v>
      </x:c>
      <x:c r="G6" s="9" t="str">
        <x:v>$320 billion research, industrialization and proving portfolio</x:v>
      </x:c>
      <x:c r="H6" s="9" t="str">
        <x:v>$320 billion research, industrialization and proving portfolio</x:v>
      </x:c>
      <x:c r="I6" s="9" t="str">
        <x:v>$320 billion research, industrialization and proving portfolio</x:v>
      </x:c>
      <x:c r="J6" s="9" t="str">
        <x:v>$320 billion research, industrialization and proving portfolio</x:v>
      </x:c>
      <x:c r="K6" s="10" t="str">
        <x:v>$320 billion research, industrialization and proving portfolio</x:v>
      </x:c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</x:row>
    <x:row r="7">
      <x:c r="B7" s="24" t="str">
        <x:v>Program</x:v>
      </x:c>
      <x:c r="C7" s="25" t="str">
        <x:v>25-year $B</x:v>
      </x:c>
      <x:c r="D7" s="25" t="str">
        <x:v>Failure pulled</x:v>
      </x:c>
      <x:c r="E7" s="25" t="str">
        <x:v>Required article</x:v>
      </x:c>
      <x:c r="F7" s="25" t="str">
        <x:v>Minimum campaign test</x:v>
      </x:c>
      <x:c r="G7" s="25" t="str">
        <x:v>Exit metric</x:v>
      </x:c>
      <x:c r="H7" s="25" t="str">
        <x:v>Current maturity</x:v>
      </x:c>
      <x:c r="I7" s="25" t="str">
        <x:v>Admission credit</x:v>
      </x:c>
      <x:c r="J7" s="25" t="str">
        <x:v>Primary institution</x:v>
      </x:c>
      <x:c r="K7" s="25" t="str">
        <x:v>Rendering effect</x:v>
      </x:c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</x:row>
    <x:row r="8">
      <x:c r="B8" s="89" t="str">
        <x:v>Independent fourth-access path</x:v>
      </x:c>
      <x:c r="C8" s="98" t="n">
        <x:v>35</x:v>
      </x:c>
      <x:c r="D8" s="89" t="str">
        <x:v>three-mode replication burden</x:v>
      </x:c>
      <x:c r="E8" s="89" t="str">
        <x:v>complete non-legacy carrier-node-receiver chain</x:v>
      </x:c>
      <x:c r="F8" s="89" t="str">
        <x:v>ten cells after two access losses</x:v>
      </x:c>
      <x:c r="G8" s="89" t="str">
        <x:v>10 complete cells by hour 48</x:v>
      </x:c>
      <x:c r="H8" s="89" t="str">
        <x:v>concept</x:v>
      </x:c>
      <x:c r="I8" s="89" t="n">
        <x:v>0</x:v>
      </x:c>
      <x:c r="J8" s="89" t="str">
        <x:v>Advanced Access Systems Office</x:v>
      </x:c>
      <x:c r="K8" s="80" t="str">
        <x:v>blocked</x:v>
      </x:c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</x:row>
    <x:row r="9">
      <x:c r="B9" s="89" t="str">
        <x:v>Cell-scale fixed-island containment</x:v>
      </x:c>
      <x:c r="C9" s="98" t="n">
        <x:v>25</x:v>
      </x:c>
      <x:c r="D9" s="89" t="str">
        <x:v>anchor common mode</x:v>
      </x:c>
      <x:c r="E9" s="89" t="str">
        <x:v>ten independently releasable one-cell islands</x:v>
      </x:c>
      <x:c r="F9" s="89" t="str">
        <x:v>island plus two-mode denial</x:v>
      </x:c>
      <x:c r="G9" s="89" t="str">
        <x:v>10 cells remain releasable</x:v>
      </x:c>
      <x:c r="H9" s="89" t="str">
        <x:v>concept</x:v>
      </x:c>
      <x:c r="I9" s="89" t="n">
        <x:v>0</x:v>
      </x:c>
      <x:c r="J9" s="89" t="str">
        <x:v>Receiving Systems Command</x:v>
      </x:c>
      <x:c r="K9" s="80" t="str">
        <x:v>blocked</x:v>
      </x:c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</x:row>
    <x:row r="10">
      <x:c r="B10" s="89" t="str">
        <x:v>Complete-cell cross-mode exchange</x:v>
      </x:c>
      <x:c r="C10" s="98" t="n">
        <x:v>25</x:v>
      </x:c>
      <x:c r="D10" s="89" t="str">
        <x:v>partial modules mistaken for cells</x:v>
      </x:c>
      <x:c r="E10" s="89" t="str">
        <x:v>source, rejection, control and receiver exchange set</x:v>
      </x:c>
      <x:c r="F10" s="89" t="str">
        <x:v>two lineages across three hosts</x:v>
      </x:c>
      <x:c r="G10" s="89" t="str">
        <x:v>no missing mission function</x:v>
      </x:c>
      <x:c r="H10" s="89" t="str">
        <x:v>concept</x:v>
      </x:c>
      <x:c r="I10" s="89" t="n">
        <x:v>0</x:v>
      </x:c>
      <x:c r="J10" s="89" t="str">
        <x:v>Mission Compiler Office</x:v>
      </x:c>
      <x:c r="K10" s="80" t="str">
        <x:v>blocked</x:v>
      </x:c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</x:row>
    <x:row r="11">
      <x:c r="B11" s="89" t="str">
        <x:v>Cross-prime source and heat substitution</x:v>
      </x:c>
      <x:c r="C11" s="98" t="n">
        <x:v>20</x:v>
      </x:c>
      <x:c r="D11" s="89" t="str">
        <x:v>supplier-name diversity</x:v>
      </x:c>
      <x:c r="E11" s="89" t="str">
        <x:v>serialized alternate source and rejection trains</x:v>
      </x:c>
      <x:c r="F11" s="89" t="str">
        <x:v>prime loss under 50°C smoke</x:v>
      </x:c>
      <x:c r="G11" s="89" t="str">
        <x:v>substitute within service deadline</x:v>
      </x:c>
      <x:c r="H11" s="89" t="str">
        <x:v>concept</x:v>
      </x:c>
      <x:c r="I11" s="89" t="n">
        <x:v>0</x:v>
      </x:c>
      <x:c r="J11" s="89" t="str">
        <x:v>Industrial Resilience Command</x:v>
      </x:c>
      <x:c r="K11" s="80" t="str">
        <x:v>blocked</x:v>
      </x:c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</x:row>
    <x:row r="12">
      <x:c r="B12" s="89" t="str">
        <x:v>Robotic receiver acceptance</x:v>
      </x:c>
      <x:c r="C12" s="98" t="n">
        <x:v>18</x:v>
      </x:c>
      <x:c r="D12" s="89" t="str">
        <x:v>arrival without service release</x:v>
      </x:c>
      <x:c r="E12" s="89" t="str">
        <x:v>survey, connection, test and evidence robots</x:v>
      </x:c>
      <x:c r="F12" s="89" t="str">
        <x:v>damaged unprepared site</x:v>
      </x:c>
      <x:c r="G12" s="89" t="str">
        <x:v>complete release by hour 48</x:v>
      </x:c>
      <x:c r="H12" s="89" t="str">
        <x:v>concept</x:v>
      </x:c>
      <x:c r="I12" s="89" t="n">
        <x:v>0</x:v>
      </x:c>
      <x:c r="J12" s="89" t="str">
        <x:v>Receiving Systems Command</x:v>
      </x:c>
      <x:c r="K12" s="80" t="str">
        <x:v>blocked</x:v>
      </x:c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</x:row>
    <x:row r="13">
      <x:c r="B13" s="89" t="str">
        <x:v>Autonomous damaged-road corridor</x:v>
      </x:c>
      <x:c r="C13" s="98" t="n">
        <x:v>18</x:v>
      </x:c>
      <x:c r="D13" s="89" t="str">
        <x:v>road access loss</x:v>
      </x:c>
      <x:c r="E13" s="89" t="str">
        <x:v>route sensing, clearance and convoy chain</x:v>
      </x:c>
      <x:c r="F13" s="89" t="str">
        <x:v>bridge and communications denial</x:v>
      </x:c>
      <x:c r="G13" s="89" t="str">
        <x:v>complete road cell delivered</x:v>
      </x:c>
      <x:c r="H13" s="89" t="str">
        <x:v>concept</x:v>
      </x:c>
      <x:c r="I13" s="89" t="n">
        <x:v>0</x:v>
      </x:c>
      <x:c r="J13" s="89" t="str">
        <x:v>Mobility Command</x:v>
      </x:c>
      <x:c r="K13" s="80" t="str">
        <x:v>blocked</x:v>
      </x:c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</x:row>
    <x:row r="14">
      <x:c r="B14" s="89" t="str">
        <x:v>Alternate-terminal rail system</x:v>
      </x:c>
      <x:c r="C14" s="98" t="n">
        <x:v>15</x:v>
      </x:c>
      <x:c r="D14" s="89" t="str">
        <x:v>terminal common mode</x:v>
      </x:c>
      <x:c r="E14" s="89" t="str">
        <x:v>reconfigurable consist and transload nodes</x:v>
      </x:c>
      <x:c r="F14" s="89" t="str">
        <x:v>primary terminal and cloud denial</x:v>
      </x:c>
      <x:c r="G14" s="89" t="str">
        <x:v>complete rail cell delivered</x:v>
      </x:c>
      <x:c r="H14" s="89" t="str">
        <x:v>concept</x:v>
      </x:c>
      <x:c r="I14" s="89" t="n">
        <x:v>0</x:v>
      </x:c>
      <x:c r="J14" s="89" t="str">
        <x:v>Mobility Command</x:v>
      </x:c>
      <x:c r="K14" s="80" t="str">
        <x:v>blocked</x:v>
      </x:c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</x:row>
    <x:row r="15">
      <x:c r="B15" s="89" t="str">
        <x:v>No-pier shallow-water system</x:v>
      </x:c>
      <x:c r="C15" s="98" t="n">
        <x:v>20</x:v>
      </x:c>
      <x:c r="D15" s="89" t="str">
        <x:v>port dependence</x:v>
      </x:c>
      <x:c r="E15" s="89" t="str">
        <x:v>launch, landing, assist and heat-destination chain</x:v>
      </x:c>
      <x:c r="F15" s="89" t="str">
        <x:v>blocked port and damaged bank</x:v>
      </x:c>
      <x:c r="G15" s="89" t="str">
        <x:v>complete water cell delivered</x:v>
      </x:c>
      <x:c r="H15" s="89" t="str">
        <x:v>concept</x:v>
      </x:c>
      <x:c r="I15" s="89" t="n">
        <x:v>0</x:v>
      </x:c>
      <x:c r="J15" s="89" t="str">
        <x:v>Maritime Resilience Command</x:v>
      </x:c>
      <x:c r="K15" s="80" t="str">
        <x:v>blocked</x:v>
      </x:c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</x:row>
    <x:row r="16">
      <x:c r="B16" s="89" t="str">
        <x:v>Heavy air and ground-effect access</x:v>
      </x:c>
      <x:c r="C16" s="98" t="n">
        <x:v>30</x:v>
      </x:c>
      <x:c r="D16" s="89" t="str">
        <x:v>landlocked and island access</x:v>
      </x:c>
      <x:c r="E16" s="89" t="str">
        <x:v>clean-sheet high-mass carrier fleet</x:v>
      </x:c>
      <x:c r="F16" s="89" t="str">
        <x:v>two legacy paths denied</x:v>
      </x:c>
      <x:c r="G16" s="89" t="str">
        <x:v>five complete cells per path</x:v>
      </x:c>
      <x:c r="H16" s="89" t="str">
        <x:v>pre-concept</x:v>
      </x:c>
      <x:c r="I16" s="89" t="n">
        <x:v>0</x:v>
      </x:c>
      <x:c r="J16" s="89" t="str">
        <x:v>Advanced Access Systems Office</x:v>
      </x:c>
      <x:c r="K16" s="80" t="str">
        <x:v>blocked</x:v>
      </x:c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</x:row>
    <x:row r="17">
      <x:c r="B17" s="89" t="str">
        <x:v>Distributed austere nodes</x:v>
      </x:c>
      <x:c r="C17" s="98" t="n">
        <x:v>12</x:v>
      </x:c>
      <x:c r="D17" s="89" t="str">
        <x:v>prepared-terminal dependence</x:v>
      </x:c>
      <x:c r="E17" s="89" t="str">
        <x:v>self-surveying load, transfer and service nodes</x:v>
      </x:c>
      <x:c r="F17" s="89" t="str">
        <x:v>unknown ground and utility state</x:v>
      </x:c>
      <x:c r="G17" s="89" t="str">
        <x:v>node releases full cell</x:v>
      </x:c>
      <x:c r="H17" s="89" t="str">
        <x:v>concept</x:v>
      </x:c>
      <x:c r="I17" s="89" t="n">
        <x:v>0</x:v>
      </x:c>
      <x:c r="J17" s="89" t="str">
        <x:v>Mobility Command</x:v>
      </x:c>
      <x:c r="K17" s="80" t="str">
        <x:v>blocked</x:v>
      </x:c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</x:row>
    <x:row r="18">
      <x:c r="B18" s="89" t="str">
        <x:v>Hot-smoke heat rejection</x:v>
      </x:c>
      <x:c r="C18" s="98" t="n">
        <x:v>22</x:v>
      </x:c>
      <x:c r="D18" s="89" t="str">
        <x:v>final heat-destination failure</x:v>
      </x:c>
      <x:c r="E18" s="89" t="str">
        <x:v>dry-dominant modular rejection fields</x:v>
      </x:c>
      <x:c r="F18" s="89" t="str">
        <x:v>50°C, smoke and N-1</x:v>
      </x:c>
      <x:c r="G18" s="89" t="str">
        <x:v>rated heat rejected safely</x:v>
      </x:c>
      <x:c r="H18" s="89" t="str">
        <x:v>concept</x:v>
      </x:c>
      <x:c r="I18" s="89" t="n">
        <x:v>0</x:v>
      </x:c>
      <x:c r="J18" s="89" t="str">
        <x:v>Thermal Systems Office</x:v>
      </x:c>
      <x:c r="K18" s="80" t="str">
        <x:v>blocked</x:v>
      </x:c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</x:row>
    <x:row r="19">
      <x:c r="B19" s="89" t="str">
        <x:v>Offline control partitions</x:v>
      </x:c>
      <x:c r="C19" s="98" t="n">
        <x:v>15</x:v>
      </x:c>
      <x:c r="D19" s="89" t="str">
        <x:v>common software and identity</x:v>
      </x:c>
      <x:c r="E19" s="89" t="str">
        <x:v>four separable protection and authority domains</x:v>
      </x:c>
      <x:c r="F19" s="89" t="str">
        <x:v>72-hour cloud and signing-root denial</x:v>
      </x:c>
      <x:c r="G19" s="89" t="str">
        <x:v>safe local service continues</x:v>
      </x:c>
      <x:c r="H19" s="89" t="str">
        <x:v>concept</x:v>
      </x:c>
      <x:c r="I19" s="89" t="n">
        <x:v>0</x:v>
      </x:c>
      <x:c r="J19" s="89" t="str">
        <x:v>Control Authority</x:v>
      </x:c>
      <x:c r="K19" s="80" t="str">
        <x:v>blocked</x:v>
      </x:c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</x:row>
    <x:row r="20">
      <x:c r="B20" s="89" t="str">
        <x:v>Crew-lineage replication</x:v>
      </x:c>
      <x:c r="C20" s="98" t="n">
        <x:v>10</x:v>
      </x:c>
      <x:c r="D20" s="89" t="str">
        <x:v>single school and scarce specialists</x:v>
      </x:c>
      <x:c r="E20" s="89" t="str">
        <x:v>four schools, simulators and reciprocal certification</x:v>
      </x:c>
      <x:c r="F20" s="89" t="str">
        <x:v>school loss plus surge</x:v>
      </x:c>
      <x:c r="G20" s="89" t="str">
        <x:v>four qualified crew lineages</x:v>
      </x:c>
      <x:c r="H20" s="89" t="str">
        <x:v>concept</x:v>
      </x:c>
      <x:c r="I20" s="89" t="n">
        <x:v>0</x:v>
      </x:c>
      <x:c r="J20" s="89" t="str">
        <x:v>Personnel Command</x:v>
      </x:c>
      <x:c r="K20" s="80" t="str">
        <x:v>blocked</x:v>
      </x:c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</x:row>
    <x:row r="21">
      <x:c r="B21" s="89" t="str">
        <x:v>Automated reset and reconstitution</x:v>
      </x:c>
      <x:c r="C21" s="98" t="n">
        <x:v>12</x:v>
      </x:c>
      <x:c r="D21" s="89" t="str">
        <x:v>one-mission force</x:v>
      </x:c>
      <x:c r="E21" s="89" t="str">
        <x:v>wash, inspect, repair, reload and recertify cells</x:v>
      </x:c>
      <x:c r="F21" s="89" t="str">
        <x:v>second mission at day three</x:v>
      </x:c>
      <x:c r="G21" s="89" t="str">
        <x:v>90% complete-cell availability</x:v>
      </x:c>
      <x:c r="H21" s="89" t="str">
        <x:v>concept</x:v>
      </x:c>
      <x:c r="I21" s="89" t="n">
        <x:v>0</x:v>
      </x:c>
      <x:c r="J21" s="89" t="str">
        <x:v>Sustainment Command</x:v>
      </x:c>
      <x:c r="K21" s="80" t="str">
        <x:v>blocked</x:v>
      </x:c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</x:row>
    <x:row r="22">
      <x:c r="B22" s="89" t="str">
        <x:v>Serialized ancestry compiler</x:v>
      </x:c>
      <x:c r="C22" s="98" t="n">
        <x:v>8</x:v>
      </x:c>
      <x:c r="D22" s="89" t="str">
        <x:v>hidden common dependencies</x:v>
      </x:c>
      <x:c r="E22" s="89" t="str">
        <x:v>government-owned configuration and lineage graph</x:v>
      </x:c>
      <x:c r="F22" s="89" t="str">
        <x:v>supplier, base and route compound</x:v>
      </x:c>
      <x:c r="G22" s="89" t="str">
        <x:v>all credited partitions traceable</x:v>
      </x:c>
      <x:c r="H22" s="89" t="str">
        <x:v>concept</x:v>
      </x:c>
      <x:c r="I22" s="89" t="n">
        <x:v>0</x:v>
      </x:c>
      <x:c r="J22" s="89" t="str">
        <x:v>Mission Compiler Office</x:v>
      </x:c>
      <x:c r="K22" s="80" t="str">
        <x:v>blocked</x:v>
      </x:c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</x:row>
    <x:row r="23">
      <x:c r="B23" s="89" t="str">
        <x:v>National full-scale campaigns</x:v>
      </x:c>
      <x:c r="C23" s="98" t="n">
        <x:v>20</x:v>
      </x:c>
      <x:c r="D23" s="89" t="str">
        <x:v>spreadsheet assurance</x:v>
      </x:c>
      <x:c r="E23" s="89" t="str">
        <x:v>instrumented 72-group equivalent exercises</x:v>
      </x:c>
      <x:c r="F23" s="89" t="str">
        <x:v>multi-region concurrent demand</x:v>
      </x:c>
      <x:c r="G23" s="89" t="str">
        <x:v>mission-level evidence package</x:v>
      </x:c>
      <x:c r="H23" s="89" t="str">
        <x:v>not built</x:v>
      </x:c>
      <x:c r="I23" s="89" t="n">
        <x:v>0</x:v>
      </x:c>
      <x:c r="J23" s="89" t="str">
        <x:v>Independent Test Authority</x:v>
      </x:c>
      <x:c r="K23" s="80" t="str">
        <x:v>blocked</x:v>
      </x:c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</x:row>
    <x:row r="24">
      <x:c r="B24" s="96" t="str">
        <x:v>Independent safety and public-effect trials</x:v>
      </x:c>
      <x:c r="C24" s="99" t="n">
        <x:v>15</x:v>
      </x:c>
      <x:c r="D24" s="96" t="str">
        <x:v>performance without lawful service</x:v>
      </x:c>
      <x:c r="E24" s="96" t="str">
        <x:v>public-service, rights and safety cases</x:v>
      </x:c>
      <x:c r="F24" s="96" t="str">
        <x:v>degraded authority and receiver</x:v>
      </x:c>
      <x:c r="G24" s="96" t="str">
        <x:v>safe accountable service released</x:v>
      </x:c>
      <x:c r="H24" s="96" t="str">
        <x:v>not built</x:v>
      </x:c>
      <x:c r="I24" s="96" t="n">
        <x:v>0</x:v>
      </x:c>
      <x:c r="J24" s="96" t="str">
        <x:v>Independent Test Authority</x:v>
      </x:c>
      <x:c r="K24" s="84" t="str">
        <x:v>blocked</x:v>
      </x:c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</x:row>
    <x:row r="25"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</x:row>
    <x:row r="26">
      <x:c r="B26" s="100" t="str">
        <x:v>Portfolio total</x:v>
      </x:c>
      <x:c r="C26" s="101" t="n">
        <x:f>SUM(C8:C24)</x:f>
        <x:v>320</x:v>
      </x:c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</x:row>
    <x:row r="27">
      <x:c r="B27" s="100" t="str">
        <x:v>Increment above Pass 74</x:v>
      </x:c>
      <x:c r="C27" s="101" t="n">
        <x:f>C26-Assumptions!$I$25</x:f>
        <x:v>140</x:v>
      </x:c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</x:row>
    <x:row r="28"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</x:row>
    <x:row r="29"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</x:row>
    <x:row r="30"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</x:row>
    <x:row r="31"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</x:row>
    <x:row r="32"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</x:row>
    <x:row r="33"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</x:row>
    <x:row r="34"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</x:row>
    <x:row r="35"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</x:row>
    <x:row r="36"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</x:row>
    <x:row r="37"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</x:row>
    <x:row r="38"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</x:row>
    <x:row r="39"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</x:row>
    <x:row r="40"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</x:row>
    <x:row r="41"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</x:row>
    <x:row r="42"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</x:row>
    <x:row r="43"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</x:row>
    <x:row r="44"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</x:row>
    <x:row r="45"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</x:row>
    <x:row r="46"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</x:row>
    <x:row r="47"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</x:row>
    <x:row r="48"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</x:row>
    <x:row r="49"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</x:row>
    <x:row r="50"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</x:row>
    <x:row r="51"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</x:row>
    <x:row r="52"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</x:row>
    <x:row r="53"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</x:row>
    <x:row r="54"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</x:row>
    <x:row r="55"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</x:row>
    <x:row r="56"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</x:row>
    <x:row r="57"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</x:row>
    <x:row r="58"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</x:row>
    <x:row r="59"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</x:row>
    <x:row r="60"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</x:row>
    <x:row r="61"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</x:row>
    <x:row r="62"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</x:row>
    <x:row r="63"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</x:row>
    <x:row r="64"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</x:row>
    <x:row r="65"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</x:row>
    <x:row r="66"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</x:row>
    <x:row r="67"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</x:row>
    <x:row r="68"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</x:row>
    <x:row r="69"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</x:row>
    <x:row r="70"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</x:row>
    <x:row r="71"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</x:row>
    <x:row r="72"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</x:row>
    <x:row r="73"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</x:row>
    <x:row r="74"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</x:row>
    <x:row r="75"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</x:row>
    <x:row r="76"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</x:row>
    <x:row r="77"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</x:row>
    <x:row r="78"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</x:row>
    <x:row r="79"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</x:row>
    <x:row r="80"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</x:row>
    <x:row r="81"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</x:row>
    <x:row r="82"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</x:row>
    <x:row r="83"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</x:row>
    <x:row r="84"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</x:row>
    <x:row r="85"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</x:row>
    <x:row r="86"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</x:row>
    <x:row r="87"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</x:row>
    <x:row r="88"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</x:row>
    <x:row r="89"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</x:row>
    <x:row r="90"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</x:row>
    <x:row r="91"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</x:row>
    <x:row r="92"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</x:row>
    <x:row r="93"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</x:row>
    <x:row r="94"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</x:row>
    <x:row r="95"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</x:row>
    <x:row r="96"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</x:row>
    <x:row r="97"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</x:row>
    <x:row r="98"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</x:row>
    <x:row r="99"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</x:row>
    <x:row r="100"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</x:row>
    <x:row r="101"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</x:row>
    <x:row r="102"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</x:row>
    <x:row r="103"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</x:row>
    <x:row r="104"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</x:row>
    <x:row r="105"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</x:row>
    <x:row r="106"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</x:row>
    <x:row r="107"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</x:row>
    <x:row r="108"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</x:row>
    <x:row r="109"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</x:row>
    <x:row r="110"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</x:row>
    <x:row r="111"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</x:row>
    <x:row r="112"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</x:row>
    <x:row r="113"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</x:row>
    <x:row r="114"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</x:row>
    <x:row r="115"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</x:row>
    <x:row r="116"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</x:row>
    <x:row r="117"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</x:row>
    <x:row r="118"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</x:row>
    <x:row r="119"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</x:row>
    <x:row r="120"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</x:row>
    <x:row r="121"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</x:row>
    <x:row r="122"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</x:row>
    <x:row r="123"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</x:row>
    <x:row r="124"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</x:row>
    <x:row r="125"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</x:row>
    <x:row r="126"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</x:row>
    <x:row r="127"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</x:row>
    <x:row r="128"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</x:row>
    <x:row r="129"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</x:row>
    <x:row r="130"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</x:row>
    <x:row r="131"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</x:row>
    <x:row r="132"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</x:row>
    <x:row r="133"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</x:row>
    <x:row r="134"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</x:row>
    <x:row r="135"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</x:row>
    <x:row r="136"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</x:row>
    <x:row r="137"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</x:row>
    <x:row r="138"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</x:row>
    <x:row r="139"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</x:row>
    <x:row r="140"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</x:row>
    <x:row r="141"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</x:row>
    <x:row r="142"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</x:row>
    <x:row r="143"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</x:row>
    <x:row r="144"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</x:row>
    <x:row r="145"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</x:row>
    <x:row r="146"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</x:row>
    <x:row r="147"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</x:row>
    <x:row r="148"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</x:row>
    <x:row r="149"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</x:row>
    <x:row r="150"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</x:row>
    <x:row r="151"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</x:row>
    <x:row r="152"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</x:row>
    <x:row r="153"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</x:row>
    <x:row r="154"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</x:row>
    <x:row r="155"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</x:row>
    <x:row r="156"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</x:row>
    <x:row r="157"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</x:row>
    <x:row r="158"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</x:row>
    <x:row r="159"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</x:row>
    <x:row r="160"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</x:row>
    <x:row r="161"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</x:row>
    <x:row r="162"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</x:row>
    <x:row r="163"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</x:row>
    <x:row r="164"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</x:row>
    <x:row r="165"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</x:row>
    <x:row r="166"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</x:row>
    <x:row r="167"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</x:row>
    <x:row r="168"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</x:row>
    <x:row r="169"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</x:row>
    <x:row r="170"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</x:row>
    <x:row r="171"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</x:row>
    <x:row r="172"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</x:row>
    <x:row r="173"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</x:row>
    <x:row r="174"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</x:row>
    <x:row r="175"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</x:row>
    <x:row r="176"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</x:row>
    <x:row r="177"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</x:row>
    <x:row r="178"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</x:row>
    <x:row r="179"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</x:row>
    <x:row r="180"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</x:row>
    <x:row r="181"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</x:row>
    <x:row r="182"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</x:row>
    <x:row r="183"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</x:row>
    <x:row r="184"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</x:row>
    <x:row r="185"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</x:row>
    <x:row r="186"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</x:row>
    <x:row r="187"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</x:row>
    <x:row r="188"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</x:row>
    <x:row r="189"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</x:row>
    <x:row r="190"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</x:row>
    <x:row r="191"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</x:row>
    <x:row r="192"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</x:row>
    <x:row r="193"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</x:row>
    <x:row r="194"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</x:row>
    <x:row r="195"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</x:row>
    <x:row r="196"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</x:row>
    <x:row r="197"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</x:row>
    <x:row r="198"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</x:row>
    <x:row r="199"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</x:row>
    <x:row r="200"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</x:row>
    <x:row r="201"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</x:row>
    <x:row r="202"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</x:row>
    <x:row r="203"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</x:row>
    <x:row r="204"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</x:row>
    <x:row r="205"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</x:row>
    <x:row r="206"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</x:row>
    <x:row r="207"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</x:row>
    <x:row r="208"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</x:row>
    <x:row r="209"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</x:row>
    <x:row r="210"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</x:row>
    <x:row r="211"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</x:row>
    <x:row r="212"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</x:row>
    <x:row r="213"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</x:row>
    <x:row r="214"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</x:row>
    <x:row r="215"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</x:row>
    <x:row r="216"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</x:row>
    <x:row r="217"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</x:row>
    <x:row r="218"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</x:row>
    <x:row r="219"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</x:row>
    <x:row r="220"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</x:row>
    <x:row r="221"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</x:row>
    <x:row r="222"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</x:row>
    <x:row r="223"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</x:row>
    <x:row r="224"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</x:row>
    <x:row r="225"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</x:row>
    <x:row r="226"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</x:row>
    <x:row r="227"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</x:row>
    <x:row r="228"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</x:row>
    <x:row r="229"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</x:row>
    <x:row r="230"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</x:row>
    <x:row r="231"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</x:row>
    <x:row r="232"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</x:row>
    <x:row r="233"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</x:row>
    <x:row r="234"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</x:row>
    <x:row r="235"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</x:row>
    <x:row r="236"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</x:row>
    <x:row r="237"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</x:row>
    <x:row r="238"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</x:row>
    <x:row r="239"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</x:row>
    <x:row r="240"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</x:row>
    <x:row r="241"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</x:row>
    <x:row r="242"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</x:row>
    <x:row r="243"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</x:row>
    <x:row r="244"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</x:row>
    <x:row r="245"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</x:row>
    <x:row r="246"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</x:row>
    <x:row r="247"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</x:row>
    <x:row r="248"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</x:row>
    <x:row r="249"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</x:row>
    <x:row r="250"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</x:row>
    <x:row r="251"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</x:row>
    <x:row r="252"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</x:row>
    <x:row r="253"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</x:row>
    <x:row r="254"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</x:row>
    <x:row r="255"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</x:row>
    <x:row r="256"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</x:row>
    <x:row r="257"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</x:row>
    <x:row r="258"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</x:row>
    <x:row r="259"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</x:row>
    <x:row r="260"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</x:row>
    <x:row r="261"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</x:row>
    <x:row r="262"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</x:row>
    <x:row r="263"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</x:row>
    <x:row r="264"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</x:row>
    <x:row r="265"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</x:row>
    <x:row r="266"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</x:row>
    <x:row r="267"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</x:row>
    <x:row r="268"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</x:row>
    <x:row r="269"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</x:row>
    <x:row r="270"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</x:row>
    <x:row r="271"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</x:row>
    <x:row r="272"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</x:row>
    <x:row r="273"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</x:row>
    <x:row r="274"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</x:row>
    <x:row r="275"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</x:row>
    <x:row r="276"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</x:row>
    <x:row r="277"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</x:row>
    <x:row r="278"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</x:row>
    <x:row r="279"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</x:row>
    <x:row r="280"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</x:row>
    <x:row r="281"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</x:row>
    <x:row r="282"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</x:row>
    <x:row r="283"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</x:row>
    <x:row r="284"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</x:row>
    <x:row r="285"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</x:row>
    <x:row r="286"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</x:row>
    <x:row r="287"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</x:row>
    <x:row r="288"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</x:row>
    <x:row r="289"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</x:row>
    <x:row r="290"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</x:row>
    <x:row r="291"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</x:row>
    <x:row r="292"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</x:row>
    <x:row r="293"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</x:row>
    <x:row r="294"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</x:row>
    <x:row r="295"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</x:row>
    <x:row r="296"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</x:row>
    <x:row r="297"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</x:row>
    <x:row r="298"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</x:row>
    <x:row r="299"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</x:row>
    <x:row r="300"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</x:row>
    <x:row r="301"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</x:row>
    <x:row r="302"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</x:row>
    <x:row r="303"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</x:row>
    <x:row r="304"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</x:row>
    <x:row r="305"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</x:row>
    <x:row r="306"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</x:row>
    <x:row r="307"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</x:row>
    <x:row r="308"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</x:row>
    <x:row r="309"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</x:row>
    <x:row r="310"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</x:row>
    <x:row r="311"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</x:row>
    <x:row r="312"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</x:row>
    <x:row r="313"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</x:row>
    <x:row r="314"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</x:row>
    <x:row r="315"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</x:row>
    <x:row r="316"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</x:row>
    <x:row r="317"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</x:row>
    <x:row r="318"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</x:row>
    <x:row r="319"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</x:row>
    <x:row r="320"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</x:row>
  </x:sheetData>
  <x:mergeCells>
    <x:mergeCell ref="B6:K6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2" max="2" width="10" hidden="0" customWidth="1"/>
    <x:col min="3" max="3" width="17" hidden="0" customWidth="1"/>
    <x:col min="4" max="4" width="42" hidden="0" customWidth="1"/>
    <x:col min="5" max="5" width="43" hidden="0" customWidth="1"/>
    <x:col min="6" max="6" width="30" hidden="0" customWidth="1"/>
    <x:col min="7" max="7" width="25" hidden="0" customWidth="1"/>
    <x:col min="8" max="8" width="12" hidden="0" customWidth="1"/>
    <x:col min="9" max="9" width="13" hidden="0" customWidth="1"/>
  </x:cols>
  <x:sheetData>
    <x:row r="2">
      <x:c r="B2" s="3" t="str">
        <x:v>Topology evidence gates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</x:row>
    <x:row r="3">
      <x:c r="B3" s="4" t="str">
        <x:v>No topology, national allocation or rendering advances without complete-path evidence</x:v>
      </x:c>
      <x:c r="C3" s="4"/>
      <x:c r="D3" s="4"/>
      <x:c r="E3" s="4"/>
      <x:c r="F3" s="4"/>
      <x:c r="G3" s="4"/>
      <x:c r="H3" s="4"/>
      <x:c r="I3" s="4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</x:row>
    <x:row r="4">
      <x:c r="B4" s="5"/>
      <x:c r="C4" s="5"/>
      <x:c r="D4" s="5"/>
      <x:c r="E4" s="5"/>
      <x:c r="F4" s="5"/>
      <x:c r="G4" s="5"/>
      <x:c r="H4" s="5"/>
      <x:c r="I4" s="5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</x:row>
    <x:row r="6">
      <x:c r="B6" s="8" t="str">
        <x:v>Admission register</x:v>
      </x:c>
      <x:c r="C6" s="9" t="str">
        <x:v>Admission register</x:v>
      </x:c>
      <x:c r="D6" s="9" t="str">
        <x:v>Admission register</x:v>
      </x:c>
      <x:c r="E6" s="9" t="str">
        <x:v>Admission register</x:v>
      </x:c>
      <x:c r="F6" s="9" t="str">
        <x:v>Admission register</x:v>
      </x:c>
      <x:c r="G6" s="9" t="str">
        <x:v>Admission register</x:v>
      </x:c>
      <x:c r="H6" s="9" t="str">
        <x:v>Admission register</x:v>
      </x:c>
      <x:c r="I6" s="10" t="str">
        <x:v>Admission register</x:v>
      </x:c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</x:row>
    <x:row r="7">
      <x:c r="B7" s="24" t="str">
        <x:v>Gate</x:v>
      </x:c>
      <x:c r="C7" s="25" t="str">
        <x:v>Domain</x:v>
      </x:c>
      <x:c r="D7" s="25" t="str">
        <x:v>Claim</x:v>
      </x:c>
      <x:c r="E7" s="25" t="str">
        <x:v>Required evidence</x:v>
      </x:c>
      <x:c r="F7" s="25" t="str">
        <x:v>Adverse condition</x:v>
      </x:c>
      <x:c r="G7" s="25" t="str">
        <x:v>Decision owner</x:v>
      </x:c>
      <x:c r="H7" s="25" t="str">
        <x:v>Status</x:v>
      </x:c>
      <x:c r="I7" s="25" t="str">
        <x:v>Rendering</x:v>
      </x:c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</x:row>
    <x:row r="8">
      <x:c r="B8" s="89" t="str">
        <x:v>G01</x:v>
      </x:c>
      <x:c r="C8" s="89" t="str">
        <x:v>Guarantee</x:v>
      </x:c>
      <x:c r="D8" s="89" t="str">
        <x:v>ten complete cells after any two access losses</x:v>
      </x:c>
      <x:c r="E8" s="89" t="str">
        <x:v>three-mode full-mission campaign</x:v>
      </x:c>
      <x:c r="F8" s="89" t="str">
        <x:v>unprepared receiver</x:v>
      </x:c>
      <x:c r="G8" s="89" t="str">
        <x:v>Test Authority</x:v>
      </x:c>
      <x:c r="H8" s="89" t="str">
        <x:v>OPEN</x:v>
      </x:c>
      <x:c r="I8" s="80" t="str">
        <x:v>BLOCKED</x:v>
      </x:c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</x:row>
    <x:row r="9">
      <x:c r="B9" s="89" t="str">
        <x:v>G02</x:v>
      </x:c>
      <x:c r="C9" s="89" t="str">
        <x:v>Guarantee</x:v>
      </x:c>
      <x:c r="D9" s="89" t="str">
        <x:v>ten cells after island plus two access losses</x:v>
      </x:c>
      <x:c r="E9" s="89" t="str">
        <x:v>T6 and T7 full-mission campaigns</x:v>
      </x:c>
      <x:c r="F9" s="89" t="str">
        <x:v>simultaneous denial</x:v>
      </x:c>
      <x:c r="G9" s="89" t="str">
        <x:v>Test Authority</x:v>
      </x:c>
      <x:c r="H9" s="89" t="str">
        <x:v>OPEN</x:v>
      </x:c>
      <x:c r="I9" s="80" t="str">
        <x:v>BLOCKED</x:v>
      </x:c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</x:row>
    <x:row r="10">
      <x:c r="B10" s="89" t="str">
        <x:v>G03</x:v>
      </x:c>
      <x:c r="C10" s="89" t="str">
        <x:v>Fourth path</x:v>
      </x:c>
      <x:c r="D10" s="89" t="str">
        <x:v>fourth path is independent</x:v>
      </x:c>
      <x:c r="E10" s="89" t="str">
        <x:v>complete carrier-node-receiver demonstration</x:v>
      </x:c>
      <x:c r="F10" s="89" t="str">
        <x:v>two legacy paths lost</x:v>
      </x:c>
      <x:c r="G10" s="89" t="str">
        <x:v>Advanced Access Office</x:v>
      </x:c>
      <x:c r="H10" s="89" t="str">
        <x:v>OPEN</x:v>
      </x:c>
      <x:c r="I10" s="80" t="str">
        <x:v>BLOCKED</x:v>
      </x:c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</x:row>
    <x:row r="11">
      <x:c r="B11" s="89" t="str">
        <x:v>G04</x:v>
      </x:c>
      <x:c r="C11" s="89" t="str">
        <x:v>Fourth path</x:v>
      </x:c>
      <x:c r="D11" s="89" t="str">
        <x:v>five cells per path by hour 48</x:v>
      </x:c>
      <x:c r="E11" s="89" t="str">
        <x:v>representative mass and service trial</x:v>
      </x:c>
      <x:c r="F11" s="89" t="str">
        <x:v>weather and node damage</x:v>
      </x:c>
      <x:c r="G11" s="89" t="str">
        <x:v>Advanced Access Office</x:v>
      </x:c>
      <x:c r="H11" s="89" t="str">
        <x:v>OPEN</x:v>
      </x:c>
      <x:c r="I11" s="80" t="str">
        <x:v>BLOCKED</x:v>
      </x:c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</x:row>
    <x:row r="12">
      <x:c r="B12" s="89" t="str">
        <x:v>G05</x:v>
      </x:c>
      <x:c r="C12" s="89" t="str">
        <x:v>Fixed</x:v>
      </x:c>
      <x:c r="D12" s="89" t="str">
        <x:v>ten fixed islands fail separately</x:v>
      </x:c>
      <x:c r="E12" s="89" t="str">
        <x:v>hazard, utility, workforce and authority ancestry</x:v>
      </x:c>
      <x:c r="F12" s="89" t="str">
        <x:v>one island lost</x:v>
      </x:c>
      <x:c r="G12" s="89" t="str">
        <x:v>Receiving Command</x:v>
      </x:c>
      <x:c r="H12" s="89" t="str">
        <x:v>OPEN</x:v>
      </x:c>
      <x:c r="I12" s="80" t="str">
        <x:v>BLOCKED</x:v>
      </x:c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</x:row>
    <x:row r="13">
      <x:c r="B13" s="89" t="str">
        <x:v>G06</x:v>
      </x:c>
      <x:c r="C13" s="89" t="str">
        <x:v>Fixed</x:v>
      </x:c>
      <x:c r="D13" s="89" t="str">
        <x:v>fixed island releases full service</x:v>
      </x:c>
      <x:c r="E13" s="89" t="str">
        <x:v>black start and occupied-service acceptance</x:v>
      </x:c>
      <x:c r="F13" s="89" t="str">
        <x:v>grid and cloud loss</x:v>
      </x:c>
      <x:c r="G13" s="89" t="str">
        <x:v>Receiving Command</x:v>
      </x:c>
      <x:c r="H13" s="89" t="str">
        <x:v>OPEN</x:v>
      </x:c>
      <x:c r="I13" s="80" t="str">
        <x:v>BLOCKED</x:v>
      </x:c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</x:row>
    <x:row r="14">
      <x:c r="B14" s="89" t="str">
        <x:v>G07</x:v>
      </x:c>
      <x:c r="C14" s="89" t="str">
        <x:v>Road</x:v>
      </x:c>
      <x:c r="D14" s="89" t="str">
        <x:v>complete road cell is deliverable</x:v>
      </x:c>
      <x:c r="E14" s="89" t="str">
        <x:v>damaged-route launch-to-effect trial</x:v>
      </x:c>
      <x:c r="F14" s="89" t="str">
        <x:v>bridge and fuel denial</x:v>
      </x:c>
      <x:c r="G14" s="89" t="str">
        <x:v>Mobility Command</x:v>
      </x:c>
      <x:c r="H14" s="89" t="str">
        <x:v>OPEN</x:v>
      </x:c>
      <x:c r="I14" s="80" t="str">
        <x:v>BLOCKED</x:v>
      </x:c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</x:row>
    <x:row r="15">
      <x:c r="B15" s="89" t="str">
        <x:v>G08</x:v>
      </x:c>
      <x:c r="C15" s="89" t="str">
        <x:v>Rail</x:v>
      </x:c>
      <x:c r="D15" s="89" t="str">
        <x:v>alternate rail terminals are usable</x:v>
      </x:c>
      <x:c r="E15" s="89" t="str">
        <x:v>dual-terminal deployment trial</x:v>
      </x:c>
      <x:c r="F15" s="89" t="str">
        <x:v>primary terminal lost</x:v>
      </x:c>
      <x:c r="G15" s="89" t="str">
        <x:v>Mobility Command</x:v>
      </x:c>
      <x:c r="H15" s="89" t="str">
        <x:v>OPEN</x:v>
      </x:c>
      <x:c r="I15" s="80" t="str">
        <x:v>BLOCKED</x:v>
      </x:c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</x:row>
    <x:row r="16">
      <x:c r="B16" s="89" t="str">
        <x:v>G09</x:v>
      </x:c>
      <x:c r="C16" s="89" t="str">
        <x:v>Water</x:v>
      </x:c>
      <x:c r="D16" s="89" t="str">
        <x:v>no-pier cell is deliverable</x:v>
      </x:c>
      <x:c r="E16" s="89" t="str">
        <x:v>damaged-bank shallow-water trial</x:v>
      </x:c>
      <x:c r="F16" s="89" t="str">
        <x:v>port denial</x:v>
      </x:c>
      <x:c r="G16" s="89" t="str">
        <x:v>Maritime Command</x:v>
      </x:c>
      <x:c r="H16" s="89" t="str">
        <x:v>OPEN</x:v>
      </x:c>
      <x:c r="I16" s="80" t="str">
        <x:v>BLOCKED</x:v>
      </x:c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</x:row>
    <x:row r="17">
      <x:c r="B17" s="89" t="str">
        <x:v>G10</x:v>
      </x:c>
      <x:c r="C17" s="89" t="str">
        <x:v>Source</x:v>
      </x:c>
      <x:c r="D17" s="89" t="str">
        <x:v>four source lineages substitute</x:v>
      </x:c>
      <x:c r="E17" s="89" t="str">
        <x:v>cross-prime live-load exchange</x:v>
      </x:c>
      <x:c r="F17" s="89" t="str">
        <x:v>largest lineage lost</x:v>
      </x:c>
      <x:c r="G17" s="89" t="str">
        <x:v>Energy Office</x:v>
      </x:c>
      <x:c r="H17" s="89" t="str">
        <x:v>OPEN</x:v>
      </x:c>
      <x:c r="I17" s="80" t="str">
        <x:v>BLOCKED</x:v>
      </x:c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</x:row>
    <x:row r="18">
      <x:c r="B18" s="89" t="str">
        <x:v>G11</x:v>
      </x:c>
      <x:c r="C18" s="89" t="str">
        <x:v>Heat</x:v>
      </x:c>
      <x:c r="D18" s="89" t="str">
        <x:v>four heat destinations substitute</x:v>
      </x:c>
      <x:c r="E18" s="89" t="str">
        <x:v>50°C smoke N-1 campaign</x:v>
      </x:c>
      <x:c r="F18" s="89" t="str">
        <x:v>water denial</x:v>
      </x:c>
      <x:c r="G18" s="89" t="str">
        <x:v>Thermal Office</x:v>
      </x:c>
      <x:c r="H18" s="89" t="str">
        <x:v>OPEN</x:v>
      </x:c>
      <x:c r="I18" s="80" t="str">
        <x:v>BLOCKED</x:v>
      </x:c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</x:row>
    <x:row r="19">
      <x:c r="B19" s="89" t="str">
        <x:v>G12</x:v>
      </x:c>
      <x:c r="C19" s="89" t="str">
        <x:v>Receiver</x:v>
      </x:c>
      <x:c r="D19" s="89" t="str">
        <x:v>alternate public-service boundaries work</x:v>
      </x:c>
      <x:c r="E19" s="89" t="str">
        <x:v>robotic and human acceptance</x:v>
      </x:c>
      <x:c r="F19" s="89" t="str">
        <x:v>primary site denied</x:v>
      </x:c>
      <x:c r="G19" s="89" t="str">
        <x:v>Receiving Command</x:v>
      </x:c>
      <x:c r="H19" s="89" t="str">
        <x:v>OPEN</x:v>
      </x:c>
      <x:c r="I19" s="80" t="str">
        <x:v>BLOCKED</x:v>
      </x:c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</x:row>
    <x:row r="20">
      <x:c r="B20" s="89" t="str">
        <x:v>G13</x:v>
      </x:c>
      <x:c r="C20" s="89" t="str">
        <x:v>Control</x:v>
      </x:c>
      <x:c r="D20" s="89" t="str">
        <x:v>four offline partitions fail separately</x:v>
      </x:c>
      <x:c r="E20" s="89" t="str">
        <x:v>fault injection and signing-root denial</x:v>
      </x:c>
      <x:c r="F20" s="89" t="str">
        <x:v>72-hour disconnection</x:v>
      </x:c>
      <x:c r="G20" s="89" t="str">
        <x:v>Control Authority</x:v>
      </x:c>
      <x:c r="H20" s="89" t="str">
        <x:v>OPEN</x:v>
      </x:c>
      <x:c r="I20" s="80" t="str">
        <x:v>BLOCKED</x:v>
      </x:c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</x:row>
    <x:row r="21">
      <x:c r="B21" s="89" t="str">
        <x:v>G14</x:v>
      </x:c>
      <x:c r="C21" s="89" t="str">
        <x:v>Crew</x:v>
      </x:c>
      <x:c r="D21" s="89" t="str">
        <x:v>four crew lineages remain qualified</x:v>
      </x:c>
      <x:c r="E21" s="89" t="str">
        <x:v>school loss and surge exercise</x:v>
      </x:c>
      <x:c r="F21" s="89" t="str">
        <x:v>25% crew loss</x:v>
      </x:c>
      <x:c r="G21" s="89" t="str">
        <x:v>Personnel Command</x:v>
      </x:c>
      <x:c r="H21" s="89" t="str">
        <x:v>OPEN</x:v>
      </x:c>
      <x:c r="I21" s="80" t="str">
        <x:v>BLOCKED</x:v>
      </x:c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</x:row>
    <x:row r="22">
      <x:c r="B22" s="89" t="str">
        <x:v>G15</x:v>
      </x:c>
      <x:c r="C22" s="89" t="str">
        <x:v>Base</x:v>
      </x:c>
      <x:c r="D22" s="89" t="str">
        <x:v>four launch/reset domains are separable</x:v>
      </x:c>
      <x:c r="E22" s="89" t="str">
        <x:v>simultaneous launch and depot-loss trial</x:v>
      </x:c>
      <x:c r="F22" s="89" t="str">
        <x:v>one route also lost</x:v>
      </x:c>
      <x:c r="G22" s="89" t="str">
        <x:v>Sustainment Command</x:v>
      </x:c>
      <x:c r="H22" s="89" t="str">
        <x:v>OPEN</x:v>
      </x:c>
      <x:c r="I22" s="80" t="str">
        <x:v>BLOCKED</x:v>
      </x:c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</x:row>
    <x:row r="23">
      <x:c r="B23" s="89" t="str">
        <x:v>G16</x:v>
      </x:c>
      <x:c r="C23" s="89" t="str">
        <x:v>Supplier</x:v>
      </x:c>
      <x:c r="D23" s="89" t="str">
        <x:v>prime diversity survives upstream mapping</x:v>
      </x:c>
      <x:c r="E23" s="89" t="str">
        <x:v>bill-of-material ancestry and cold start</x:v>
      </x:c>
      <x:c r="F23" s="89" t="str">
        <x:v>largest source removed</x:v>
      </x:c>
      <x:c r="G23" s="89" t="str">
        <x:v>Industrial Command</x:v>
      </x:c>
      <x:c r="H23" s="89" t="str">
        <x:v>OPEN</x:v>
      </x:c>
      <x:c r="I23" s="80" t="str">
        <x:v>BLOCKED</x:v>
      </x:c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</x:row>
    <x:row r="24">
      <x:c r="B24" s="89" t="str">
        <x:v>G17</x:v>
      </x:c>
      <x:c r="C24" s="89" t="str">
        <x:v>Reset</x:v>
      </x:c>
      <x:c r="D24" s="89" t="str">
        <x:v>90% cells return for second mission</x:v>
      </x:c>
      <x:c r="E24" s="89" t="str">
        <x:v>three-day reconstitution campaign</x:v>
      </x:c>
      <x:c r="F24" s="89" t="str">
        <x:v>contamination and damage</x:v>
      </x:c>
      <x:c r="G24" s="89" t="str">
        <x:v>Sustainment Command</x:v>
      </x:c>
      <x:c r="H24" s="89" t="str">
        <x:v>OPEN</x:v>
      </x:c>
      <x:c r="I24" s="80" t="str">
        <x:v>BLOCKED</x:v>
      </x:c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</x:row>
    <x:row r="25">
      <x:c r="B25" s="89" t="str">
        <x:v>G18</x:v>
      </x:c>
      <x:c r="C25" s="89" t="str">
        <x:v>Pool</x:v>
      </x:c>
      <x:c r="D25" s="89" t="str">
        <x:v>90% groups remain allocable nationally</x:v>
      </x:c>
      <x:c r="E25" s="89" t="str">
        <x:v>multi-region force allocation exercise</x:v>
      </x:c>
      <x:c r="F25" s="89" t="str">
        <x:v>concurrent campaigns</x:v>
      </x:c>
      <x:c r="G25" s="89" t="str">
        <x:v>Campaign Command</x:v>
      </x:c>
      <x:c r="H25" s="89" t="str">
        <x:v>OPEN</x:v>
      </x:c>
      <x:c r="I25" s="80" t="str">
        <x:v>BLOCKED</x:v>
      </x:c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</x:row>
    <x:row r="26">
      <x:c r="B26" s="89" t="str">
        <x:v>G19</x:v>
      </x:c>
      <x:c r="C26" s="89" t="str">
        <x:v>SCA</x:v>
      </x:c>
      <x:c r="D26" s="89" t="str">
        <x:v>population allocation remains operationally relevant</x:v>
      </x:c>
      <x:c r="E26" s="89" t="str">
        <x:v>route, receiver and hazard refresh</x:v>
      </x:c>
      <x:c r="F26" s="89" t="str">
        <x:v>changed catchment state</x:v>
      </x:c>
      <x:c r="G26" s="89" t="str">
        <x:v>Chief Geographer</x:v>
      </x:c>
      <x:c r="H26" s="89" t="str">
        <x:v>OPEN</x:v>
      </x:c>
      <x:c r="I26" s="80" t="str">
        <x:v>BLOCKED</x:v>
      </x:c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</x:row>
    <x:row r="27">
      <x:c r="B27" s="89" t="str">
        <x:v>G20</x:v>
      </x:c>
      <x:c r="C27" s="89" t="str">
        <x:v>SCA</x:v>
      </x:c>
      <x:c r="D27" s="89" t="str">
        <x:v>class rule does not encode unequal rights</x:v>
      </x:c>
      <x:c r="E27" s="89" t="str">
        <x:v>equity and service-deadline audit</x:v>
      </x:c>
      <x:c r="F27" s="89" t="str">
        <x:v>territorial and remote cases</x:v>
      </x:c>
      <x:c r="G27" s="89" t="str">
        <x:v>Civil Rights Authority</x:v>
      </x:c>
      <x:c r="H27" s="89" t="str">
        <x:v>OPEN</x:v>
      </x:c>
      <x:c r="I27" s="80" t="str">
        <x:v>BLOCKED</x:v>
      </x:c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</x:row>
    <x:row r="28">
      <x:c r="B28" s="89" t="str">
        <x:v>G21</x:v>
      </x:c>
      <x:c r="C28" s="89" t="str">
        <x:v>Cost</x:v>
      </x:c>
      <x:c r="D28" s="89" t="str">
        <x:v>fixed-cell lifecycle is bounded</x:v>
      </x:c>
      <x:c r="E28" s="89" t="str">
        <x:v>independent cost estimate</x:v>
      </x:c>
      <x:c r="F28" s="89" t="str">
        <x:v>hardening and labor variance</x:v>
      </x:c>
      <x:c r="G28" s="89" t="str">
        <x:v>Cost Agency</x:v>
      </x:c>
      <x:c r="H28" s="89" t="str">
        <x:v>OPEN</x:v>
      </x:c>
      <x:c r="I28" s="80" t="str">
        <x:v>BLOCKED</x:v>
      </x:c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</x:row>
    <x:row r="29">
      <x:c r="B29" s="89" t="str">
        <x:v>G22</x:v>
      </x:c>
      <x:c r="C29" s="89" t="str">
        <x:v>Cost</x:v>
      </x:c>
      <x:c r="D29" s="89" t="str">
        <x:v>legacy mobile lifecycle is bounded</x:v>
      </x:c>
      <x:c r="E29" s="89" t="str">
        <x:v>prototype-backed cost estimate</x:v>
      </x:c>
      <x:c r="F29" s="89" t="str">
        <x:v>carrier and reset variance</x:v>
      </x:c>
      <x:c r="G29" s="89" t="str">
        <x:v>Cost Agency</x:v>
      </x:c>
      <x:c r="H29" s="89" t="str">
        <x:v>OPEN</x:v>
      </x:c>
      <x:c r="I29" s="80" t="str">
        <x:v>BLOCKED</x:v>
      </x:c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</x:row>
    <x:row r="30">
      <x:c r="B30" s="89" t="str">
        <x:v>G23</x:v>
      </x:c>
      <x:c r="C30" s="89" t="str">
        <x:v>Cost</x:v>
      </x:c>
      <x:c r="D30" s="89" t="str">
        <x:v>fourth-path cost range is bounded</x:v>
      </x:c>
      <x:c r="E30" s="89" t="str">
        <x:v>competitive demonstrator estimates</x:v>
      </x:c>
      <x:c r="F30" s="89" t="str">
        <x:v>pre-prototype uncertainty</x:v>
      </x:c>
      <x:c r="G30" s="89" t="str">
        <x:v>Cost Agency</x:v>
      </x:c>
      <x:c r="H30" s="89" t="str">
        <x:v>OPEN</x:v>
      </x:c>
      <x:c r="I30" s="80" t="str">
        <x:v>BLOCKED</x:v>
      </x:c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</x:row>
    <x:row r="31">
      <x:c r="B31" s="89" t="str">
        <x:v>G24</x:v>
      </x:c>
      <x:c r="C31" s="89" t="str">
        <x:v>Industry</x:v>
      </x:c>
      <x:c r="D31" s="89" t="str">
        <x:v>four complete prime ecosystems exist</x:v>
      </x:c>
      <x:c r="E31" s="89" t="str">
        <x:v>facility, labor and supplier mobilization</x:v>
      </x:c>
      <x:c r="F31" s="89" t="str">
        <x:v>one prime lost</x:v>
      </x:c>
      <x:c r="G31" s="89" t="str">
        <x:v>Industrial Command</x:v>
      </x:c>
      <x:c r="H31" s="89" t="str">
        <x:v>OPEN</x:v>
      </x:c>
      <x:c r="I31" s="80" t="str">
        <x:v>BLOCKED</x:v>
      </x:c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</x:row>
    <x:row r="32">
      <x:c r="B32" s="89" t="str">
        <x:v>G25</x:v>
      </x:c>
      <x:c r="C32" s="89" t="str">
        <x:v>Authority</x:v>
      </x:c>
      <x:c r="D32" s="89" t="str">
        <x:v>degraded civil release functions</x:v>
      </x:c>
      <x:c r="E32" s="89" t="str">
        <x:v>offline release and appeal trial</x:v>
      </x:c>
      <x:c r="F32" s="89" t="str">
        <x:v>jurisdiction disruption</x:v>
      </x:c>
      <x:c r="G32" s="89" t="str">
        <x:v>Civil Authority</x:v>
      </x:c>
      <x:c r="H32" s="89" t="str">
        <x:v>OPEN</x:v>
      </x:c>
      <x:c r="I32" s="80" t="str">
        <x:v>BLOCKED</x:v>
      </x:c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</x:row>
    <x:row r="33">
      <x:c r="B33" s="89" t="str">
        <x:v>G26</x:v>
      </x:c>
      <x:c r="C33" s="89" t="str">
        <x:v>Safety</x:v>
      </x:c>
      <x:c r="D33" s="89" t="str">
        <x:v>mixed systems fail safely</x:v>
      </x:c>
      <x:c r="E33" s="89" t="str">
        <x:v>cross-prime hazard and fault campaign</x:v>
      </x:c>
      <x:c r="F33" s="89" t="str">
        <x:v>misconfiguration</x:v>
      </x:c>
      <x:c r="G33" s="89" t="str">
        <x:v>Safety Authority</x:v>
      </x:c>
      <x:c r="H33" s="89" t="str">
        <x:v>OPEN</x:v>
      </x:c>
      <x:c r="I33" s="80" t="str">
        <x:v>BLOCKED</x:v>
      </x:c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</x:row>
    <x:row r="34">
      <x:c r="B34" s="89" t="str">
        <x:v>G27</x:v>
      </x:c>
      <x:c r="C34" s="89" t="str">
        <x:v>Security</x:v>
      </x:c>
      <x:c r="D34" s="89" t="str">
        <x:v>nuclear or hazardous sources retain custody</x:v>
      </x:c>
      <x:c r="E34" s="89" t="str">
        <x:v>full custody and degraded-site trial</x:v>
      </x:c>
      <x:c r="F34" s="89" t="str">
        <x:v>communications loss</x:v>
      </x:c>
      <x:c r="G34" s="89" t="str">
        <x:v>Safety Authority</x:v>
      </x:c>
      <x:c r="H34" s="89" t="str">
        <x:v>OPEN</x:v>
      </x:c>
      <x:c r="I34" s="80" t="str">
        <x:v>BLOCKED</x:v>
      </x:c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</x:row>
    <x:row r="35">
      <x:c r="B35" s="89" t="str">
        <x:v>G28</x:v>
      </x:c>
      <x:c r="C35" s="89" t="str">
        <x:v>Environment</x:v>
      </x:c>
      <x:c r="D35" s="89" t="str">
        <x:v>emergency deployment has bounded harm</x:v>
      </x:c>
      <x:c r="E35" s="89" t="str">
        <x:v>site and cumulative-impact evaluation</x:v>
      </x:c>
      <x:c r="F35" s="89" t="str">
        <x:v>long mission</x:v>
      </x:c>
      <x:c r="G35" s="89" t="str">
        <x:v>Environmental Authority</x:v>
      </x:c>
      <x:c r="H35" s="89" t="str">
        <x:v>OPEN</x:v>
      </x:c>
      <x:c r="I35" s="80" t="str">
        <x:v>BLOCKED</x:v>
      </x:c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</x:row>
    <x:row r="36">
      <x:c r="B36" s="89" t="str">
        <x:v>G29</x:v>
      </x:c>
      <x:c r="C36" s="89" t="str">
        <x:v>Economy</x:v>
      </x:c>
      <x:c r="D36" s="89" t="str">
        <x:v>industrial mobilization does not hollow civil supply</x:v>
      </x:c>
      <x:c r="E36" s="89" t="str">
        <x:v>input-output and labor constraint study</x:v>
      </x:c>
      <x:c r="F36" s="89" t="str">
        <x:v>concurrent production surge</x:v>
      </x:c>
      <x:c r="G36" s="89" t="str">
        <x:v>Economic Office</x:v>
      </x:c>
      <x:c r="H36" s="89" t="str">
        <x:v>OPEN</x:v>
      </x:c>
      <x:c r="I36" s="80" t="str">
        <x:v>BLOCKED</x:v>
      </x:c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</x:row>
    <x:row r="37">
      <x:c r="B37" s="96" t="str">
        <x:v>G30</x:v>
      </x:c>
      <x:c r="C37" s="96" t="str">
        <x:v>Admission</x:v>
      </x:c>
      <x:c r="D37" s="96" t="str">
        <x:v>reference topology closes all required worlds</x:v>
      </x:c>
      <x:c r="E37" s="96" t="str">
        <x:v>independent integrated evaluation</x:v>
      </x:c>
      <x:c r="F37" s="96" t="str">
        <x:v>declared guarantee set</x:v>
      </x:c>
      <x:c r="G37" s="96" t="str">
        <x:v>Secretary / Test Authority</x:v>
      </x:c>
      <x:c r="H37" s="96" t="str">
        <x:v>OPEN</x:v>
      </x:c>
      <x:c r="I37" s="84" t="str">
        <x:v>BLOCKED</x:v>
      </x:c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</x:row>
    <x:row r="38"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</x:row>
    <x:row r="39"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</x:row>
    <x:row r="40"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</x:row>
    <x:row r="41"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</x:row>
    <x:row r="42"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</x:row>
    <x:row r="43"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</x:row>
    <x:row r="44"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</x:row>
    <x:row r="45"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</x:row>
    <x:row r="46"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</x:row>
    <x:row r="47"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</x:row>
    <x:row r="48"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</x:row>
    <x:row r="49"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</x:row>
    <x:row r="50"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</x:row>
    <x:row r="51"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</x:row>
    <x:row r="52"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</x:row>
    <x:row r="53"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</x:row>
    <x:row r="54"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</x:row>
    <x:row r="55"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</x:row>
    <x:row r="56"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</x:row>
    <x:row r="57"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</x:row>
    <x:row r="58"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</x:row>
    <x:row r="59"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</x:row>
    <x:row r="60"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</x:row>
    <x:row r="61"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</x:row>
    <x:row r="62"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</x:row>
    <x:row r="63"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</x:row>
    <x:row r="64"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</x:row>
    <x:row r="65"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</x:row>
    <x:row r="66"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</x:row>
    <x:row r="67"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</x:row>
    <x:row r="68"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</x:row>
    <x:row r="69"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</x:row>
    <x:row r="70"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</x:row>
    <x:row r="71"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</x:row>
    <x:row r="72"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</x:row>
    <x:row r="73"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</x:row>
    <x:row r="74"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</x:row>
    <x:row r="75"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</x:row>
    <x:row r="76"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</x:row>
    <x:row r="77"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</x:row>
    <x:row r="78"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</x:row>
    <x:row r="79"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</x:row>
    <x:row r="80"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</x:row>
    <x:row r="81"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</x:row>
    <x:row r="82"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</x:row>
    <x:row r="83"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</x:row>
    <x:row r="84"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</x:row>
    <x:row r="85"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</x:row>
    <x:row r="86"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</x:row>
    <x:row r="87"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</x:row>
    <x:row r="88"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</x:row>
    <x:row r="89"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</x:row>
    <x:row r="90"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</x:row>
    <x:row r="91"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</x:row>
    <x:row r="92"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</x:row>
    <x:row r="93"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</x:row>
    <x:row r="94"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</x:row>
    <x:row r="95"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</x:row>
    <x:row r="96"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</x:row>
    <x:row r="97"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</x:row>
    <x:row r="98"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</x:row>
    <x:row r="99"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</x:row>
    <x:row r="100"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</x:row>
    <x:row r="101"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</x:row>
    <x:row r="102"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</x:row>
    <x:row r="103"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</x:row>
    <x:row r="104"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</x:row>
    <x:row r="105"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</x:row>
    <x:row r="106"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</x:row>
    <x:row r="107"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</x:row>
    <x:row r="108"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</x:row>
    <x:row r="109"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</x:row>
    <x:row r="110"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</x:row>
    <x:row r="111"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</x:row>
    <x:row r="112"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</x:row>
    <x:row r="113"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</x:row>
    <x:row r="114"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</x:row>
    <x:row r="115"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</x:row>
    <x:row r="116"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</x:row>
    <x:row r="117"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</x:row>
    <x:row r="118"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</x:row>
    <x:row r="119"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</x:row>
    <x:row r="120"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</x:row>
    <x:row r="121"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</x:row>
    <x:row r="122"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</x:row>
    <x:row r="123"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</x:row>
    <x:row r="124"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</x:row>
    <x:row r="125"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</x:row>
    <x:row r="126"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</x:row>
    <x:row r="127"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</x:row>
    <x:row r="128"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</x:row>
    <x:row r="129"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</x:row>
    <x:row r="130"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</x:row>
    <x:row r="131"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</x:row>
    <x:row r="132"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</x:row>
    <x:row r="133"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</x:row>
    <x:row r="134"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</x:row>
    <x:row r="135"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</x:row>
    <x:row r="136"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</x:row>
    <x:row r="137"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</x:row>
    <x:row r="138"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</x:row>
    <x:row r="139"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</x:row>
    <x:row r="140"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</x:row>
    <x:row r="141"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</x:row>
    <x:row r="142"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</x:row>
    <x:row r="143"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</x:row>
    <x:row r="144"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</x:row>
    <x:row r="145"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</x:row>
    <x:row r="146"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</x:row>
    <x:row r="147"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</x:row>
    <x:row r="148"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</x:row>
    <x:row r="149"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</x:row>
    <x:row r="150"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</x:row>
    <x:row r="151"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</x:row>
    <x:row r="152"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</x:row>
    <x:row r="153"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</x:row>
    <x:row r="154"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</x:row>
    <x:row r="155"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</x:row>
    <x:row r="156"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</x:row>
    <x:row r="157"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</x:row>
    <x:row r="158"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</x:row>
    <x:row r="159"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</x:row>
    <x:row r="160"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</x:row>
    <x:row r="161"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</x:row>
    <x:row r="162"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</x:row>
    <x:row r="163"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</x:row>
    <x:row r="164"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</x:row>
    <x:row r="165"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</x:row>
    <x:row r="166"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</x:row>
    <x:row r="167"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</x:row>
    <x:row r="168"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</x:row>
    <x:row r="169"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</x:row>
    <x:row r="170"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</x:row>
    <x:row r="171"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</x:row>
    <x:row r="172"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</x:row>
    <x:row r="173"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</x:row>
    <x:row r="174"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</x:row>
    <x:row r="175"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</x:row>
    <x:row r="176"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</x:row>
    <x:row r="177"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</x:row>
    <x:row r="178"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</x:row>
    <x:row r="179"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</x:row>
    <x:row r="180"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</x:row>
    <x:row r="181"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</x:row>
    <x:row r="182"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</x:row>
    <x:row r="183"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</x:row>
    <x:row r="184"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</x:row>
    <x:row r="185"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</x:row>
    <x:row r="186"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</x:row>
    <x:row r="187"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</x:row>
    <x:row r="188"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</x:row>
    <x:row r="189"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</x:row>
    <x:row r="190"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</x:row>
    <x:row r="191"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</x:row>
    <x:row r="192"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</x:row>
    <x:row r="193"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</x:row>
    <x:row r="194"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</x:row>
    <x:row r="195"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</x:row>
    <x:row r="196"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</x:row>
    <x:row r="197"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</x:row>
    <x:row r="198"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</x:row>
    <x:row r="199"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</x:row>
    <x:row r="200"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</x:row>
    <x:row r="201"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</x:row>
    <x:row r="202"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</x:row>
    <x:row r="203"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</x:row>
    <x:row r="204"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</x:row>
    <x:row r="205"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</x:row>
    <x:row r="206"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</x:row>
    <x:row r="207"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</x:row>
    <x:row r="208"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</x:row>
    <x:row r="209"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</x:row>
    <x:row r="210"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</x:row>
    <x:row r="211"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</x:row>
    <x:row r="212"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</x:row>
    <x:row r="213"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</x:row>
    <x:row r="214"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</x:row>
    <x:row r="215"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</x:row>
    <x:row r="216"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</x:row>
    <x:row r="217"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</x:row>
    <x:row r="218"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</x:row>
    <x:row r="219"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</x:row>
    <x:row r="220"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</x:row>
    <x:row r="221"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</x:row>
    <x:row r="222"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</x:row>
    <x:row r="223"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</x:row>
    <x:row r="224"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</x:row>
    <x:row r="225"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</x:row>
    <x:row r="226"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</x:row>
    <x:row r="227"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</x:row>
    <x:row r="228"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</x:row>
    <x:row r="229"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</x:row>
    <x:row r="230"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</x:row>
    <x:row r="231"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</x:row>
    <x:row r="232"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</x:row>
    <x:row r="233"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</x:row>
    <x:row r="234"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</x:row>
    <x:row r="235"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</x:row>
    <x:row r="236"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</x:row>
    <x:row r="237"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</x:row>
    <x:row r="238"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</x:row>
    <x:row r="239"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</x:row>
    <x:row r="240"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</x:row>
    <x:row r="241"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</x:row>
    <x:row r="242"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</x:row>
    <x:row r="243"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</x:row>
    <x:row r="244"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</x:row>
    <x:row r="245"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</x:row>
    <x:row r="246"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</x:row>
    <x:row r="247"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</x:row>
    <x:row r="248"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</x:row>
    <x:row r="249"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</x:row>
    <x:row r="250"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</x:row>
    <x:row r="251"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</x:row>
    <x:row r="252"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</x:row>
    <x:row r="253"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</x:row>
    <x:row r="254"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</x:row>
    <x:row r="255"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</x:row>
    <x:row r="256"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</x:row>
    <x:row r="257"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</x:row>
    <x:row r="258"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</x:row>
    <x:row r="259"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</x:row>
    <x:row r="260"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</x:row>
    <x:row r="261"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</x:row>
    <x:row r="262"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</x:row>
    <x:row r="263"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</x:row>
    <x:row r="264"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</x:row>
    <x:row r="265"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</x:row>
    <x:row r="266"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</x:row>
    <x:row r="267"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</x:row>
    <x:row r="268"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</x:row>
    <x:row r="269"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</x:row>
    <x:row r="270"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</x:row>
    <x:row r="271"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</x:row>
    <x:row r="272"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</x:row>
    <x:row r="273"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</x:row>
    <x:row r="274"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</x:row>
    <x:row r="275"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</x:row>
    <x:row r="276"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</x:row>
    <x:row r="277"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</x:row>
    <x:row r="278"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</x:row>
    <x:row r="279"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</x:row>
    <x:row r="280"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</x:row>
    <x:row r="281"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</x:row>
    <x:row r="282"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</x:row>
    <x:row r="283"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</x:row>
    <x:row r="284"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</x:row>
    <x:row r="285"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</x:row>
    <x:row r="286"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</x:row>
    <x:row r="287"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</x:row>
    <x:row r="288"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</x:row>
    <x:row r="289"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</x:row>
    <x:row r="290"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</x:row>
    <x:row r="291"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</x:row>
    <x:row r="292"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</x:row>
    <x:row r="293"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</x:row>
    <x:row r="294"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</x:row>
    <x:row r="295"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</x:row>
    <x:row r="296"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</x:row>
    <x:row r="297"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</x:row>
    <x:row r="298"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</x:row>
    <x:row r="299"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</x:row>
    <x:row r="300"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</x:row>
    <x:row r="301"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</x:row>
    <x:row r="302"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</x:row>
    <x:row r="303"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</x:row>
    <x:row r="304"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</x:row>
    <x:row r="305"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</x:row>
    <x:row r="306"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</x:row>
    <x:row r="307"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</x:row>
    <x:row r="308"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</x:row>
    <x:row r="309"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</x:row>
    <x:row r="310"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</x:row>
    <x:row r="311"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</x:row>
    <x:row r="312"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</x:row>
    <x:row r="313"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</x:row>
    <x:row r="314"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</x:row>
    <x:row r="315"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</x:row>
    <x:row r="316"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</x:row>
    <x:row r="317"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</x:row>
    <x:row r="318"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</x:row>
    <x:row r="319"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</x:row>
    <x:row r="320"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</x:row>
  </x:sheetData>
  <x:mergeCells>
    <x:mergeCell ref="B6:I6"/>
  </x:mergeCells>
  <x:conditionalFormatting sqref="H8:H37">
    <x:cfRule type="containsText" dxfId="2" priority="1" operator="containsText" text="OPEN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2" max="2" width="35" hidden="0" customWidth="1"/>
    <x:col min="3" max="3" width="18" hidden="0" customWidth="1"/>
    <x:col min="4" max="4" width="18" hidden="0" customWidth="1"/>
    <x:col min="5" max="5" width="16" hidden="0" customWidth="1"/>
    <x:col min="6" max="6" width="12" hidden="0" customWidth="1"/>
    <x:col min="7" max="7" width="50" hidden="0" customWidth="1"/>
  </x:cols>
  <x:sheetData>
    <x:row r="2">
      <x:c r="B2" s="3" t="str">
        <x:v>Independent integrity checks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</x:row>
    <x:row r="3">
      <x:c r="B3" s="4" t="str">
        <x:v>Arithmetic, coverage, allocation, cost and governance reconciliations</x:v>
      </x:c>
      <x:c r="C3" s="4"/>
      <x:c r="D3" s="4"/>
      <x:c r="E3" s="4"/>
      <x:c r="F3" s="4"/>
      <x:c r="G3" s="4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</x:row>
    <x:row r="4">
      <x:c r="B4" s="5"/>
      <x:c r="C4" s="5"/>
      <x:c r="D4" s="5"/>
      <x:c r="E4" s="5"/>
      <x:c r="F4" s="5"/>
      <x:c r="G4" s="5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</x:row>
    <x:row r="6">
      <x:c r="B6" s="8" t="str">
        <x:v>Model checks</x:v>
      </x:c>
      <x:c r="C6" s="9" t="str">
        <x:v>Model checks</x:v>
      </x:c>
      <x:c r="D6" s="9" t="str">
        <x:v>Model checks</x:v>
      </x:c>
      <x:c r="E6" s="9" t="str">
        <x:v>Model checks</x:v>
      </x:c>
      <x:c r="F6" s="9" t="str">
        <x:v>Model checks</x:v>
      </x:c>
      <x:c r="G6" s="10" t="str">
        <x:v>Model checks</x:v>
      </x:c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</x:row>
    <x:row r="7">
      <x:c r="B7" s="24" t="str">
        <x:v>Check</x:v>
      </x:c>
      <x:c r="C7" s="25" t="str">
        <x:v>Observed</x:v>
      </x:c>
      <x:c r="D7" s="25" t="str">
        <x:v>Expected</x:v>
      </x:c>
      <x:c r="E7" s="25" t="str">
        <x:v>Difference</x:v>
      </x:c>
      <x:c r="F7" s="25" t="str">
        <x:v>Status</x:v>
      </x:c>
      <x:c r="G7" s="25" t="str">
        <x:v>Meaning</x:v>
      </x:c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</x:row>
    <x:row r="8">
      <x:c r="B8" s="89" t="str">
        <x:v>C01 SCA count</x:v>
      </x:c>
      <x:c r="C8" s="114" t="n">
        <x:f>COUNTIFS('SCA Allocation'!$B$8:$B$39,"&lt;&gt;")</x:f>
        <x:v>32</x:v>
      </x:c>
      <x:c r="D8" s="114" t="n">
        <x:v>32</x:v>
      </x:c>
      <x:c r="E8" s="114" t="n">
        <x:f>C8-D8</x:f>
        <x:v>0</x:v>
      </x:c>
      <x:c r="F8" s="89" t="str">
        <x:f>IF(ABS(E8)&lt;0.0001,"PASS","FAIL")</x:f>
        <x:v>PASS</x:v>
      </x:c>
      <x:c r="G8" s="80" t="str">
        <x:v>all source geographies</x:v>
      </x:c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</x:row>
    <x:row r="9">
      <x:c r="B9" s="89" t="str">
        <x:v>C02 National groups</x:v>
      </x:c>
      <x:c r="C9" s="114" t="n">
        <x:f>SUM('SCA Allocation'!$O$8:$O$39)</x:f>
        <x:v>72</x:v>
      </x:c>
      <x:c r="D9" s="114" t="n">
        <x:v>72</x:v>
      </x:c>
      <x:c r="E9" s="114" t="n">
        <x:f>C9-D9</x:f>
        <x:v>0</x:v>
      </x:c>
      <x:c r="F9" s="89" t="str">
        <x:f>IF(ABS(E9)&lt;0.0001,"PASS","FAIL")</x:f>
        <x:v>PASS</x:v>
      </x:c>
      <x:c r="G9" s="80" t="str">
        <x:v>force total</x:v>
      </x:c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</x:row>
    <x:row r="10">
      <x:c r="B10" s="89" t="str">
        <x:v>C03 Minimum SCA floor</x:v>
      </x:c>
      <x:c r="C10" s="114" t="n">
        <x:f>MIN('SCA Allocation'!$O$8:$O$39)</x:f>
        <x:v>1</x:v>
      </x:c>
      <x:c r="D10" s="114" t="n">
        <x:v>1</x:v>
      </x:c>
      <x:c r="E10" s="114" t="n">
        <x:f>C10-D10</x:f>
        <x:v>0</x:v>
      </x:c>
      <x:c r="F10" s="89" t="str">
        <x:f>IF(ABS(E10)&lt;0.0001,"PASS","FAIL")</x:f>
        <x:v>PASS</x:v>
      </x:c>
      <x:c r="G10" s="80" t="str">
        <x:v>no planning geography disappears</x:v>
      </x:c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</x:row>
    <x:row r="11">
      <x:c r="B11" s="89" t="str">
        <x:v>C04 Topology count</x:v>
      </x:c>
      <x:c r="C11" s="114" t="n">
        <x:f>COUNTIFS('Topology Library'!$B$8:$B$14,"&lt;&gt;")</x:f>
        <x:v>7</x:v>
      </x:c>
      <x:c r="D11" s="114" t="n">
        <x:v>7</x:v>
      </x:c>
      <x:c r="E11" s="114" t="n">
        <x:f>C11-D11</x:f>
        <x:v>0</x:v>
      </x:c>
      <x:c r="F11" s="89" t="str">
        <x:f>IF(ABS(E11)&lt;0.0001,"PASS","FAIL")</x:f>
        <x:v>PASS</x:v>
      </x:c>
      <x:c r="G11" s="80" t="str">
        <x:v>competition completeness</x:v>
      </x:c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</x:row>
    <x:row r="12">
      <x:c r="B12" s="89" t="str">
        <x:v>C05 World count</x:v>
      </x:c>
      <x:c r="C12" s="114" t="n">
        <x:f>COUNTIFS('Topology Worlds'!$C$8:$C$133,"&lt;&gt;")</x:f>
        <x:v>126</x:v>
      </x:c>
      <x:c r="D12" s="114" t="n">
        <x:v>126</x:v>
      </x:c>
      <x:c r="E12" s="114" t="n">
        <x:f>C12-D12</x:f>
        <x:v>0</x:v>
      </x:c>
      <x:c r="F12" s="89" t="str">
        <x:f>IF(ABS(E12)&lt;0.0001,"PASS","FAIL")</x:f>
        <x:v>PASS</x:v>
      </x:c>
      <x:c r="G12" s="80" t="str">
        <x:v>seven by eighteen</x:v>
      </x:c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</x:row>
    <x:row r="13">
      <x:c r="B13" s="89" t="str">
        <x:v>C06 Evidence gate count</x:v>
      </x:c>
      <x:c r="C13" s="114" t="n">
        <x:f>COUNTIFS('Evidence Gates'!$B$8:$B$37,"&lt;&gt;")</x:f>
        <x:v>30</x:v>
      </x:c>
      <x:c r="D13" s="114" t="n">
        <x:v>30</x:v>
      </x:c>
      <x:c r="E13" s="114" t="n">
        <x:f>C13-D13</x:f>
        <x:v>0</x:v>
      </x:c>
      <x:c r="F13" s="89" t="str">
        <x:f>IF(ABS(E13)&lt;0.0001,"PASS","FAIL")</x:f>
        <x:v>PASS</x:v>
      </x:c>
      <x:c r="G13" s="80" t="str">
        <x:v>admission coverage</x:v>
      </x:c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</x:row>
    <x:row r="14">
      <x:c r="B14" s="89" t="str">
        <x:v>C07 Open gate count</x:v>
      </x:c>
      <x:c r="C14" s="114" t="n">
        <x:f>COUNTIFS('Evidence Gates'!$H$8:$H$37,"OPEN")</x:f>
        <x:v>30</x:v>
      </x:c>
      <x:c r="D14" s="114" t="n">
        <x:v>30</x:v>
      </x:c>
      <x:c r="E14" s="114" t="n">
        <x:f>C14-D14</x:f>
        <x:v>0</x:v>
      </x:c>
      <x:c r="F14" s="89" t="str">
        <x:f>IF(ABS(E14)&lt;0.0001,"PASS","FAIL")</x:f>
        <x:v>PASS</x:v>
      </x:c>
      <x:c r="G14" s="80" t="str">
        <x:v>no evidence inferred</x:v>
      </x:c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</x:row>
    <x:row r="15">
      <x:c r="B15" s="89" t="str">
        <x:v>C08 Technology total</x:v>
      </x:c>
      <x:c r="C15" s="114" t="n">
        <x:f>Technology!$C$26</x:f>
        <x:v>320</x:v>
      </x:c>
      <x:c r="D15" s="114" t="n">
        <x:v>320</x:v>
      </x:c>
      <x:c r="E15" s="114" t="n">
        <x:f>C15-D15</x:f>
        <x:v>0</x:v>
      </x:c>
      <x:c r="F15" s="89" t="str">
        <x:f>IF(ABS(E15)&lt;0.0001,"PASS","FAIL")</x:f>
        <x:v>PASS</x:v>
      </x:c>
      <x:c r="G15" s="80" t="str">
        <x:v>portfolio boundary</x:v>
      </x:c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</x:row>
    <x:row r="16">
      <x:c r="B16" s="89" t="str">
        <x:v>C09 Technology increment</x:v>
      </x:c>
      <x:c r="C16" s="114" t="n">
        <x:f>Technology!$C$27</x:f>
        <x:v>140</x:v>
      </x:c>
      <x:c r="D16" s="114" t="n">
        <x:v>140</x:v>
      </x:c>
      <x:c r="E16" s="114" t="n">
        <x:f>C16-D16</x:f>
        <x:v>0</x:v>
      </x:c>
      <x:c r="F16" s="89" t="str">
        <x:f>IF(ABS(E16)&lt;0.0001,"PASS","FAIL")</x:f>
        <x:v>PASS</x:v>
      </x:c>
      <x:c r="G16" s="80" t="str">
        <x:v>no double count</x:v>
      </x:c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</x:row>
    <x:row r="17">
      <x:c r="B17" s="89" t="str">
        <x:v>C10 T1 package theorem</x:v>
      </x:c>
      <x:c r="C17" s="114" t="n">
        <x:f>'Topology Library'!$J$8</x:f>
        <x:v>30</x:v>
      </x:c>
      <x:c r="D17" s="114" t="n">
        <x:v>30</x:v>
      </x:c>
      <x:c r="E17" s="114" t="n">
        <x:f>C17-D17</x:f>
        <x:v>0</x:v>
      </x:c>
      <x:c r="F17" s="89" t="str">
        <x:f>IF(ABS(E17)&lt;0.0001,"PASS","FAIL")</x:f>
        <x:v>PASS</x:v>
      </x:c>
      <x:c r="G17" s="80" t="str">
        <x:v>p=0, m=3, k=2</x:v>
      </x:c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</x:row>
    <x:row r="18">
      <x:c r="B18" s="89" t="str">
        <x:v>C11 T2 package theorem</x:v>
      </x:c>
      <x:c r="C18" s="114" t="n">
        <x:f>'Topology Library'!$J$9</x:f>
        <x:v>12</x:v>
      </x:c>
      <x:c r="D18" s="114" t="n">
        <x:v>12</x:v>
      </x:c>
      <x:c r="E18" s="114" t="n">
        <x:f>C18-D18</x:f>
        <x:v>0</x:v>
      </x:c>
      <x:c r="F18" s="89" t="str">
        <x:f>IF(ABS(E18)&lt;0.0001,"PASS","FAIL")</x:f>
        <x:v>PASS</x:v>
      </x:c>
      <x:c r="G18" s="80" t="str">
        <x:v>p=9 and one cell per mode</x:v>
      </x:c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</x:row>
    <x:row r="19">
      <x:c r="B19" s="89" t="str">
        <x:v>C12 T3 package count</x:v>
      </x:c>
      <x:c r="C19" s="114" t="n">
        <x:f>'Topology Library'!$J$10</x:f>
        <x:v>15</x:v>
      </x:c>
      <x:c r="D19" s="114" t="n">
        <x:v>15</x:v>
      </x:c>
      <x:c r="E19" s="114" t="n">
        <x:f>C19-D19</x:f>
        <x:v>0</x:v>
      </x:c>
      <x:c r="F19" s="89" t="str">
        <x:f>IF(ABS(E19)&lt;0.0001,"PASS","FAIL")</x:f>
        <x:v>PASS</x:v>
      </x:c>
      <x:c r="G19" s="80" t="str">
        <x:v>federated margin</x:v>
      </x:c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</x:row>
    <x:row r="20">
      <x:c r="B20" s="89" t="str">
        <x:v>C13 T4 package theorem</x:v>
      </x:c>
      <x:c r="C20" s="114" t="n">
        <x:f>'Topology Library'!$J$11</x:f>
        <x:v>18</x:v>
      </x:c>
      <x:c r="D20" s="114" t="n">
        <x:v>18</x:v>
      </x:c>
      <x:c r="E20" s="114" t="n">
        <x:f>C20-D20</x:f>
        <x:v>0</x:v>
      </x:c>
      <x:c r="F20" s="89" t="str">
        <x:f>IF(ABS(E20)&lt;0.0001,"PASS","FAIL")</x:f>
        <x:v>PASS</x:v>
      </x:c>
      <x:c r="G20" s="80" t="str">
        <x:v>p=6 and four per mode</x:v>
      </x:c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</x:row>
    <x:row r="21">
      <x:c r="B21" s="89" t="str">
        <x:v>C14 T5 package theorem</x:v>
      </x:c>
      <x:c r="C21" s="114" t="n">
        <x:f>'Topology Library'!$J$12</x:f>
        <x:v>20</x:v>
      </x:c>
      <x:c r="D21" s="114" t="n">
        <x:v>20</x:v>
      </x:c>
      <x:c r="E21" s="114" t="n">
        <x:f>C21-D21</x:f>
        <x:v>0</x:v>
      </x:c>
      <x:c r="F21" s="89" t="str">
        <x:f>IF(ABS(E21)&lt;0.0001,"PASS","FAIL")</x:f>
        <x:v>PASS</x:v>
      </x:c>
      <x:c r="G21" s="80" t="str">
        <x:v>four-path lower bound</x:v>
      </x:c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</x:row>
    <x:row r="22">
      <x:c r="B22" s="89" t="str">
        <x:v>C15 T6 package count</x:v>
      </x:c>
      <x:c r="C22" s="114" t="n">
        <x:f>'Topology Library'!$J$13</x:f>
        <x:v>16</x:v>
      </x:c>
      <x:c r="D22" s="114" t="n">
        <x:v>16</x:v>
      </x:c>
      <x:c r="E22" s="114" t="n">
        <x:f>C22-D22</x:f>
        <x:v>0</x:v>
      </x:c>
      <x:c r="F22" s="89" t="str">
        <x:f>IF(ABS(E22)&lt;0.0001,"PASS","FAIL")</x:f>
        <x:v>PASS</x:v>
      </x:c>
      <x:c r="G22" s="80" t="str">
        <x:v>layered mixed-denial architecture</x:v>
      </x:c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</x:row>
    <x:row r="23">
      <x:c r="B23" s="89" t="str">
        <x:v>C16 T7 package count</x:v>
      </x:c>
      <x:c r="C23" s="114" t="n">
        <x:f>'Topology Library'!$J$14</x:f>
        <x:v>13</x:v>
      </x:c>
      <x:c r="D23" s="114" t="n">
        <x:v>13</x:v>
      </x:c>
      <x:c r="E23" s="114" t="n">
        <x:f>C23-D23</x:f>
        <x:v>0</x:v>
      </x:c>
      <x:c r="F23" s="89" t="str">
        <x:f>IF(ABS(E23)&lt;0.0001,"PASS","FAIL")</x:f>
        <x:v>PASS</x:v>
      </x:c>
      <x:c r="G23" s="80" t="str">
        <x:v>cell-scale federation</x:v>
      </x:c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</x:row>
    <x:row r="24">
      <x:c r="B24" s="89" t="str">
        <x:v>C17 T1 any-two retained</x:v>
      </x:c>
      <x:c r="C24" s="114" t="n">
        <x:f>'Topology Library'!$M$8</x:f>
        <x:v>10</x:v>
      </x:c>
      <x:c r="D24" s="114" t="n">
        <x:v>10</x:v>
      </x:c>
      <x:c r="E24" s="114" t="n">
        <x:f>C24-D24</x:f>
        <x:v>0</x:v>
      </x:c>
      <x:c r="F24" s="89" t="str">
        <x:f>IF(ABS(E24)&lt;0.0001,"PASS","FAIL")</x:f>
        <x:v>PASS</x:v>
      </x:c>
      <x:c r="G24" s="80" t="str">
        <x:v>transport guarantee</x:v>
      </x:c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</x:row>
    <x:row r="25">
      <x:c r="B25" s="89" t="str">
        <x:v>C18 T2 anchor plus one</x:v>
      </x:c>
      <x:c r="C25" s="114" t="n">
        <x:f>'Topology Library'!$O$9</x:f>
        <x:v>2</x:v>
      </x:c>
      <x:c r="D25" s="114" t="n">
        <x:v>2</x:v>
      </x:c>
      <x:c r="E25" s="114" t="n">
        <x:f>C25-D25</x:f>
        <x:v>0</x:v>
      </x:c>
      <x:c r="F25" s="89" t="str">
        <x:f>IF(ABS(E25)&lt;0.0001,"PASS","FAIL")</x:f>
        <x:v>PASS</x:v>
      </x:c>
      <x:c r="G25" s="80" t="str">
        <x:v>concentrated anchor failure exposed</x:v>
      </x:c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</x:row>
    <x:row r="26">
      <x:c r="B26" s="89" t="str">
        <x:v>C19 T3 fixed plus one</x:v>
      </x:c>
      <x:c r="C26" s="114" t="n">
        <x:f>'Topology Library'!$O$10</x:f>
        <x:v>10</x:v>
      </x:c>
      <x:c r="D26" s="114" t="n">
        <x:v>10</x:v>
      </x:c>
      <x:c r="E26" s="114" t="n">
        <x:f>C26-D26</x:f>
        <x:v>0</x:v>
      </x:c>
      <x:c r="F26" s="89" t="str">
        <x:f>IF(ABS(E26)&lt;0.0001,"PASS","FAIL")</x:f>
        <x:v>PASS</x:v>
      </x:c>
      <x:c r="G26" s="80" t="str">
        <x:v>federated guarantee</x:v>
      </x:c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</x:row>
    <x:row r="27">
      <x:c r="B27" s="89" t="str">
        <x:v>C20 T4 fixed plus one</x:v>
      </x:c>
      <x:c r="C27" s="114" t="n">
        <x:f>'Topology Library'!$O$11</x:f>
        <x:v>12</x:v>
      </x:c>
      <x:c r="D27" s="114" t="n">
        <x:v>12</x:v>
      </x:c>
      <x:c r="E27" s="114" t="n">
        <x:f>C27-D27</x:f>
        <x:v>0</x:v>
      </x:c>
      <x:c r="F27" s="89" t="str">
        <x:f>IF(ABS(E27)&lt;0.0001,"PASS","FAIL")</x:f>
        <x:v>PASS</x:v>
      </x:c>
      <x:c r="G27" s="80" t="str">
        <x:v>hybrid margin</x:v>
      </x:c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</x:row>
    <x:row r="28">
      <x:c r="B28" s="89" t="str">
        <x:v>C21 T5 any-two retained</x:v>
      </x:c>
      <x:c r="C28" s="114" t="n">
        <x:f>'Topology Library'!$M$12</x:f>
        <x:v>10</x:v>
      </x:c>
      <x:c r="D28" s="114" t="n">
        <x:v>10</x:v>
      </x:c>
      <x:c r="E28" s="114" t="n">
        <x:f>C28-D28</x:f>
        <x:v>0</x:v>
      </x:c>
      <x:c r="F28" s="89" t="str">
        <x:f>IF(ABS(E28)&lt;0.0001,"PASS","FAIL")</x:f>
        <x:v>PASS</x:v>
      </x:c>
      <x:c r="G28" s="80" t="str">
        <x:v>four-path guarantee</x:v>
      </x:c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</x:row>
    <x:row r="29">
      <x:c r="B29" s="89" t="str">
        <x:v>C22 T6 fixed plus two</x:v>
      </x:c>
      <x:c r="C29" s="114" t="n">
        <x:f>'Topology Library'!$P$13</x:f>
        <x:v>10</x:v>
      </x:c>
      <x:c r="D29" s="114" t="n">
        <x:v>10</x:v>
      </x:c>
      <x:c r="E29" s="114" t="n">
        <x:f>C29-D29</x:f>
        <x:v>0</x:v>
      </x:c>
      <x:c r="F29" s="89" t="str">
        <x:f>IF(ABS(E29)&lt;0.0001,"PASS","FAIL")</x:f>
        <x:v>PASS</x:v>
      </x:c>
      <x:c r="G29" s="80" t="str">
        <x:v>four-island mixed guarantee</x:v>
      </x:c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</x:row>
    <x:row r="30">
      <x:c r="B30" s="89" t="str">
        <x:v>C23 T7 fixed plus two</x:v>
      </x:c>
      <x:c r="C30" s="114" t="n">
        <x:f>'Topology Library'!$P$14</x:f>
        <x:v>10</x:v>
      </x:c>
      <x:c r="D30" s="114" t="n">
        <x:v>10</x:v>
      </x:c>
      <x:c r="E30" s="114" t="n">
        <x:f>C30-D30</x:f>
        <x:v>0</x:v>
      </x:c>
      <x:c r="F30" s="89" t="str">
        <x:f>IF(ABS(E30)&lt;0.0001,"PASS","FAIL")</x:f>
        <x:v>PASS</x:v>
      </x:c>
      <x:c r="G30" s="80" t="str">
        <x:v>ten-island mixed guarantee</x:v>
      </x:c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</x:row>
    <x:row r="31">
      <x:c r="B31" s="89" t="str">
        <x:v>C24 T7 W07 retained</x:v>
      </x:c>
      <x:c r="C31" s="114" t="n">
        <x:f>SUMIFS('Topology Worlds'!$J$8:$J$133,'Topology Worlds'!$B$8:$B$133,"T7",'Topology Worlds'!$C$8:$C$133,"W07")</x:f>
        <x:v>10</x:v>
      </x:c>
      <x:c r="D31" s="114" t="n">
        <x:v>10</x:v>
      </x:c>
      <x:c r="E31" s="114" t="n">
        <x:f>C31-D31</x:f>
        <x:v>0</x:v>
      </x:c>
      <x:c r="F31" s="89" t="str">
        <x:f>IF(ABS(E31)&lt;0.0001,"PASS","FAIL")</x:f>
        <x:v>PASS</x:v>
      </x:c>
      <x:c r="G31" s="80" t="str">
        <x:v>world implementation</x:v>
      </x:c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</x:row>
    <x:row r="32">
      <x:c r="B32" s="89" t="str">
        <x:v>C25 T2 W07 retained</x:v>
      </x:c>
      <x:c r="C32" s="114" t="n">
        <x:f>SUMIFS('Topology Worlds'!$J$8:$J$133,'Topology Worlds'!$B$8:$B$133,"T2",'Topology Worlds'!$C$8:$C$133,"W07")</x:f>
        <x:v>1</x:v>
      </x:c>
      <x:c r="D32" s="114" t="n">
        <x:v>1</x:v>
      </x:c>
      <x:c r="E32" s="114" t="n">
        <x:f>C32-D32</x:f>
        <x:v>0</x:v>
      </x:c>
      <x:c r="F32" s="89" t="str">
        <x:f>IF(ABS(E32)&lt;0.0001,"PASS","FAIL")</x:f>
        <x:v>PASS</x:v>
      </x:c>
      <x:c r="G32" s="80" t="str">
        <x:v>anchor common mode</x:v>
      </x:c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</x:row>
    <x:row r="33">
      <x:c r="B33" s="89" t="str">
        <x:v>C26 Fixed unit lifecycle</x:v>
      </x:c>
      <x:c r="C33" s="114" t="n">
        <x:f>Assumptions!$E$22</x:f>
        <x:v>2.46</x:v>
      </x:c>
      <x:c r="D33" s="114" t="n">
        <x:v>2.46</x:v>
      </x:c>
      <x:c r="E33" s="114" t="n">
        <x:f>C33-D33</x:f>
        <x:v>0</x:v>
      </x:c>
      <x:c r="F33" s="89" t="str">
        <x:f>IF(ABS(E33)&lt;0.0001,"PASS","FAIL")</x:f>
        <x:v>PASS</x:v>
      </x:c>
      <x:c r="G33" s="80" t="str">
        <x:v>Pass 75 boundary reproduced</x:v>
      </x:c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</x:row>
    <x:row r="34">
      <x:c r="B34" s="89" t="str">
        <x:v>C27 Road lifecycle</x:v>
      </x:c>
      <x:c r="C34" s="114" t="n">
        <x:f>Assumptions!$E$23</x:f>
        <x:v>2.479</x:v>
      </x:c>
      <x:c r="D34" s="114" t="n">
        <x:v>2.479</x:v>
      </x:c>
      <x:c r="E34" s="114" t="n">
        <x:f>C34-D34</x:f>
        <x:v>0</x:v>
      </x:c>
      <x:c r="F34" s="89" t="str">
        <x:f>IF(ABS(E34)&lt;0.0001,"PASS","FAIL")</x:f>
        <x:v>PASS</x:v>
      </x:c>
      <x:c r="G34" s="80" t="str">
        <x:v>Pass 75 boundary reproduced</x:v>
      </x:c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</x:row>
    <x:row r="35">
      <x:c r="B35" s="89" t="str">
        <x:v>C28 Rail lifecycle</x:v>
      </x:c>
      <x:c r="C35" s="114" t="n">
        <x:f>Assumptions!$E$24</x:f>
        <x:v>2.799</x:v>
      </x:c>
      <x:c r="D35" s="114" t="n">
        <x:v>2.799</x:v>
      </x:c>
      <x:c r="E35" s="114" t="n">
        <x:f>C35-D35</x:f>
        <x:v>0</x:v>
      </x:c>
      <x:c r="F35" s="89" t="str">
        <x:f>IF(ABS(E35)&lt;0.0001,"PASS","FAIL")</x:f>
        <x:v>PASS</x:v>
      </x:c>
      <x:c r="G35" s="80" t="str">
        <x:v>Pass 75 boundary reproduced</x:v>
      </x:c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</x:row>
    <x:row r="36">
      <x:c r="B36" s="89" t="str">
        <x:v>C29 Water lifecycle</x:v>
      </x:c>
      <x:c r="C36" s="114" t="n">
        <x:f>Assumptions!$E$25</x:f>
        <x:v>3.239</x:v>
      </x:c>
      <x:c r="D36" s="114" t="n">
        <x:v>3.239</x:v>
      </x:c>
      <x:c r="E36" s="114" t="n">
        <x:f>C36-D36</x:f>
        <x:v>0</x:v>
      </x:c>
      <x:c r="F36" s="89" t="str">
        <x:f>IF(ABS(E36)&lt;0.0001,"PASS","FAIL")</x:f>
        <x:v>PASS</x:v>
      </x:c>
      <x:c r="G36" s="80" t="str">
        <x:v>Pass 75 boundary reproduced</x:v>
      </x:c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</x:row>
    <x:row r="37">
      <x:c r="B37" s="89" t="str">
        <x:v>C30 Fourth-path lifecycle</x:v>
      </x:c>
      <x:c r="C37" s="114" t="n">
        <x:f>Assumptions!$E$26</x:f>
        <x:v>4.5</x:v>
      </x:c>
      <x:c r="D37" s="114" t="n">
        <x:v>4.5</x:v>
      </x:c>
      <x:c r="E37" s="114" t="n">
        <x:f>C37-D37</x:f>
        <x:v>0</x:v>
      </x:c>
      <x:c r="F37" s="89" t="str">
        <x:f>IF(ABS(E37)&lt;0.0001,"PASS","FAIL")</x:f>
        <x:v>PASS</x:v>
      </x:c>
      <x:c r="G37" s="80" t="str">
        <x:v>declared clean-sheet comparator</x:v>
      </x:c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</x:row>
    <x:row r="38">
      <x:c r="B38" s="89" t="str">
        <x:v>C31 Retained common</x:v>
      </x:c>
      <x:c r="C38" s="114" t="n">
        <x:f>Assumptions!$I$24</x:f>
        <x:v>2129.4272</x:v>
      </x:c>
      <x:c r="D38" s="114" t="n">
        <x:v>2129.4272</x:v>
      </x:c>
      <x:c r="E38" s="114" t="n">
        <x:f>C38-D38</x:f>
        <x:v>0</x:v>
      </x:c>
      <x:c r="F38" s="89" t="str">
        <x:f>IF(ABS(E38)&lt;0.0001,"PASS","FAIL")</x:f>
        <x:v>PASS</x:v>
      </x:c>
      <x:c r="G38" s="80" t="str">
        <x:v>Pass 75 reconciliation</x:v>
      </x:c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</x:row>
    <x:row r="39">
      <x:c r="B39" s="89" t="str">
        <x:v>C32 T1 all-in lifecycle</x:v>
      </x:c>
      <x:c r="C39" s="114" t="n">
        <x:f>'National Program'!$Q$8</x:f>
        <x:v>8401.6672</x:v>
      </x:c>
      <x:c r="D39" s="114" t="n">
        <x:v>8401.6672</x:v>
      </x:c>
      <x:c r="E39" s="114" t="n">
        <x:f>C39-D39</x:f>
        <x:v>0</x:v>
      </x:c>
      <x:c r="F39" s="89" t="str">
        <x:f>IF(ABS(E39)&lt;0.0001,"PASS","FAIL")</x:f>
        <x:v>PASS</x:v>
      </x:c>
      <x:c r="G39" s="80" t="str">
        <x:v>Pass 75 unprepared boundary plus $80B increment</x:v>
      </x:c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</x:row>
    <x:row r="40">
      <x:c r="B40" s="89" t="str">
        <x:v>C33 T2 all-in lifecycle</x:v>
      </x:c>
      <x:c r="C40" s="114" t="n">
        <x:f>'National Program'!$Q$9</x:f>
        <x:v>4476.7312</x:v>
      </x:c>
      <x:c r="D40" s="114" t="n">
        <x:v>4476.7312</x:v>
      </x:c>
      <x:c r="E40" s="114" t="n">
        <x:f>C40-D40</x:f>
        <x:v>0</x:v>
      </x:c>
      <x:c r="F40" s="89" t="str">
        <x:f>IF(ABS(E40)&lt;0.0001,"PASS","FAIL")</x:f>
        <x:v>PASS</x:v>
      </x:c>
      <x:c r="G40" s="80" t="str">
        <x:v>concentrated prepared comparator</x:v>
      </x:c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</x:row>
    <x:row r="41">
      <x:c r="B41" s="89" t="str">
        <x:v>C34 T4 all-in lifecycle</x:v>
      </x:c>
      <x:c r="C41" s="114" t="n">
        <x:f>'National Program'!$Q$11</x:f>
        <x:v>5785.0432</x:v>
      </x:c>
      <x:c r="D41" s="114" t="n">
        <x:v>5785.0432</x:v>
      </x:c>
      <x:c r="E41" s="114" t="n">
        <x:f>C41-D41</x:f>
        <x:v>0</x:v>
      </x:c>
      <x:c r="F41" s="89" t="str">
        <x:f>IF(ABS(E41)&lt;0.0001,"PASS","FAIL")</x:f>
        <x:v>PASS</x:v>
      </x:c>
      <x:c r="G41" s="80" t="str">
        <x:v>six-cell hybrid comparator</x:v>
      </x:c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</x:row>
    <x:row r="42">
      <x:c r="B42" s="89" t="str">
        <x:v>C35 T5 all-in lifecycle</x:v>
      </x:c>
      <x:c r="C42" s="114" t="n">
        <x:f>'National Program'!$Q$12</x:f>
        <x:v>6955.5472</x:v>
      </x:c>
      <x:c r="D42" s="114" t="n">
        <x:v>6955.5472</x:v>
      </x:c>
      <x:c r="E42" s="114" t="n">
        <x:f>C42-D42</x:f>
        <x:v>0</x:v>
      </x:c>
      <x:c r="F42" s="89" t="str">
        <x:f>IF(ABS(E42)&lt;0.0001,"PASS","FAIL")</x:f>
        <x:v>PASS</x:v>
      </x:c>
      <x:c r="G42" s="80" t="str">
        <x:v>four-path expeditionary comparator</x:v>
      </x:c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</x:row>
    <x:row r="43">
      <x:c r="B43" s="89" t="str">
        <x:v>C36 T6 all-in lifecycle</x:v>
      </x:c>
      <x:c r="C43" s="114" t="n">
        <x:f>'National Program'!$Q$13</x:f>
        <x:v>5560.8351999999995</x:v>
      </x:c>
      <x:c r="D43" s="114" t="n">
        <x:v>5560.8352</x:v>
      </x:c>
      <x:c r="E43" s="114" t="n">
        <x:f>C43-D43</x:f>
        <x:v>-9.094947017729282e-13</x:v>
      </x:c>
      <x:c r="F43" s="89" t="str">
        <x:f>IF(ABS(E43)&lt;0.0001,"PASS","FAIL")</x:f>
        <x:v>PASS</x:v>
      </x:c>
      <x:c r="G43" s="80" t="str">
        <x:v>four-path layered comparator</x:v>
      </x:c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</x:row>
    <x:row r="44">
      <x:c r="B44" s="89" t="str">
        <x:v>C37 T7 all-in lifecycle</x:v>
      </x:c>
      <x:c r="C44" s="114" t="n">
        <x:f>'National Program'!$Q$14</x:f>
        <x:v>4653.8512</x:v>
      </x:c>
      <x:c r="D44" s="114" t="n">
        <x:v>4653.8512</x:v>
      </x:c>
      <x:c r="E44" s="114" t="n">
        <x:f>C44-D44</x:f>
        <x:v>0</x:v>
      </x:c>
      <x:c r="F44" s="89" t="str">
        <x:f>IF(ABS(E44)&lt;0.0001,"PASS","FAIL")</x:f>
        <x:v>PASS</x:v>
      </x:c>
      <x:c r="G44" s="80" t="str">
        <x:v>ten-island comparator</x:v>
      </x:c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</x:row>
    <x:row r="45">
      <x:c r="B45" s="89" t="str">
        <x:v>C38 Mixed portfolio groups</x:v>
      </x:c>
      <x:c r="C45" s="114" t="n">
        <x:f>'National Program'!$C$16</x:f>
        <x:v>72</x:v>
      </x:c>
      <x:c r="D45" s="114" t="n">
        <x:v>72</x:v>
      </x:c>
      <x:c r="E45" s="114" t="n">
        <x:f>C45-D45</x:f>
        <x:v>0</x:v>
      </x:c>
      <x:c r="F45" s="89" t="str">
        <x:f>IF(ABS(E45)&lt;0.0001,"PASS","FAIL")</x:f>
        <x:v>PASS</x:v>
      </x:c>
      <x:c r="G45" s="80" t="str">
        <x:v>portfolio coverage</x:v>
      </x:c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</x:row>
    <x:row r="46">
      <x:c r="B46" s="89" t="str">
        <x:v>C39 Mixed portfolio base</x:v>
      </x:c>
      <x:c r="C46" s="114" t="n">
        <x:f>'National Program'!$Q$16</x:f>
        <x:v>5164.7482</x:v>
      </x:c>
      <x:c r="D46" s="114" t="n">
        <x:v>5164.7482</x:v>
      </x:c>
      <x:c r="E46" s="114" t="n">
        <x:f>C46-D46</x:f>
        <x:v>0</x:v>
      </x:c>
      <x:c r="F46" s="89" t="str">
        <x:f>IF(ABS(E46)&lt;0.0001,"PASS","FAIL")</x:f>
        <x:v>PASS</x:v>
      </x:c>
      <x:c r="G46" s="80" t="str">
        <x:v>geography-assigned program</x:v>
      </x:c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</x:row>
    <x:row r="47">
      <x:c r="B47" s="89" t="str">
        <x:v>C40 Mixed low below base</x:v>
      </x:c>
      <x:c r="C47" s="114" t="n">
        <x:f>IF('National Program'!$P$16&lt;'National Program'!$Q$16,1,0)</x:f>
        <x:v>1</x:v>
      </x:c>
      <x:c r="D47" s="114" t="n">
        <x:v>1</x:v>
      </x:c>
      <x:c r="E47" s="114" t="n">
        <x:f>C47-D47</x:f>
        <x:v>0</x:v>
      </x:c>
      <x:c r="F47" s="89" t="str">
        <x:f>IF(ABS(E47)&lt;0.0001,"PASS","FAIL")</x:f>
        <x:v>PASS</x:v>
      </x:c>
      <x:c r="G47" s="80" t="str">
        <x:v>uncertainty ordering</x:v>
      </x:c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</x:row>
    <x:row r="48">
      <x:c r="B48" s="89" t="str">
        <x:v>C41 Mixed high above base</x:v>
      </x:c>
      <x:c r="C48" s="114" t="n">
        <x:f>IF('National Program'!$R$16&gt;'National Program'!$Q$16,1,0)</x:f>
        <x:v>1</x:v>
      </x:c>
      <x:c r="D48" s="114" t="n">
        <x:v>1</x:v>
      </x:c>
      <x:c r="E48" s="114" t="n">
        <x:f>C48-D48</x:f>
        <x:v>0</x:v>
      </x:c>
      <x:c r="F48" s="89" t="str">
        <x:f>IF(ABS(E48)&lt;0.0001,"PASS","FAIL")</x:f>
        <x:v>PASS</x:v>
      </x:c>
      <x:c r="G48" s="80" t="str">
        <x:v>uncertainty ordering</x:v>
      </x:c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</x:row>
    <x:row r="49">
      <x:c r="B49" s="89" t="str">
        <x:v>C42 Rendering authorization</x:v>
      </x:c>
      <x:c r="C49" s="114" t="n">
        <x:f>Assumptions!$C$16</x:f>
        <x:v>0</x:v>
      </x:c>
      <x:c r="D49" s="114" t="n">
        <x:v>0</x:v>
      </x:c>
      <x:c r="E49" s="114" t="n">
        <x:f>C49-D49</x:f>
        <x:v>0</x:v>
      </x:c>
      <x:c r="F49" s="89" t="str">
        <x:f>IF(ABS(E49)&lt;0.0001,"PASS","FAIL")</x:f>
        <x:v>PASS</x:v>
      </x:c>
      <x:c r="G49" s="80" t="str">
        <x:v>renderings remain blocked</x:v>
      </x:c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</x:row>
    <x:row r="50">
      <x:c r="B50" s="89" t="str">
        <x:v>C43 Ancestry credits</x:v>
      </x:c>
      <x:c r="C50" s="114" t="n">
        <x:f>SUM(Ancestry!$H$8:$H$23)</x:f>
        <x:v>0</x:v>
      </x:c>
      <x:c r="D50" s="114" t="n">
        <x:v>0</x:v>
      </x:c>
      <x:c r="E50" s="114" t="n">
        <x:f>C50-D50</x:f>
        <x:v>0</x:v>
      </x:c>
      <x:c r="F50" s="89" t="str">
        <x:f>IF(ABS(E50)&lt;0.0001,"PASS","FAIL")</x:f>
        <x:v>PASS</x:v>
      </x:c>
      <x:c r="G50" s="80" t="str">
        <x:v>no independence presumed</x:v>
      </x:c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</x:row>
    <x:row r="51">
      <x:c r="B51" s="96" t="str">
        <x:v>C44 Admissions</x:v>
      </x:c>
      <x:c r="C51" s="115" t="n">
        <x:f>COUNTIFS('Topology Library'!$AF$8:$AF$14,"ADMITTED")</x:f>
        <x:v>0</x:v>
      </x:c>
      <x:c r="D51" s="115" t="n">
        <x:v>0</x:v>
      </x:c>
      <x:c r="E51" s="115" t="n">
        <x:f>C51-D51</x:f>
        <x:v>0</x:v>
      </x:c>
      <x:c r="F51" s="96" t="str">
        <x:f>IF(ABS(E51)&lt;0.0001,"PASS","FAIL")</x:f>
        <x:v>PASS</x:v>
      </x:c>
      <x:c r="G51" s="84" t="str">
        <x:v>competition remains research only</x:v>
      </x:c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</x:row>
    <x:row r="52"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</x:row>
    <x:row r="53"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</x:row>
    <x:row r="54"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</x:row>
    <x:row r="55"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</x:row>
    <x:row r="56"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</x:row>
    <x:row r="57"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</x:row>
    <x:row r="58"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</x:row>
    <x:row r="59"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</x:row>
    <x:row r="60"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</x:row>
    <x:row r="61"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</x:row>
    <x:row r="62"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</x:row>
    <x:row r="63"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</x:row>
    <x:row r="64"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</x:row>
    <x:row r="65"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</x:row>
    <x:row r="66"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</x:row>
    <x:row r="67"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</x:row>
    <x:row r="68"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</x:row>
    <x:row r="69"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</x:row>
    <x:row r="70"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</x:row>
    <x:row r="71"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</x:row>
    <x:row r="72"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</x:row>
    <x:row r="73"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</x:row>
    <x:row r="74"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</x:row>
    <x:row r="75"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</x:row>
    <x:row r="76"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</x:row>
    <x:row r="77"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</x:row>
    <x:row r="78"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</x:row>
    <x:row r="79"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</x:row>
    <x:row r="80"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</x:row>
    <x:row r="81"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</x:row>
    <x:row r="82"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</x:row>
    <x:row r="83"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</x:row>
    <x:row r="84"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</x:row>
    <x:row r="85"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</x:row>
    <x:row r="86"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</x:row>
    <x:row r="87"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</x:row>
    <x:row r="88"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</x:row>
    <x:row r="89"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</x:row>
    <x:row r="90"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</x:row>
    <x:row r="91"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</x:row>
    <x:row r="92"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</x:row>
    <x:row r="93"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</x:row>
    <x:row r="94"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</x:row>
    <x:row r="95"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</x:row>
    <x:row r="96"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</x:row>
    <x:row r="97"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</x:row>
    <x:row r="98"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</x:row>
    <x:row r="99"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</x:row>
    <x:row r="100"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</x:row>
    <x:row r="101"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</x:row>
    <x:row r="102"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</x:row>
    <x:row r="103"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</x:row>
    <x:row r="104"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</x:row>
    <x:row r="105"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</x:row>
    <x:row r="106"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</x:row>
    <x:row r="107"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</x:row>
    <x:row r="108"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</x:row>
    <x:row r="109"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</x:row>
    <x:row r="110"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</x:row>
    <x:row r="111"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</x:row>
    <x:row r="112"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</x:row>
    <x:row r="113"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</x:row>
    <x:row r="114"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</x:row>
    <x:row r="115"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</x:row>
    <x:row r="116"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</x:row>
    <x:row r="117"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</x:row>
    <x:row r="118"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</x:row>
    <x:row r="119"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</x:row>
    <x:row r="120"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</x:row>
    <x:row r="121"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</x:row>
    <x:row r="122"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</x:row>
    <x:row r="123"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</x:row>
    <x:row r="124"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</x:row>
    <x:row r="125"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</x:row>
    <x:row r="126"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</x:row>
    <x:row r="127"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</x:row>
    <x:row r="128"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</x:row>
    <x:row r="129"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</x:row>
    <x:row r="130"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</x:row>
    <x:row r="131"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</x:row>
    <x:row r="132"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</x:row>
    <x:row r="133"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</x:row>
    <x:row r="134"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</x:row>
    <x:row r="135"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</x:row>
    <x:row r="136"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</x:row>
    <x:row r="137"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</x:row>
    <x:row r="138"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</x:row>
    <x:row r="139"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</x:row>
    <x:row r="140"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</x:row>
    <x:row r="141"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</x:row>
    <x:row r="142"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</x:row>
    <x:row r="143"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</x:row>
    <x:row r="144"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</x:row>
    <x:row r="145"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</x:row>
    <x:row r="146"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</x:row>
    <x:row r="147"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</x:row>
    <x:row r="148"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</x:row>
    <x:row r="149"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</x:row>
    <x:row r="150"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</x:row>
    <x:row r="151"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</x:row>
    <x:row r="152"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</x:row>
    <x:row r="153"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</x:row>
    <x:row r="154"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</x:row>
    <x:row r="155"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</x:row>
    <x:row r="156"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</x:row>
    <x:row r="157"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</x:row>
    <x:row r="158"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</x:row>
    <x:row r="159"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</x:row>
    <x:row r="160"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</x:row>
    <x:row r="161"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</x:row>
    <x:row r="162"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</x:row>
    <x:row r="163"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</x:row>
    <x:row r="164"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</x:row>
    <x:row r="165"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</x:row>
    <x:row r="166"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</x:row>
    <x:row r="167"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</x:row>
    <x:row r="168"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</x:row>
    <x:row r="169"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</x:row>
    <x:row r="170"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</x:row>
    <x:row r="171"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</x:row>
    <x:row r="172"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</x:row>
    <x:row r="173"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</x:row>
    <x:row r="174"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</x:row>
    <x:row r="175"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</x:row>
    <x:row r="176"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</x:row>
    <x:row r="177"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</x:row>
    <x:row r="178"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</x:row>
    <x:row r="179"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</x:row>
    <x:row r="180"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</x:row>
    <x:row r="181"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</x:row>
    <x:row r="182"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</x:row>
    <x:row r="183"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</x:row>
    <x:row r="184"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</x:row>
    <x:row r="185"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</x:row>
    <x:row r="186"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</x:row>
    <x:row r="187"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</x:row>
    <x:row r="188"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</x:row>
    <x:row r="189"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</x:row>
    <x:row r="190"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</x:row>
    <x:row r="191"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</x:row>
    <x:row r="192"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</x:row>
    <x:row r="193"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</x:row>
    <x:row r="194"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</x:row>
    <x:row r="195"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</x:row>
    <x:row r="196"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</x:row>
    <x:row r="197"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</x:row>
    <x:row r="198"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</x:row>
    <x:row r="199"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</x:row>
    <x:row r="200"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</x:row>
    <x:row r="201"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</x:row>
    <x:row r="202"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</x:row>
    <x:row r="203"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</x:row>
    <x:row r="204"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</x:row>
    <x:row r="205"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</x:row>
    <x:row r="206"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</x:row>
    <x:row r="207"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</x:row>
    <x:row r="208"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</x:row>
    <x:row r="209"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</x:row>
    <x:row r="210"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</x:row>
    <x:row r="211"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</x:row>
    <x:row r="212"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</x:row>
    <x:row r="213"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</x:row>
    <x:row r="214"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</x:row>
    <x:row r="215"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</x:row>
    <x:row r="216"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</x:row>
    <x:row r="217"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</x:row>
    <x:row r="218"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</x:row>
    <x:row r="219"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</x:row>
    <x:row r="220"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</x:row>
    <x:row r="221"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</x:row>
    <x:row r="222"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</x:row>
    <x:row r="223"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</x:row>
    <x:row r="224"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</x:row>
    <x:row r="225"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</x:row>
    <x:row r="226"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</x:row>
    <x:row r="227"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</x:row>
    <x:row r="228"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</x:row>
    <x:row r="229"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</x:row>
    <x:row r="230"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</x:row>
    <x:row r="231"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</x:row>
    <x:row r="232"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</x:row>
    <x:row r="233"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</x:row>
    <x:row r="234"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</x:row>
    <x:row r="235"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</x:row>
    <x:row r="236"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</x:row>
    <x:row r="237"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</x:row>
    <x:row r="238"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</x:row>
    <x:row r="239"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</x:row>
    <x:row r="240"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</x:row>
    <x:row r="241"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</x:row>
    <x:row r="242"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</x:row>
    <x:row r="243"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</x:row>
    <x:row r="244"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</x:row>
    <x:row r="245"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</x:row>
    <x:row r="246"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</x:row>
    <x:row r="247"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</x:row>
    <x:row r="248"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</x:row>
    <x:row r="249"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</x:row>
    <x:row r="250"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</x:row>
    <x:row r="251"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</x:row>
    <x:row r="252"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</x:row>
    <x:row r="253"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</x:row>
    <x:row r="254"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</x:row>
    <x:row r="255"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</x:row>
    <x:row r="256"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</x:row>
    <x:row r="257"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</x:row>
    <x:row r="258"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</x:row>
    <x:row r="259"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</x:row>
    <x:row r="260"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</x:row>
    <x:row r="261"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</x:row>
    <x:row r="262"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</x:row>
    <x:row r="263"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</x:row>
    <x:row r="264"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</x:row>
    <x:row r="265"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</x:row>
    <x:row r="266"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</x:row>
    <x:row r="267"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</x:row>
    <x:row r="268"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</x:row>
    <x:row r="269"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</x:row>
    <x:row r="270"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</x:row>
    <x:row r="271"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</x:row>
    <x:row r="272"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</x:row>
    <x:row r="273"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</x:row>
    <x:row r="274"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</x:row>
    <x:row r="275"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</x:row>
    <x:row r="276"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</x:row>
    <x:row r="277"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</x:row>
    <x:row r="278"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</x:row>
    <x:row r="279"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</x:row>
    <x:row r="280"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</x:row>
    <x:row r="281"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</x:row>
    <x:row r="282"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</x:row>
    <x:row r="283"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</x:row>
    <x:row r="284"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</x:row>
    <x:row r="285"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</x:row>
    <x:row r="286"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</x:row>
    <x:row r="287"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</x:row>
    <x:row r="288"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</x:row>
    <x:row r="289"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</x:row>
    <x:row r="290"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</x:row>
    <x:row r="291"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</x:row>
    <x:row r="292"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</x:row>
    <x:row r="293"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</x:row>
    <x:row r="294"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</x:row>
    <x:row r="295"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</x:row>
    <x:row r="296"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</x:row>
    <x:row r="297"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</x:row>
    <x:row r="298"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</x:row>
    <x:row r="299"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</x:row>
    <x:row r="300"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</x:row>
    <x:row r="301"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</x:row>
    <x:row r="302"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</x:row>
    <x:row r="303"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</x:row>
    <x:row r="304"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</x:row>
    <x:row r="305"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</x:row>
    <x:row r="306"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</x:row>
    <x:row r="307"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</x:row>
    <x:row r="308"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</x:row>
    <x:row r="309"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</x:row>
    <x:row r="310"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</x:row>
    <x:row r="311"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</x:row>
    <x:row r="312"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</x:row>
    <x:row r="313"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</x:row>
    <x:row r="314"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</x:row>
    <x:row r="315"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</x:row>
    <x:row r="316"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</x:row>
    <x:row r="317"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</x:row>
    <x:row r="318"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</x:row>
    <x:row r="319"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</x:row>
    <x:row r="320"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</x:row>
  </x:sheetData>
  <x:mergeCells>
    <x:mergeCell ref="B6:G6"/>
  </x:mergeCells>
  <x:conditionalFormatting sqref="F8:F51">
    <x:cfRule type="containsText" dxfId="3" priority="1" operator="containsText" text="FAIL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7B8790"/>
  </x:sheetPr>
  <x:sheetViews>
    <x:sheetView showGridLines="0" workbookViewId="0"/>
  </x:sheetViews>
  <x:sheetFormatPr defaultRowHeight="15"/>
  <x:cols>
    <x:col min="2" max="2" width="26" hidden="0" customWidth="1"/>
    <x:col min="3" max="3" width="95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</x:cols>
  <x:sheetData>
    <x:row r="2">
      <x:c r="B2" s="3" t="str">
        <x:v>Workbook guide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</x:row>
    <x:row r="3">
      <x:c r="B3" s="4" t="str">
        <x:v>Scope, method, interpretation and controlled limitations</x:v>
      </x:c>
      <x:c r="C3" s="4"/>
      <x:c r="D3" s="4"/>
      <x:c r="E3" s="4"/>
      <x:c r="F3" s="4"/>
      <x:c r="G3" s="4"/>
      <x:c r="H3" s="4"/>
      <x:c r="I3" s="4"/>
      <x:c r="J3" s="4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</x:row>
    <x:row r="6">
      <x:c r="B6" s="8" t="str">
        <x:v>Purpose</x:v>
      </x:c>
      <x:c r="C6" s="9" t="str">
        <x:v>Purpose</x:v>
      </x:c>
      <x:c r="D6" s="9" t="str">
        <x:v>Purpose</x:v>
      </x:c>
      <x:c r="E6" s="9" t="str">
        <x:v>Purpose</x:v>
      </x:c>
      <x:c r="F6" s="9" t="str">
        <x:v>Purpose</x:v>
      </x:c>
      <x:c r="G6" s="9" t="str">
        <x:v>Purpose</x:v>
      </x:c>
      <x:c r="H6" s="9" t="str">
        <x:v>Purpose</x:v>
      </x:c>
      <x:c r="I6" s="9" t="str">
        <x:v>Purpose</x:v>
      </x:c>
      <x:c r="J6" s="10" t="str">
        <x:v>Purpose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</x:row>
    <x:row r="7">
      <x:c r="B7" s="116" t="str">
        <x:v>Question</x:v>
      </x:c>
      <x:c r="C7" s="106" t="str">
        <x:v>How should a national PTS-50 force store readiness across fixed geography and independent access domains?</x:v>
      </x:c>
      <x:c r="D7" s="116"/>
      <x:c r="E7" s="116"/>
      <x:c r="F7" s="116"/>
      <x:c r="G7" s="116"/>
      <x:c r="H7" s="116"/>
      <x:c r="I7" s="116"/>
      <x:c r="J7" s="116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</x:row>
    <x:row r="8">
      <x:c r="B8" s="26" t="str">
        <x:v>Decision use</x:v>
      </x:c>
      <x:c r="C8" s="108" t="str">
        <x:v>Compare seven topology hypotheses, allocate a research portfolio across Pass 32 catchments and expose the evidence needed before procurement.</x:v>
      </x:c>
      <x:c r="D8" s="26"/>
      <x:c r="E8" s="26"/>
      <x:c r="F8" s="26"/>
      <x:c r="G8" s="26"/>
      <x:c r="H8" s="26"/>
      <x:c r="I8" s="26"/>
      <x:c r="J8" s="26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</x:row>
    <x:row r="9">
      <x:c r="B9" s="26" t="str">
        <x:v>Not a claim</x:v>
      </x:c>
      <x:c r="C9" s="108" t="str">
        <x:v>The workbook is not a siting plan, validated force structure, budget estimate or operational admission.</x:v>
      </x:c>
      <x:c r="D9" s="26"/>
      <x:c r="E9" s="26"/>
      <x:c r="F9" s="26"/>
      <x:c r="G9" s="26"/>
      <x:c r="H9" s="26"/>
      <x:c r="I9" s="26"/>
      <x:c r="J9" s="26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</x:row>
    <x:row r="10">
      <x:c r="B10" s="117" t="str">
        <x:v>Rendering</x:v>
      </x:c>
      <x:c r="C10" s="110" t="str">
        <x:v>Blocked. Requirements, failure ancestry and complete-path evidence remain open.</x:v>
      </x:c>
      <x:c r="D10" s="117"/>
      <x:c r="E10" s="117"/>
      <x:c r="F10" s="117"/>
      <x:c r="G10" s="117"/>
      <x:c r="H10" s="117"/>
      <x:c r="I10" s="117"/>
      <x:c r="J10" s="117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</x:row>
    <x:row r="11">
      <x:c r="B11" s="2"/>
      <x:c r="C11" s="104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</x:row>
    <x:row r="12">
      <x:c r="B12" s="2"/>
      <x:c r="C12" s="104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</x:row>
    <x:row r="13">
      <x:c r="B13" s="8" t="str">
        <x:v>Method</x:v>
      </x:c>
      <x:c r="C13" s="118" t="str">
        <x:v>Method</x:v>
      </x:c>
      <x:c r="D13" s="9" t="str">
        <x:v>Method</x:v>
      </x:c>
      <x:c r="E13" s="9" t="str">
        <x:v>Method</x:v>
      </x:c>
      <x:c r="F13" s="9" t="str">
        <x:v>Method</x:v>
      </x:c>
      <x:c r="G13" s="9" t="str">
        <x:v>Method</x:v>
      </x:c>
      <x:c r="H13" s="9" t="str">
        <x:v>Method</x:v>
      </x:c>
      <x:c r="I13" s="9" t="str">
        <x:v>Method</x:v>
      </x:c>
      <x:c r="J13" s="10" t="str">
        <x:v>Method</x:v>
      </x:c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</x:row>
    <x:row r="14">
      <x:c r="B14" s="116" t="str">
        <x:v>Complete-cell rule</x:v>
      </x:c>
      <x:c r="C14" s="106" t="str">
        <x:v>A package counts only when source, heat rejection, carrier, node, receiver, crew, control, authority and reset are present.</x:v>
      </x:c>
      <x:c r="D14" s="116"/>
      <x:c r="E14" s="116"/>
      <x:c r="F14" s="116"/>
      <x:c r="G14" s="116"/>
      <x:c r="H14" s="116"/>
      <x:c r="I14" s="116"/>
      <x:c r="J14" s="116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</x:row>
    <x:row r="15">
      <x:c r="B15" s="26" t="str">
        <x:v>Transport lower bound</x:v>
      </x:c>
      <x:c r="C15" s="108" t="str">
        <x:v>For p fixed cells, m symmetric access modes and k lost modes, each surviving mode needs at least ceiling((10-p)/(m-k)) complete cells.</x:v>
      </x:c>
      <x:c r="D15" s="26"/>
      <x:c r="E15" s="26"/>
      <x:c r="F15" s="26"/>
      <x:c r="G15" s="26"/>
      <x:c r="H15" s="26"/>
      <x:c r="I15" s="26"/>
      <x:c r="J15" s="26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</x:row>
    <x:row r="16">
      <x:c r="B16" s="26" t="str">
        <x:v>Mixed denial</x:v>
      </x:c>
      <x:c r="C16" s="108" t="str">
        <x:v>One fixed-island loss removes the largest island share before access losses are applied.</x:v>
      </x:c>
      <x:c r="D16" s="26"/>
      <x:c r="E16" s="26"/>
      <x:c r="F16" s="26"/>
      <x:c r="G16" s="26"/>
      <x:c r="H16" s="26"/>
      <x:c r="I16" s="26"/>
      <x:c r="J16" s="26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</x:row>
    <x:row r="17">
      <x:c r="B17" s="26" t="str">
        <x:v>Ancestry worlds</x:v>
      </x:c>
      <x:c r="C17" s="108" t="str">
        <x:v>Largest source, base, crew, control, heat and receiver partitions are removed as explicit common-mode challenges.</x:v>
      </x:c>
      <x:c r="D17" s="26"/>
      <x:c r="E17" s="26"/>
      <x:c r="F17" s="26"/>
      <x:c r="G17" s="26"/>
      <x:c r="H17" s="26"/>
      <x:c r="I17" s="26"/>
      <x:c r="J17" s="26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</x:row>
    <x:row r="18">
      <x:c r="B18" s="26" t="str">
        <x:v>Geography</x:v>
      </x:c>
      <x:c r="C18" s="108" t="str">
        <x:v>Thirty-two Pass 32 SCA receive one group each; the remaining forty follow population by largest remainder.</x:v>
      </x:c>
      <x:c r="D18" s="26"/>
      <x:c r="E18" s="26"/>
      <x:c r="F18" s="26"/>
      <x:c r="G18" s="26"/>
      <x:c r="H18" s="26"/>
      <x:c r="I18" s="26"/>
      <x:c r="J18" s="26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</x:row>
    <x:row r="19">
      <x:c r="B19" s="26" t="str">
        <x:v>Classing</x:v>
      </x:c>
      <x:c r="C19" s="108" t="str">
        <x:v>Non-CONUS, water access, population and Pass 32 NRI composite determine only engineering topology, not service entitlement.</x:v>
      </x:c>
      <x:c r="D19" s="26"/>
      <x:c r="E19" s="26"/>
      <x:c r="F19" s="26"/>
      <x:c r="G19" s="26"/>
      <x:c r="H19" s="26"/>
      <x:c r="I19" s="26"/>
      <x:c r="J19" s="26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</x:row>
    <x:row r="20">
      <x:c r="B20" s="117" t="str">
        <x:v>Cost</x:v>
      </x:c>
      <x:c r="C20" s="110" t="str">
        <x:v>Pass 75 cell-package boundaries replace the prior cell layer; the retained common program and incremental topology research are added once.</x:v>
      </x:c>
      <x:c r="D20" s="117"/>
      <x:c r="E20" s="117"/>
      <x:c r="F20" s="117"/>
      <x:c r="G20" s="117"/>
      <x:c r="H20" s="117"/>
      <x:c r="I20" s="117"/>
      <x:c r="J20" s="117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</x:row>
    <x:row r="21">
      <x:c r="B21" s="2"/>
      <x:c r="C21" s="104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</x:row>
    <x:row r="22">
      <x:c r="B22" s="2"/>
      <x:c r="C22" s="104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</x:row>
    <x:row r="23">
      <x:c r="B23" s="8" t="str">
        <x:v>Interpretation rules</x:v>
      </x:c>
      <x:c r="C23" s="118" t="str">
        <x:v>Interpretation rules</x:v>
      </x:c>
      <x:c r="D23" s="9" t="str">
        <x:v>Interpretation rules</x:v>
      </x:c>
      <x:c r="E23" s="9" t="str">
        <x:v>Interpretation rules</x:v>
      </x:c>
      <x:c r="F23" s="9" t="str">
        <x:v>Interpretation rules</x:v>
      </x:c>
      <x:c r="G23" s="9" t="str">
        <x:v>Interpretation rules</x:v>
      </x:c>
      <x:c r="H23" s="9" t="str">
        <x:v>Interpretation rules</x:v>
      </x:c>
      <x:c r="I23" s="9" t="str">
        <x:v>Interpretation rules</x:v>
      </x:c>
      <x:c r="J23" s="10" t="str">
        <x:v>Interpretation rules</x:v>
      </x:c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</x:row>
    <x:row r="24">
      <x:c r="B24" s="116" t="str">
        <x:v>World passes</x:v>
      </x:c>
      <x:c r="C24" s="106" t="str">
        <x:v>An index into named failures, never a weighted score.</x:v>
      </x:c>
      <x:c r="D24" s="116"/>
      <x:c r="E24" s="116"/>
      <x:c r="F24" s="116"/>
      <x:c r="G24" s="116"/>
      <x:c r="H24" s="116"/>
      <x:c r="I24" s="116"/>
      <x:c r="J24" s="116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</x:row>
    <x:row r="25">
      <x:c r="B25" s="26" t="str">
        <x:v>Fourth path</x:v>
      </x:c>
      <x:c r="C25" s="108" t="str">
        <x:v>A mathematical option until a complete carrier-node-receiver path survives representative denial.</x:v>
      </x:c>
      <x:c r="D25" s="26"/>
      <x:c r="E25" s="26"/>
      <x:c r="F25" s="26"/>
      <x:c r="G25" s="26"/>
      <x:c r="H25" s="26"/>
      <x:c r="I25" s="26"/>
      <x:c r="J25" s="26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</x:row>
    <x:row r="26">
      <x:c r="B26" s="26" t="str">
        <x:v>Prepared cells</x:v>
      </x:c>
      <x:c r="C26" s="108" t="str">
        <x:v>Credited only as independently releasable service islands, not as equipment stored at one site.</x:v>
      </x:c>
      <x:c r="D26" s="26"/>
      <x:c r="E26" s="26"/>
      <x:c r="F26" s="26"/>
      <x:c r="G26" s="26"/>
      <x:c r="H26" s="26"/>
      <x:c r="I26" s="26"/>
      <x:c r="J26" s="26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</x:row>
    <x:row r="27">
      <x:c r="B27" s="26" t="str">
        <x:v>Uncertainty range</x:v>
      </x:c>
      <x:c r="C27" s="108" t="str">
        <x:v>A structured planning range, not a probability distribution or confidence interval.</x:v>
      </x:c>
      <x:c r="D27" s="26"/>
      <x:c r="E27" s="26"/>
      <x:c r="F27" s="26"/>
      <x:c r="G27" s="26"/>
      <x:c r="H27" s="26"/>
      <x:c r="I27" s="26"/>
      <x:c r="J27" s="26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</x:row>
    <x:row r="28">
      <x:c r="B28" s="26" t="str">
        <x:v>SCA</x:v>
      </x:c>
      <x:c r="C28" s="108" t="str">
        <x:v>A planning geography, not a jurisdiction, parcel, command or preferred site.</x:v>
      </x:c>
      <x:c r="D28" s="26"/>
      <x:c r="E28" s="26"/>
      <x:c r="F28" s="26"/>
      <x:c r="G28" s="26"/>
      <x:c r="H28" s="26"/>
      <x:c r="I28" s="26"/>
      <x:c r="J28" s="26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</x:row>
    <x:row r="29">
      <x:c r="B29" s="26" t="str">
        <x:v>Source boundary</x:v>
      </x:c>
      <x:c r="C29" s="108" t="str">
        <x:v>Internal Pass 32 and Pass 75 workbooks plus declared Pass 76 assumptions; no external websites used.</x:v>
      </x:c>
      <x:c r="D29" s="26"/>
      <x:c r="E29" s="26"/>
      <x:c r="F29" s="26"/>
      <x:c r="G29" s="26"/>
      <x:c r="H29" s="26"/>
      <x:c r="I29" s="26"/>
      <x:c r="J29" s="26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</x:row>
    <x:row r="30">
      <x:c r="B30" s="117" t="str">
        <x:v>Next evidence</x:v>
      </x:c>
      <x:c r="C30" s="110" t="str">
        <x:v>Optimize actual site-route portfolios, build the fourth-path mass-flow envelope and run source-plus-route and island-plus-route campaigns.</x:v>
      </x:c>
      <x:c r="D30" s="117"/>
      <x:c r="E30" s="117"/>
      <x:c r="F30" s="117"/>
      <x:c r="G30" s="117"/>
      <x:c r="H30" s="117"/>
      <x:c r="I30" s="117"/>
      <x:c r="J30" s="117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</x:row>
    <x:row r="31"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</x:row>
    <x:row r="32"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</x:row>
    <x:row r="33"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</x:row>
    <x:row r="34"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</x:row>
    <x:row r="35"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</x:row>
    <x:row r="36"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</x:row>
    <x:row r="37"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</x:row>
    <x:row r="38"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</x:row>
    <x:row r="39"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</x:row>
    <x:row r="40"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</x:row>
    <x:row r="41"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</x:row>
    <x:row r="42"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</x:row>
    <x:row r="43"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</x:row>
    <x:row r="44"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</x:row>
    <x:row r="45"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</x:row>
    <x:row r="46"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</x:row>
    <x:row r="47"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</x:row>
    <x:row r="48"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</x:row>
    <x:row r="49"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</x:row>
    <x:row r="50"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</x:row>
    <x:row r="51"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</x:row>
    <x:row r="52"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</x:row>
    <x:row r="53"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</x:row>
    <x:row r="54"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</x:row>
    <x:row r="55"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</x:row>
    <x:row r="56"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</x:row>
    <x:row r="57"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</x:row>
    <x:row r="58"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</x:row>
    <x:row r="59"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</x:row>
    <x:row r="60"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</x:row>
    <x:row r="61"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</x:row>
    <x:row r="62"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</x:row>
    <x:row r="63"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</x:row>
    <x:row r="64"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</x:row>
    <x:row r="65"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</x:row>
    <x:row r="66"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</x:row>
    <x:row r="67"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</x:row>
    <x:row r="68"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</x:row>
    <x:row r="69"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</x:row>
    <x:row r="70"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</x:row>
    <x:row r="71"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</x:row>
    <x:row r="72"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</x:row>
    <x:row r="73"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</x:row>
    <x:row r="74"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</x:row>
    <x:row r="75"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</x:row>
    <x:row r="76"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</x:row>
    <x:row r="77"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</x:row>
    <x:row r="78"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</x:row>
    <x:row r="79"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</x:row>
    <x:row r="80"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</x:row>
    <x:row r="81"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</x:row>
    <x:row r="82"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</x:row>
    <x:row r="83"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</x:row>
    <x:row r="84"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</x:row>
    <x:row r="85"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</x:row>
    <x:row r="86"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</x:row>
    <x:row r="87"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</x:row>
    <x:row r="88"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</x:row>
    <x:row r="89"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</x:row>
    <x:row r="90"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</x:row>
    <x:row r="91"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</x:row>
    <x:row r="92"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</x:row>
    <x:row r="93"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</x:row>
    <x:row r="94"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</x:row>
    <x:row r="95"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</x:row>
    <x:row r="96"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</x:row>
    <x:row r="97"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</x:row>
    <x:row r="98"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</x:row>
    <x:row r="99"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</x:row>
    <x:row r="100"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</x:row>
    <x:row r="101"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</x:row>
    <x:row r="102"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</x:row>
    <x:row r="103"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</x:row>
    <x:row r="104"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</x:row>
    <x:row r="105"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</x:row>
    <x:row r="106"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</x:row>
    <x:row r="107"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</x:row>
    <x:row r="108"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</x:row>
    <x:row r="109"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</x:row>
    <x:row r="110"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</x:row>
    <x:row r="111"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</x:row>
    <x:row r="112"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</x:row>
    <x:row r="113"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</x:row>
    <x:row r="114"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</x:row>
    <x:row r="115"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</x:row>
    <x:row r="116"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</x:row>
    <x:row r="117"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</x:row>
    <x:row r="118"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</x:row>
    <x:row r="119"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</x:row>
    <x:row r="120"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</x:row>
    <x:row r="121"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</x:row>
    <x:row r="122"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</x:row>
    <x:row r="123"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</x:row>
    <x:row r="124"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</x:row>
    <x:row r="125"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</x:row>
    <x:row r="126"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</x:row>
    <x:row r="127"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</x:row>
    <x:row r="128"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</x:row>
    <x:row r="129"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</x:row>
    <x:row r="130"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</x:row>
    <x:row r="131"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</x:row>
    <x:row r="132"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</x:row>
    <x:row r="133"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</x:row>
    <x:row r="134"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</x:row>
    <x:row r="135"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</x:row>
    <x:row r="136"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</x:row>
    <x:row r="137"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</x:row>
    <x:row r="138"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</x:row>
    <x:row r="139"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</x:row>
    <x:row r="140"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</x:row>
    <x:row r="141"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</x:row>
    <x:row r="142"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</x:row>
    <x:row r="143"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</x:row>
    <x:row r="144"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</x:row>
    <x:row r="145"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</x:row>
    <x:row r="146"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</x:row>
    <x:row r="147"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</x:row>
    <x:row r="148"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</x:row>
    <x:row r="149"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</x:row>
    <x:row r="150"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</x:row>
    <x:row r="151"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</x:row>
    <x:row r="152"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</x:row>
    <x:row r="153"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</x:row>
    <x:row r="154"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</x:row>
    <x:row r="155"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</x:row>
    <x:row r="156"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</x:row>
    <x:row r="157"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</x:row>
    <x:row r="158"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</x:row>
    <x:row r="159"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</x:row>
    <x:row r="160"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</x:row>
    <x:row r="161"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</x:row>
    <x:row r="162"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</x:row>
    <x:row r="163"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</x:row>
    <x:row r="164"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</x:row>
    <x:row r="165"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</x:row>
    <x:row r="166"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</x:row>
    <x:row r="167"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</x:row>
    <x:row r="168"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</x:row>
    <x:row r="169"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</x:row>
    <x:row r="170"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</x:row>
    <x:row r="171"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</x:row>
    <x:row r="172"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</x:row>
    <x:row r="173"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</x:row>
    <x:row r="174"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</x:row>
    <x:row r="175"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</x:row>
    <x:row r="176"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</x:row>
    <x:row r="177"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</x:row>
    <x:row r="178"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</x:row>
    <x:row r="179"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</x:row>
    <x:row r="180"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</x:row>
    <x:row r="181"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</x:row>
    <x:row r="182"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</x:row>
    <x:row r="183"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</x:row>
    <x:row r="184"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</x:row>
    <x:row r="185"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</x:row>
    <x:row r="186"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</x:row>
    <x:row r="187"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</x:row>
    <x:row r="188"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</x:row>
    <x:row r="189"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</x:row>
    <x:row r="190"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</x:row>
    <x:row r="191"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</x:row>
    <x:row r="192"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</x:row>
    <x:row r="193"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</x:row>
    <x:row r="194"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</x:row>
    <x:row r="195"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</x:row>
    <x:row r="196"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</x:row>
    <x:row r="197"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</x:row>
    <x:row r="198"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</x:row>
    <x:row r="199"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</x:row>
    <x:row r="200"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</x:row>
    <x:row r="201"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</x:row>
    <x:row r="202"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</x:row>
    <x:row r="203"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</x:row>
    <x:row r="204"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</x:row>
    <x:row r="205"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</x:row>
    <x:row r="206"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</x:row>
    <x:row r="207"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</x:row>
    <x:row r="208"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</x:row>
    <x:row r="209"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</x:row>
    <x:row r="210"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</x:row>
    <x:row r="211"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</x:row>
    <x:row r="212"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</x:row>
    <x:row r="213"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</x:row>
    <x:row r="214"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</x:row>
    <x:row r="215"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</x:row>
    <x:row r="216"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</x:row>
    <x:row r="217"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</x:row>
    <x:row r="218"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</x:row>
    <x:row r="219"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</x:row>
    <x:row r="220"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</x:row>
    <x:row r="221"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</x:row>
    <x:row r="222"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</x:row>
    <x:row r="223"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</x:row>
    <x:row r="224"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</x:row>
    <x:row r="225"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</x:row>
    <x:row r="226"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</x:row>
    <x:row r="227"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</x:row>
    <x:row r="228"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</x:row>
    <x:row r="229"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</x:row>
    <x:row r="230"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</x:row>
    <x:row r="231"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</x:row>
    <x:row r="232"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</x:row>
    <x:row r="233"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</x:row>
    <x:row r="234"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</x:row>
    <x:row r="235"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</x:row>
    <x:row r="236"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</x:row>
    <x:row r="237"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</x:row>
    <x:row r="238"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</x:row>
    <x:row r="239"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  <x:c r="AA239" s="2"/>
      <x:c r="AB239" s="2"/>
      <x:c r="AC239" s="2"/>
      <x:c r="AD239" s="2"/>
      <x:c r="AE239" s="2"/>
    </x:row>
    <x:row r="240"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  <x:c r="AA240" s="2"/>
      <x:c r="AB240" s="2"/>
      <x:c r="AC240" s="2"/>
      <x:c r="AD240" s="2"/>
      <x:c r="AE240" s="2"/>
    </x:row>
    <x:row r="241"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  <x:c r="AA241" s="2"/>
      <x:c r="AB241" s="2"/>
      <x:c r="AC241" s="2"/>
      <x:c r="AD241" s="2"/>
      <x:c r="AE241" s="2"/>
    </x:row>
    <x:row r="242"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/>
      <x:c r="AB242" s="2"/>
      <x:c r="AC242" s="2"/>
      <x:c r="AD242" s="2"/>
      <x:c r="AE242" s="2"/>
    </x:row>
    <x:row r="243"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  <x:c r="AA243" s="2"/>
      <x:c r="AB243" s="2"/>
      <x:c r="AC243" s="2"/>
      <x:c r="AD243" s="2"/>
      <x:c r="AE243" s="2"/>
    </x:row>
    <x:row r="244"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  <x:c r="AE244" s="2"/>
    </x:row>
    <x:row r="245"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  <x:c r="AA245" s="2"/>
      <x:c r="AB245" s="2"/>
      <x:c r="AC245" s="2"/>
      <x:c r="AD245" s="2"/>
      <x:c r="AE245" s="2"/>
    </x:row>
    <x:row r="246"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  <x:c r="AE246" s="2"/>
    </x:row>
    <x:row r="247"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  <x:c r="AE247" s="2"/>
    </x:row>
    <x:row r="248"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  <x:c r="AA248" s="2"/>
      <x:c r="AB248" s="2"/>
      <x:c r="AC248" s="2"/>
      <x:c r="AD248" s="2"/>
      <x:c r="AE248" s="2"/>
    </x:row>
    <x:row r="249"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/>
      <x:c r="AB249" s="2"/>
      <x:c r="AC249" s="2"/>
      <x:c r="AD249" s="2"/>
      <x:c r="AE249" s="2"/>
    </x:row>
    <x:row r="250"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  <x:c r="AA250" s="2"/>
      <x:c r="AB250" s="2"/>
      <x:c r="AC250" s="2"/>
      <x:c r="AD250" s="2"/>
      <x:c r="AE250" s="2"/>
    </x:row>
    <x:row r="251"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  <x:c r="X251" s="2"/>
      <x:c r="Y251" s="2"/>
      <x:c r="Z251" s="2"/>
      <x:c r="AA251" s="2"/>
      <x:c r="AB251" s="2"/>
      <x:c r="AC251" s="2"/>
      <x:c r="AD251" s="2"/>
      <x:c r="AE251" s="2"/>
    </x:row>
    <x:row r="252"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  <x:c r="X252" s="2"/>
      <x:c r="Y252" s="2"/>
      <x:c r="Z252" s="2"/>
      <x:c r="AA252" s="2"/>
      <x:c r="AB252" s="2"/>
      <x:c r="AC252" s="2"/>
      <x:c r="AD252" s="2"/>
      <x:c r="AE252" s="2"/>
    </x:row>
    <x:row r="253"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  <x:c r="AE253" s="2"/>
    </x:row>
    <x:row r="254"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  <x:c r="AE254" s="2"/>
    </x:row>
    <x:row r="255"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  <x:c r="AE255" s="2"/>
    </x:row>
    <x:row r="256"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/>
      <x:c r="AB256" s="2"/>
      <x:c r="AC256" s="2"/>
      <x:c r="AD256" s="2"/>
      <x:c r="AE256" s="2"/>
    </x:row>
    <x:row r="257"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  <x:c r="AE257" s="2"/>
    </x:row>
    <x:row r="258"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  <x:c r="X258" s="2"/>
      <x:c r="Y258" s="2"/>
      <x:c r="Z258" s="2"/>
      <x:c r="AA258" s="2"/>
      <x:c r="AB258" s="2"/>
      <x:c r="AC258" s="2"/>
      <x:c r="AD258" s="2"/>
      <x:c r="AE258" s="2"/>
    </x:row>
    <x:row r="259"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/>
      <x:c r="AB259" s="2"/>
      <x:c r="AC259" s="2"/>
      <x:c r="AD259" s="2"/>
      <x:c r="AE259" s="2"/>
    </x:row>
    <x:row r="260"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  <x:c r="AE260" s="2"/>
    </x:row>
    <x:row r="261"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/>
      <x:c r="AD261" s="2"/>
      <x:c r="AE261" s="2"/>
    </x:row>
    <x:row r="262"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/>
      <x:c r="AB262" s="2"/>
      <x:c r="AC262" s="2"/>
      <x:c r="AD262" s="2"/>
      <x:c r="AE262" s="2"/>
    </x:row>
    <x:row r="263"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/>
      <x:c r="AB263" s="2"/>
      <x:c r="AC263" s="2"/>
      <x:c r="AD263" s="2"/>
      <x:c r="AE263" s="2"/>
    </x:row>
    <x:row r="264"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  <x:c r="X264" s="2"/>
      <x:c r="Y264" s="2"/>
      <x:c r="Z264" s="2"/>
      <x:c r="AA264" s="2"/>
      <x:c r="AB264" s="2"/>
      <x:c r="AC264" s="2"/>
      <x:c r="AD264" s="2"/>
      <x:c r="AE264" s="2"/>
    </x:row>
    <x:row r="265"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  <x:c r="X265" s="2"/>
      <x:c r="Y265" s="2"/>
      <x:c r="Z265" s="2"/>
      <x:c r="AA265" s="2"/>
      <x:c r="AB265" s="2"/>
      <x:c r="AC265" s="2"/>
      <x:c r="AD265" s="2"/>
      <x:c r="AE265" s="2"/>
    </x:row>
    <x:row r="266"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  <x:c r="AE266" s="2"/>
    </x:row>
    <x:row r="267"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/>
      <x:c r="AB267" s="2"/>
      <x:c r="AC267" s="2"/>
      <x:c r="AD267" s="2"/>
      <x:c r="AE267" s="2"/>
    </x:row>
    <x:row r="268"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  <x:c r="X268" s="2"/>
      <x:c r="Y268" s="2"/>
      <x:c r="Z268" s="2"/>
      <x:c r="AA268" s="2"/>
      <x:c r="AB268" s="2"/>
      <x:c r="AC268" s="2"/>
      <x:c r="AD268" s="2"/>
      <x:c r="AE268" s="2"/>
    </x:row>
    <x:row r="269"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  <x:c r="X269" s="2"/>
      <x:c r="Y269" s="2"/>
      <x:c r="Z269" s="2"/>
      <x:c r="AA269" s="2"/>
      <x:c r="AB269" s="2"/>
      <x:c r="AC269" s="2"/>
      <x:c r="AD269" s="2"/>
      <x:c r="AE269" s="2"/>
    </x:row>
    <x:row r="270"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  <x:c r="X270" s="2"/>
      <x:c r="Y270" s="2"/>
      <x:c r="Z270" s="2"/>
      <x:c r="AA270" s="2"/>
      <x:c r="AB270" s="2"/>
      <x:c r="AC270" s="2"/>
      <x:c r="AD270" s="2"/>
      <x:c r="AE270" s="2"/>
    </x:row>
    <x:row r="271"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  <x:c r="X271" s="2"/>
      <x:c r="Y271" s="2"/>
      <x:c r="Z271" s="2"/>
      <x:c r="AA271" s="2"/>
      <x:c r="AB271" s="2"/>
      <x:c r="AC271" s="2"/>
      <x:c r="AD271" s="2"/>
      <x:c r="AE271" s="2"/>
    </x:row>
    <x:row r="272"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  <x:c r="AE272" s="2"/>
    </x:row>
    <x:row r="273"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  <x:c r="X273" s="2"/>
      <x:c r="Y273" s="2"/>
      <x:c r="Z273" s="2"/>
      <x:c r="AA273" s="2"/>
      <x:c r="AB273" s="2"/>
      <x:c r="AC273" s="2"/>
      <x:c r="AD273" s="2"/>
      <x:c r="AE273" s="2"/>
    </x:row>
    <x:row r="274"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  <x:c r="X274" s="2"/>
      <x:c r="Y274" s="2"/>
      <x:c r="Z274" s="2"/>
      <x:c r="AA274" s="2"/>
      <x:c r="AB274" s="2"/>
      <x:c r="AC274" s="2"/>
      <x:c r="AD274" s="2"/>
      <x:c r="AE274" s="2"/>
    </x:row>
    <x:row r="275"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  <x:c r="AE275" s="2"/>
    </x:row>
    <x:row r="276"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  <x:c r="AE276" s="2"/>
    </x:row>
    <x:row r="277"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  <x:c r="AE277" s="2"/>
    </x:row>
    <x:row r="278"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  <x:c r="AE278" s="2"/>
    </x:row>
    <x:row r="279"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  <x:c r="X279" s="2"/>
      <x:c r="Y279" s="2"/>
      <x:c r="Z279" s="2"/>
      <x:c r="AA279" s="2"/>
      <x:c r="AB279" s="2"/>
      <x:c r="AC279" s="2"/>
      <x:c r="AD279" s="2"/>
      <x:c r="AE279" s="2"/>
    </x:row>
    <x:row r="280"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  <x:c r="AE280" s="2"/>
    </x:row>
    <x:row r="281"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  <x:c r="X281" s="2"/>
      <x:c r="Y281" s="2"/>
      <x:c r="Z281" s="2"/>
      <x:c r="AA281" s="2"/>
      <x:c r="AB281" s="2"/>
      <x:c r="AC281" s="2"/>
      <x:c r="AD281" s="2"/>
      <x:c r="AE281" s="2"/>
    </x:row>
    <x:row r="282"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/>
      <x:c r="AB282" s="2"/>
      <x:c r="AC282" s="2"/>
      <x:c r="AD282" s="2"/>
      <x:c r="AE282" s="2"/>
    </x:row>
    <x:row r="283"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  <x:c r="X283" s="2"/>
      <x:c r="Y283" s="2"/>
      <x:c r="Z283" s="2"/>
      <x:c r="AA283" s="2"/>
      <x:c r="AB283" s="2"/>
      <x:c r="AC283" s="2"/>
      <x:c r="AD283" s="2"/>
      <x:c r="AE283" s="2"/>
    </x:row>
    <x:row r="284"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  <x:c r="X284" s="2"/>
      <x:c r="Y284" s="2"/>
      <x:c r="Z284" s="2"/>
      <x:c r="AA284" s="2"/>
      <x:c r="AB284" s="2"/>
      <x:c r="AC284" s="2"/>
      <x:c r="AD284" s="2"/>
      <x:c r="AE284" s="2"/>
    </x:row>
    <x:row r="285"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  <x:c r="AE285" s="2"/>
    </x:row>
    <x:row r="286"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  <x:c r="AE286" s="2"/>
    </x:row>
    <x:row r="287"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  <x:c r="AE287" s="2"/>
    </x:row>
    <x:row r="288"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  <x:c r="AE288" s="2"/>
    </x:row>
    <x:row r="289"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  <x:c r="X289" s="2"/>
      <x:c r="Y289" s="2"/>
      <x:c r="Z289" s="2"/>
      <x:c r="AA289" s="2"/>
      <x:c r="AB289" s="2"/>
      <x:c r="AC289" s="2"/>
      <x:c r="AD289" s="2"/>
      <x:c r="AE289" s="2"/>
    </x:row>
    <x:row r="290"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/>
      <x:c r="AB290" s="2"/>
      <x:c r="AC290" s="2"/>
      <x:c r="AD290" s="2"/>
      <x:c r="AE290" s="2"/>
    </x:row>
    <x:row r="291"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/>
      <x:c r="AB291" s="2"/>
      <x:c r="AC291" s="2"/>
      <x:c r="AD291" s="2"/>
      <x:c r="AE291" s="2"/>
    </x:row>
    <x:row r="292"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  <x:c r="AE292" s="2"/>
    </x:row>
    <x:row r="293"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  <x:c r="AE293" s="2"/>
    </x:row>
    <x:row r="294"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  <x:c r="AE294" s="2"/>
    </x:row>
    <x:row r="295"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  <x:c r="AE295" s="2"/>
    </x:row>
    <x:row r="296"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  <x:c r="AE296" s="2"/>
    </x:row>
    <x:row r="297"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/>
      <x:c r="AB297" s="2"/>
      <x:c r="AC297" s="2"/>
      <x:c r="AD297" s="2"/>
      <x:c r="AE297" s="2"/>
    </x:row>
    <x:row r="298"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  <x:c r="AE298" s="2"/>
    </x:row>
    <x:row r="299"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  <x:c r="AE299" s="2"/>
    </x:row>
    <x:row r="300"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/>
      <x:c r="AB300" s="2"/>
      <x:c r="AC300" s="2"/>
      <x:c r="AD300" s="2"/>
      <x:c r="AE300" s="2"/>
    </x:row>
    <x:row r="301"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  <x:c r="AE301" s="2"/>
    </x:row>
    <x:row r="302"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  <x:c r="X302" s="2"/>
      <x:c r="Y302" s="2"/>
      <x:c r="Z302" s="2"/>
      <x:c r="AA302" s="2"/>
      <x:c r="AB302" s="2"/>
      <x:c r="AC302" s="2"/>
      <x:c r="AD302" s="2"/>
      <x:c r="AE302" s="2"/>
    </x:row>
    <x:row r="303"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  <x:c r="AE303" s="2"/>
    </x:row>
    <x:row r="304"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  <x:c r="AE304" s="2"/>
    </x:row>
    <x:row r="305"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/>
      <x:c r="AB305" s="2"/>
      <x:c r="AC305" s="2"/>
      <x:c r="AD305" s="2"/>
      <x:c r="AE305" s="2"/>
    </x:row>
    <x:row r="306"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  <x:c r="X306" s="2"/>
      <x:c r="Y306" s="2"/>
      <x:c r="Z306" s="2"/>
      <x:c r="AA306" s="2"/>
      <x:c r="AB306" s="2"/>
      <x:c r="AC306" s="2"/>
      <x:c r="AD306" s="2"/>
      <x:c r="AE306" s="2"/>
    </x:row>
    <x:row r="307"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  <x:c r="X307" s="2"/>
      <x:c r="Y307" s="2"/>
      <x:c r="Z307" s="2"/>
      <x:c r="AA307" s="2"/>
      <x:c r="AB307" s="2"/>
      <x:c r="AC307" s="2"/>
      <x:c r="AD307" s="2"/>
      <x:c r="AE307" s="2"/>
    </x:row>
    <x:row r="308"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  <x:c r="X308" s="2"/>
      <x:c r="Y308" s="2"/>
      <x:c r="Z308" s="2"/>
      <x:c r="AA308" s="2"/>
      <x:c r="AB308" s="2"/>
      <x:c r="AC308" s="2"/>
      <x:c r="AD308" s="2"/>
      <x:c r="AE308" s="2"/>
    </x:row>
    <x:row r="309"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/>
      <x:c r="AB309" s="2"/>
      <x:c r="AC309" s="2"/>
      <x:c r="AD309" s="2"/>
      <x:c r="AE309" s="2"/>
    </x:row>
    <x:row r="310"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  <x:c r="AE310" s="2"/>
    </x:row>
    <x:row r="311"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  <x:c r="X311" s="2"/>
      <x:c r="Y311" s="2"/>
      <x:c r="Z311" s="2"/>
      <x:c r="AA311" s="2"/>
      <x:c r="AB311" s="2"/>
      <x:c r="AC311" s="2"/>
      <x:c r="AD311" s="2"/>
      <x:c r="AE311" s="2"/>
    </x:row>
    <x:row r="312"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/>
      <x:c r="AB312" s="2"/>
      <x:c r="AC312" s="2"/>
      <x:c r="AD312" s="2"/>
      <x:c r="AE312" s="2"/>
    </x:row>
    <x:row r="313"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/>
      <x:c r="AB313" s="2"/>
      <x:c r="AC313" s="2"/>
      <x:c r="AD313" s="2"/>
      <x:c r="AE313" s="2"/>
    </x:row>
    <x:row r="314"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  <x:c r="AE314" s="2"/>
    </x:row>
    <x:row r="315"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/>
      <x:c r="AB315" s="2"/>
      <x:c r="AC315" s="2"/>
      <x:c r="AD315" s="2"/>
      <x:c r="AE315" s="2"/>
    </x:row>
    <x:row r="316"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  <x:c r="AE316" s="2"/>
    </x:row>
    <x:row r="317"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  <x:c r="X317" s="2"/>
      <x:c r="Y317" s="2"/>
      <x:c r="Z317" s="2"/>
      <x:c r="AA317" s="2"/>
      <x:c r="AB317" s="2"/>
      <x:c r="AC317" s="2"/>
      <x:c r="AD317" s="2"/>
      <x:c r="AE317" s="2"/>
    </x:row>
    <x:row r="318"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  <x:c r="X318" s="2"/>
      <x:c r="Y318" s="2"/>
      <x:c r="Z318" s="2"/>
      <x:c r="AA318" s="2"/>
      <x:c r="AB318" s="2"/>
      <x:c r="AC318" s="2"/>
      <x:c r="AD318" s="2"/>
      <x:c r="AE318" s="2"/>
    </x:row>
    <x:row r="319"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  <x:c r="X319" s="2"/>
      <x:c r="Y319" s="2"/>
      <x:c r="Z319" s="2"/>
      <x:c r="AA319" s="2"/>
      <x:c r="AB319" s="2"/>
      <x:c r="AC319" s="2"/>
      <x:c r="AD319" s="2"/>
      <x:c r="AE319" s="2"/>
    </x:row>
    <x:row r="320"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  <x:c r="AE320" s="2"/>
    </x:row>
  </x:sheetData>
  <x:mergeCells>
    <x:mergeCell ref="B6:J6"/>
    <x:mergeCell ref="B13:J13"/>
    <x:mergeCell ref="B23:J23"/>
  </x:mergeCells>
  <x:pageMargins left="0.7" right="0.7" top="0.75" bottom="0.75" header="0.3" footer="0.3"/>
</x:worksheet>
</file>