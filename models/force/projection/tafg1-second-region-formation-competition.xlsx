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b00f4040d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04be0a41584463"/>
    <x:sheet xmlns:r="http://schemas.openxmlformats.org/officeDocument/2006/relationships" name="Assumptions" sheetId="2" r:id="R300412a036e7459b"/>
    <x:sheet xmlns:r="http://schemas.openxmlformats.org/officeDocument/2006/relationships" name="Effect Paths" sheetId="3" r:id="Rfc1df300191f4593"/>
    <x:sheet xmlns:r="http://schemas.openxmlformats.org/officeDocument/2006/relationships" name="Rival Packages" sheetId="4" r:id="R6e7b925aba3b4c76"/>
    <x:sheet xmlns:r="http://schemas.openxmlformats.org/officeDocument/2006/relationships" name="Receiver Cases" sheetId="5" r:id="R2755b31168ac49a9"/>
    <x:sheet xmlns:r="http://schemas.openxmlformats.org/officeDocument/2006/relationships" name="Loss Results" sheetId="6" r:id="Ra70e777d88a04127"/>
    <x:sheet xmlns:r="http://schemas.openxmlformats.org/officeDocument/2006/relationships" name="Assurance" sheetId="7" r:id="Rdfc919b2dbdf48e0"/>
    <x:sheet xmlns:r="http://schemas.openxmlformats.org/officeDocument/2006/relationships" name="Dispatch" sheetId="8" r:id="Ra7aef2e2d3114c6e"/>
    <x:sheet xmlns:r="http://schemas.openxmlformats.org/officeDocument/2006/relationships" name="Workforce" sheetId="9" r:id="Rca0be5f8577b4a26"/>
    <x:sheet xmlns:r="http://schemas.openxmlformats.org/officeDocument/2006/relationships" name="Industrial Base" sheetId="10" r:id="R204b04c123284651"/>
    <x:sheet xmlns:r="http://schemas.openxmlformats.org/officeDocument/2006/relationships" name="Program Cost" sheetId="11" r:id="R5666157c8438493f"/>
    <x:sheet xmlns:r="http://schemas.openxmlformats.org/officeDocument/2006/relationships" name="Technology" sheetId="12" r:id="R927a0c8cde3c4a56"/>
    <x:sheet xmlns:r="http://schemas.openxmlformats.org/officeDocument/2006/relationships" name="Evidence Gates" sheetId="13" r:id="R645346b93fba49ca"/>
    <x:sheet xmlns:r="http://schemas.openxmlformats.org/officeDocument/2006/relationships" name="Checks" sheetId="14" r:id="Rd9c10af47f71422c"/>
    <x:sheet xmlns:r="http://schemas.openxmlformats.org/officeDocument/2006/relationships" name="ReadMe" sheetId="15" r:id="R373ff14bc97b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&quot;$&quot;#,##0.0000"/>
    <x:numFmt numFmtId="202" formatCode="&quot;$&quot;0.0000"/>
    <x:numFmt numFmtId="203" formatCode="0"/>
    <x:numFmt numFmtId="204" formatCode="&quot;$&quot;0.0"/>
    <x:numFmt numFmtId="205" formatCode="&quot;$&quot;#,##0.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1F4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1" fillId="5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horizontal="center" vertical="center"/>
    </x:xf>
    <x:xf numFmtId="201" fontId="1" fillId="0" borderId="12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205" fontId="1" fillId="0" borderId="11" xfId="0" applyNumberFormat="1" applyFont="1" applyFill="1" applyBorder="1" applyAlignment="1">
      <x:alignment vertical="center"/>
    </x:xf>
    <x:xf numFmtId="205" fontId="1" fillId="0" borderId="12" xfId="0" applyNumberFormat="1" applyFont="1" applyFill="1" applyBorder="1" applyAlignment="1">
      <x:alignment vertical="center"/>
    </x:xf>
    <x:xf numFmtId="205" fontId="1" fillId="0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df2ccf7bf4310" /><Relationship Type="http://schemas.openxmlformats.org/officeDocument/2006/relationships/theme" Target="/xl/theme/theme1.xml" Id="R3fbddbd4833547c7" /><Relationship Type="http://schemas.openxmlformats.org/officeDocument/2006/relationships/sharedStrings" Target="/xl/sharedStrings.xml" Id="Rf5616eeb83024ec8" /><Relationship Type="http://schemas.openxmlformats.org/officeDocument/2006/relationships/worksheet" Target="/xl/worksheets/sheet1.xml" Id="R8904be0a41584463" /><Relationship Type="http://schemas.openxmlformats.org/officeDocument/2006/relationships/worksheet" Target="/xl/worksheets/sheet2.xml" Id="R300412a036e7459b" /><Relationship Type="http://schemas.openxmlformats.org/officeDocument/2006/relationships/worksheet" Target="/xl/worksheets/sheet3.xml" Id="Rfc1df300191f4593" /><Relationship Type="http://schemas.openxmlformats.org/officeDocument/2006/relationships/worksheet" Target="/xl/worksheets/sheet4.xml" Id="R6e7b925aba3b4c76" /><Relationship Type="http://schemas.openxmlformats.org/officeDocument/2006/relationships/worksheet" Target="/xl/worksheets/sheet5.xml" Id="R2755b31168ac49a9" /><Relationship Type="http://schemas.openxmlformats.org/officeDocument/2006/relationships/worksheet" Target="/xl/worksheets/sheet6.xml" Id="Ra70e777d88a04127" /><Relationship Type="http://schemas.openxmlformats.org/officeDocument/2006/relationships/worksheet" Target="/xl/worksheets/sheet7.xml" Id="Rdfc919b2dbdf48e0" /><Relationship Type="http://schemas.openxmlformats.org/officeDocument/2006/relationships/worksheet" Target="/xl/worksheets/sheet8.xml" Id="Ra7aef2e2d3114c6e" /><Relationship Type="http://schemas.openxmlformats.org/officeDocument/2006/relationships/worksheet" Target="/xl/worksheets/sheet9.xml" Id="Rca0be5f8577b4a26" /><Relationship Type="http://schemas.openxmlformats.org/officeDocument/2006/relationships/worksheet" Target="/xl/worksheets/sheet10.xml" Id="R204b04c123284651" /><Relationship Type="http://schemas.openxmlformats.org/officeDocument/2006/relationships/worksheet" Target="/xl/worksheets/sheet11.xml" Id="R5666157c8438493f" /><Relationship Type="http://schemas.openxmlformats.org/officeDocument/2006/relationships/worksheet" Target="/xl/worksheets/sheet12.xml" Id="R927a0c8cde3c4a56" /><Relationship Type="http://schemas.openxmlformats.org/officeDocument/2006/relationships/worksheet" Target="/xl/worksheets/sheet13.xml" Id="R645346b93fba49ca" /><Relationship Type="http://schemas.openxmlformats.org/officeDocument/2006/relationships/worksheet" Target="/xl/worksheets/sheet14.xml" Id="Rd9c10af47f71422c" /><Relationship Type="http://schemas.openxmlformats.org/officeDocument/2006/relationships/worksheet" Target="/xl/worksheets/sheet15.xml" Id="R373ff14bc97b41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8" hidden="0" customWidth="1"/>
    <x:col min="3" max="3" width="42" hidden="0" customWidth="1"/>
    <x:col min="4" max="4" width="15" hidden="0" customWidth="1"/>
    <x:col min="5" max="5" width="48" hidden="0" customWidth="1"/>
    <x:col min="6" max="6" width="18" hidden="0" customWidth="1"/>
    <x:col min="7" max="7" width="22" hidden="0" customWidth="1"/>
    <x:col min="8" max="8" width="22" hidden="0" customWidth="1"/>
    <x:col min="9" max="9" width="23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</x:cols>
  <x:sheetData>
    <x:row r="2">
      <x:c r="B2" s="3" t="str">
        <x:v>TAFG-1 second-region formation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A dual-carriage detachment attains the universal unprepared payload lower bound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Executive result</x:v>
      </x:c>
      <x:c r="C6" s="9" t="str">
        <x:v>Executive result</x:v>
      </x:c>
      <x:c r="D6" s="9" t="str">
        <x:v>Executive result</x:v>
      </x:c>
      <x:c r="E6" s="9" t="str">
        <x:v>Executive result</x:v>
      </x:c>
      <x:c r="F6" s="10" t="str">
        <x:v>Executive result</x:v>
      </x:c>
      <x:c r="G6" s="2"/>
      <x:c r="H6" s="2"/>
      <x:c r="I6" s="2"/>
      <x:c r="J6" s="2"/>
      <x:c r="K6" s="2"/>
      <x:c r="L6" s="2"/>
      <x:c r="M6" s="2"/>
      <x:c r="N6" s="2"/>
    </x:row>
    <x:row r="7">
      <x:c r="B7" s="29" t="str">
        <x:v>Decision</x:v>
      </x:c>
      <x:c r="C7" s="30" t="str">
        <x:v>Value</x:v>
      </x:c>
      <x:c r="D7" s="30" t="str">
        <x:v>Unit</x:v>
      </x:c>
      <x:c r="E7" s="30" t="str">
        <x:v>Interpretation</x:v>
      </x:c>
      <x:c r="F7" s="30" t="str">
        <x:v>State</x:v>
      </x:c>
      <x:c r="G7" s="2"/>
      <x:c r="H7" s="2"/>
      <x:c r="I7" s="2"/>
      <x:c r="J7" s="2"/>
      <x:c r="K7" s="2"/>
      <x:c r="L7" s="2"/>
      <x:c r="M7" s="2"/>
      <x:c r="N7" s="2"/>
    </x:row>
    <x:row r="8">
      <x:c r="B8" s="31" t="str">
        <x:v>Universal reference</x:v>
      </x:c>
      <x:c r="C8" s="31" t="str">
        <x:v>S1 DCP-2</x:v>
      </x:c>
      <x:c r="D8" s="31" t="str">
        <x:v>package</x:v>
      </x:c>
      <x:c r="E8" s="31" t="str">
        <x:v>M1 buoyant lift plus M3 terrain carriage</x:v>
      </x:c>
      <x:c r="F8" s="33" t="str">
        <x:v>research</x:v>
      </x:c>
      <x:c r="G8" s="2"/>
      <x:c r="H8" s="2"/>
      <x:c r="I8" s="2"/>
      <x:c r="J8" s="2"/>
      <x:c r="K8" s="2"/>
      <x:c r="L8" s="2"/>
      <x:c r="M8" s="2"/>
      <x:c r="N8" s="2"/>
    </x:row>
    <x:row r="9">
      <x:c r="B9" s="31" t="str">
        <x:v>Universal rivals</x:v>
      </x:c>
      <x:c r="C9" s="31" t="n">
        <x:f>COUNTIF(Assurance!J7:J13,"PASS")</x:f>
        <x:v>2</x:v>
      </x:c>
      <x:c r="D9" s="31" t="str">
        <x:v>of 7</x:v>
      </x:c>
      <x:c r="E9" s="31" t="str">
        <x:v>S0 and S1 only</x:v>
      </x:c>
      <x:c r="F9" s="33" t="str">
        <x:v>calculated</x:v>
      </x:c>
      <x:c r="G9" s="2"/>
      <x:c r="H9" s="2"/>
      <x:c r="I9" s="2"/>
      <x:c r="J9" s="2"/>
      <x:c r="K9" s="2"/>
      <x:c r="L9" s="2"/>
      <x:c r="M9" s="2"/>
      <x:c r="N9" s="2"/>
    </x:row>
    <x:row r="10">
      <x:c r="B10" s="31" t="str">
        <x:v>Source-independent payload lower bound</x:v>
      </x:c>
      <x:c r="C10" s="31" t="n">
        <x:v>1270</x:v>
      </x:c>
      <x:c r="D10" s="31" t="str">
        <x:v>t</x:v>
      </x:c>
      <x:c r="E10" s="31" t="str">
        <x:v>two complete 635 t physical cells</x:v>
      </x:c>
      <x:c r="F10" s="33" t="str">
        <x:v>derived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B11" s="31" t="str">
        <x:v>Reference vehicles</x:v>
      </x:c>
      <x:c r="C11" s="31" t="n">
        <x:v>6</x:v>
      </x:c>
      <x:c r="D11" s="31" t="str">
        <x:v>vehicles</x:v>
      </x:c>
      <x:c r="E11" s="31" t="str">
        <x:v>two liftships plus four terrain vehicles</x:v>
      </x:c>
      <x:c r="F11" s="33" t="str">
        <x:v>declared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B12" s="31" t="str">
        <x:v>Incremental deployed workforce</x:v>
      </x:c>
      <x:c r="C12" s="31" t="n">
        <x:v>486</x:v>
      </x:c>
      <x:c r="D12" s="31" t="str">
        <x:v>people</x:v>
      </x:c>
      <x:c r="E12" s="31" t="str">
        <x:v>separate receiver, release, custody and reset</x:v>
      </x:c>
      <x:c r="F12" s="33" t="str">
        <x:v>declared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B13" s="31" t="str">
        <x:v>Reference package program</x:v>
      </x:c>
      <x:c r="C13" s="62" t="n">
        <x:f>'Program Cost'!L8</x:f>
        <x:v>770.6333</x:v>
      </x:c>
      <x:c r="D13" s="31" t="str">
        <x:v>$B</x:v>
      </x:c>
      <x:c r="E13" s="31" t="str">
        <x:v>43 ready second-region packages</x:v>
      </x:c>
      <x:c r="F13" s="33" t="str">
        <x:v>calculated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31" t="str">
        <x:v>Reference national boundary</x:v>
      </x:c>
      <x:c r="C14" s="62" t="n">
        <x:f>'Program Cost'!N8</x:f>
        <x:v>8153.77485</x:v>
      </x:c>
      <x:c r="D14" s="31" t="str">
        <x:v>$B</x:v>
      </x:c>
      <x:c r="E14" s="31" t="str">
        <x:v>dynamic F1-C1 plus S1</x:v>
      </x:c>
      <x:c r="F14" s="33" t="str">
        <x:v>calculated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B15" s="31" t="str">
        <x:v>Savings versus full duplication</x:v>
      </x:c>
      <x:c r="C15" s="62" t="n">
        <x:f>'Program Cost'!O8</x:f>
        <x:v>192.86310000000003</x:v>
      </x:c>
      <x:c r="D15" s="31" t="str">
        <x:v>$B</x:v>
      </x:c>
      <x:c r="E15" s="31" t="str">
        <x:v>20.0 percent at 43 groups</x:v>
      </x:c>
      <x:c r="F15" s="33" t="str">
        <x:v>calculated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B16" s="31" t="str">
        <x:v>Least-cost conditional rival</x:v>
      </x:c>
      <x:c r="C16" s="62" t="str">
        <x:v>S4 terrain + bridge</x:v>
      </x:c>
      <x:c r="D16" s="31" t="str">
        <x:v>package</x:v>
      </x:c>
      <x:c r="E16" s="31" t="str">
        <x:v>requires qualified standoff source and route</x:v>
      </x:c>
      <x:c r="F16" s="33" t="str">
        <x:v>calculated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31" t="str">
        <x:v>Conditional cost floor</x:v>
      </x:c>
      <x:c r="C17" s="62" t="n">
        <x:f>'Program Cost'!L11</x:f>
        <x:v>572.3870999999999</x:v>
      </x:c>
      <x:c r="D17" s="31" t="str">
        <x:v>$B</x:v>
      </x:c>
      <x:c r="E17" s="31" t="str">
        <x:v>not a universal guarantee</x:v>
      </x:c>
      <x:c r="F17" s="33" t="str">
        <x:v>calculated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31" t="str">
        <x:v>Open evidence gates</x:v>
      </x:c>
      <x:c r="C18" s="31" t="n">
        <x:v>44</x:v>
      </x:c>
      <x:c r="D18" s="31" t="str">
        <x:v>gates</x:v>
      </x:c>
      <x:c r="E18" s="31" t="str">
        <x:v>current and strict credit remain zero</x:v>
      </x:c>
      <x:c r="F18" s="33" t="str">
        <x:v>calculated</x:v>
      </x:c>
      <x:c r="G18" s="2"/>
      <x:c r="H18" s="2"/>
      <x:c r="I18" s="2"/>
      <x:c r="J18" s="2"/>
      <x:c r="K18" s="2"/>
      <x:c r="L18" s="2"/>
      <x:c r="M18" s="2"/>
      <x:c r="N18" s="2"/>
    </x:row>
    <x:row r="19">
      <x:c r="B19" s="38" t="str">
        <x:v>Rendering state</x:v>
      </x:c>
      <x:c r="C19" s="38" t="str">
        <x:v>BLOCKED</x:v>
      </x:c>
      <x:c r="D19" s="38" t="str">
        <x:v>governance</x:v>
      </x:c>
      <x:c r="E19" s="38" t="str">
        <x:v>physical envelopes remain unproved</x:v>
      </x:c>
      <x:c r="F19" s="40" t="str">
        <x:v>declared</x:v>
      </x:c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8" t="str">
        <x:v>Package comparison</x:v>
      </x:c>
      <x:c r="C22" s="9" t="str">
        <x:v>Package comparison</x:v>
      </x:c>
      <x:c r="D22" s="9" t="str">
        <x:v>Package comparison</x:v>
      </x:c>
      <x:c r="E22" s="9" t="str">
        <x:v>Package comparison</x:v>
      </x:c>
      <x:c r="F22" s="9" t="str">
        <x:v>Package comparison</x:v>
      </x:c>
      <x:c r="G22" s="9" t="str">
        <x:v>Package comparison</x:v>
      </x:c>
      <x:c r="H22" s="9" t="str">
        <x:v>Package comparison</x:v>
      </x:c>
      <x:c r="I22" s="9" t="str">
        <x:v>Package comparison</x:v>
      </x:c>
      <x:c r="J22" s="9" t="str">
        <x:v>Package comparison</x:v>
      </x:c>
      <x:c r="K22" s="9" t="str">
        <x:v>Package comparison</x:v>
      </x:c>
      <x:c r="L22" s="9" t="str">
        <x:v>Package comparison</x:v>
      </x:c>
      <x:c r="M22" s="9" t="str">
        <x:v>Package comparison</x:v>
      </x:c>
      <x:c r="N22" s="10" t="str">
        <x:v>Package comparison</x:v>
      </x:c>
    </x:row>
    <x:row r="23">
      <x:c r="B23" s="29" t="str">
        <x:v>Code</x:v>
      </x:c>
      <x:c r="C23" s="30" t="str">
        <x:v>Package</x:v>
      </x:c>
      <x:c r="D23" s="30" t="str">
        <x:v>Universal</x:v>
      </x:c>
      <x:c r="E23" s="30" t="str">
        <x:v>Conditional</x:v>
      </x:c>
      <x:c r="F23" s="30" t="str">
        <x:v>Fielded payload t</x:v>
      </x:c>
      <x:c r="G23" s="30" t="str">
        <x:v>Incremental deployed</x:v>
      </x:c>
      <x:c r="H23" s="30" t="str">
        <x:v>Package program $B</x:v>
      </x:c>
      <x:c r="I23" s="30" t="str">
        <x:v>National boundary $B</x:v>
      </x:c>
      <x:c r="J23" s="2"/>
      <x:c r="K23" s="2"/>
      <x:c r="L23" s="2"/>
      <x:c r="M23" s="2"/>
      <x:c r="N23" s="2"/>
    </x:row>
    <x:row r="24">
      <x:c r="B24" s="31" t="str">
        <x:v>S0</x:v>
      </x:c>
      <x:c r="C24" s="31" t="str">
        <x:f>'Rival Packages'!C7</x:f>
        <x:v>Full TAFG duplicate</x:v>
      </x:c>
      <x:c r="D24" s="45" t="str">
        <x:f>Assurance!J7</x:f>
        <x:v>PASS</x:v>
      </x:c>
      <x:c r="E24" s="45" t="str">
        <x:f>Assurance!N7</x:f>
        <x:v>UNIVERSAL</x:v>
      </x:c>
      <x:c r="F24" s="31" t="n">
        <x:f>'Rival Packages'!K7</x:f>
        <x:v>1670</x:v>
      </x:c>
      <x:c r="G24" s="31" t="n">
        <x:f>'Rival Packages'!N7</x:f>
        <x:v>546</x:v>
      </x:c>
      <x:c r="H24" s="62" t="n">
        <x:f>'Program Cost'!L7</x:f>
        <x:v>963.4964</x:v>
      </x:c>
      <x:c r="I24" s="63" t="n">
        <x:f>'Program Cost'!N7</x:f>
        <x:v>8346.63795</x:v>
      </x:c>
      <x:c r="J24" s="2"/>
      <x:c r="K24" s="2"/>
      <x:c r="L24" s="2"/>
      <x:c r="M24" s="2"/>
      <x:c r="N24" s="2"/>
    </x:row>
    <x:row r="25">
      <x:c r="B25" s="31" t="str">
        <x:v>S1</x:v>
      </x:c>
      <x:c r="C25" s="31" t="str">
        <x:f>'Rival Packages'!C8</x:f>
        <x:v>DCP-2 dual-carriage detachment</x:v>
      </x:c>
      <x:c r="D25" s="45" t="str">
        <x:f>Assurance!J8</x:f>
        <x:v>PASS</x:v>
      </x:c>
      <x:c r="E25" s="45" t="str">
        <x:f>Assurance!N8</x:f>
        <x:v>UNIVERSAL</x:v>
      </x:c>
      <x:c r="F25" s="31" t="n">
        <x:f>'Rival Packages'!K8</x:f>
        <x:v>1270</x:v>
      </x:c>
      <x:c r="G25" s="31" t="n">
        <x:f>'Rival Packages'!N8</x:f>
        <x:v>486</x:v>
      </x:c>
      <x:c r="H25" s="62" t="n">
        <x:f>'Program Cost'!L8</x:f>
        <x:v>770.6333</x:v>
      </x:c>
      <x:c r="I25" s="63" t="n">
        <x:f>'Program Cost'!N8</x:f>
        <x:v>8153.77485</x:v>
      </x:c>
      <x:c r="J25" s="2"/>
      <x:c r="K25" s="2"/>
      <x:c r="L25" s="2"/>
      <x:c r="M25" s="2"/>
      <x:c r="N25" s="2"/>
    </x:row>
    <x:row r="26">
      <x:c r="B26" s="31" t="str">
        <x:v>S2</x:v>
      </x:c>
      <x:c r="C26" s="31" t="str">
        <x:f>'Rival Packages'!C9</x:f>
        <x:v>VHL plus utility bridge</x:v>
      </x:c>
      <x:c r="D26" s="45" t="str">
        <x:f>Assurance!J9</x:f>
        <x:v>FAIL</x:v>
      </x:c>
      <x:c r="E26" s="45" t="str">
        <x:f>Assurance!N9</x:f>
        <x:v>PASS</x:v>
      </x:c>
      <x:c r="F26" s="31" t="n">
        <x:f>'Rival Packages'!K9</x:f>
        <x:v>1120</x:v>
      </x:c>
      <x:c r="G26" s="31" t="n">
        <x:f>'Rival Packages'!N9</x:f>
        <x:v>408</x:v>
      </x:c>
      <x:c r="H26" s="62" t="n">
        <x:f>'Program Cost'!L9</x:f>
        <x:v>922.6397</x:v>
      </x:c>
      <x:c r="I26" s="63" t="n">
        <x:f>'Program Cost'!N9</x:f>
        <x:v>8305.78125</x:v>
      </x:c>
      <x:c r="J26" s="2"/>
      <x:c r="K26" s="2"/>
      <x:c r="L26" s="2"/>
      <x:c r="M26" s="2"/>
      <x:c r="N26" s="2"/>
    </x:row>
    <x:row r="27">
      <x:c r="B27" s="31" t="str">
        <x:v>S3</x:v>
      </x:c>
      <x:c r="C27" s="31" t="str">
        <x:f>'Rival Packages'!C10</x:f>
        <x:v>VHL plus local conversion</x:v>
      </x:c>
      <x:c r="D27" s="45" t="str">
        <x:f>Assurance!J10</x:f>
        <x:v>FAIL</x:v>
      </x:c>
      <x:c r="E27" s="45" t="str">
        <x:f>Assurance!N10</x:f>
        <x:v>PASS</x:v>
      </x:c>
      <x:c r="F27" s="31" t="n">
        <x:f>'Rival Packages'!K10</x:f>
        <x:v>870</x:v>
      </x:c>
      <x:c r="G27" s="31" t="n">
        <x:f>'Rival Packages'!N10</x:f>
        <x:v>430</x:v>
      </x:c>
      <x:c r="H27" s="62" t="n">
        <x:f>'Program Cost'!L10</x:f>
        <x:v>922.2314000000001</x:v>
      </x:c>
      <x:c r="I27" s="63" t="n">
        <x:f>'Program Cost'!N10</x:f>
        <x:v>8305.37295</x:v>
      </x:c>
      <x:c r="J27" s="2"/>
      <x:c r="K27" s="2"/>
      <x:c r="L27" s="2"/>
      <x:c r="M27" s="2"/>
      <x:c r="N27" s="2"/>
    </x:row>
    <x:row r="28">
      <x:c r="B28" s="31" t="str">
        <x:v>S4</x:v>
      </x:c>
      <x:c r="C28" s="31" t="str">
        <x:f>'Rival Packages'!C11</x:f>
        <x:v>Terrain plus utility bridge</x:v>
      </x:c>
      <x:c r="D28" s="45" t="str">
        <x:f>Assurance!J11</x:f>
        <x:v>FAIL</x:v>
      </x:c>
      <x:c r="E28" s="45" t="str">
        <x:f>Assurance!N11</x:f>
        <x:v>PASS</x:v>
      </x:c>
      <x:c r="F28" s="31" t="n">
        <x:f>'Rival Packages'!K11</x:f>
        <x:v>1035</x:v>
      </x:c>
      <x:c r="G28" s="31" t="n">
        <x:f>'Rival Packages'!N11</x:f>
        <x:v>370</x:v>
      </x:c>
      <x:c r="H28" s="62" t="n">
        <x:f>'Program Cost'!L11</x:f>
        <x:v>572.3870999999999</x:v>
      </x:c>
      <x:c r="I28" s="63" t="n">
        <x:f>'Program Cost'!N11</x:f>
        <x:v>7955.52865</x:v>
      </x:c>
      <x:c r="J28" s="2"/>
      <x:c r="K28" s="2"/>
      <x:c r="L28" s="2"/>
      <x:c r="M28" s="2"/>
      <x:c r="N28" s="2"/>
    </x:row>
    <x:row r="29">
      <x:c r="B29" s="31" t="str">
        <x:v>S5</x:v>
      </x:c>
      <x:c r="C29" s="31" t="str">
        <x:f>'Rival Packages'!C12</x:f>
        <x:v>Atmospheric plus prepared cell</x:v>
      </x:c>
      <x:c r="D29" s="45" t="str">
        <x:f>Assurance!J12</x:f>
        <x:v>FAIL</x:v>
      </x:c>
      <x:c r="E29" s="45" t="str">
        <x:f>Assurance!N12</x:f>
        <x:v>PASS</x:v>
      </x:c>
      <x:c r="F29" s="31" t="n">
        <x:f>'Rival Packages'!K12</x:f>
        <x:v>1215</x:v>
      </x:c>
      <x:c r="G29" s="31" t="n">
        <x:f>'Rival Packages'!N12</x:f>
        <x:v>380</x:v>
      </x:c>
      <x:c r="H29" s="62" t="n">
        <x:f>'Program Cost'!L12</x:f>
        <x:v>767.1056000000001</x:v>
      </x:c>
      <x:c r="I29" s="63" t="n">
        <x:f>'Program Cost'!N12</x:f>
        <x:v>8150.24715</x:v>
      </x:c>
      <x:c r="J29" s="2"/>
      <x:c r="K29" s="2"/>
      <x:c r="L29" s="2"/>
      <x:c r="M29" s="2"/>
      <x:c r="N29" s="2"/>
    </x:row>
    <x:row r="30">
      <x:c r="B30" s="38" t="str">
        <x:v>S6</x:v>
      </x:c>
      <x:c r="C30" s="38" t="str">
        <x:f>'Rival Packages'!C13</x:f>
        <x:v>Two VHL lattices</x:v>
      </x:c>
      <x:c r="D30" s="46" t="str">
        <x:f>Assurance!J13</x:f>
        <x:v>FAIL</x:v>
      </x:c>
      <x:c r="E30" s="46" t="str">
        <x:f>Assurance!N13</x:f>
        <x:v>FAIL</x:v>
      </x:c>
      <x:c r="F30" s="38" t="n">
        <x:f>'Rival Packages'!K13</x:f>
        <x:v>1440</x:v>
      </x:c>
      <x:c r="G30" s="38" t="n">
        <x:f>'Rival Packages'!N13</x:f>
        <x:v>520</x:v>
      </x:c>
      <x:c r="H30" s="64" t="n">
        <x:f>'Program Cost'!L13</x:f>
        <x:v>1399.9470000000001</x:v>
      </x:c>
      <x:c r="I30" s="65" t="n">
        <x:f>'Program Cost'!N13</x:f>
        <x:v>8783.08855</x:v>
      </x:c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8" t="str">
        <x:v>Governing judgments</x:v>
      </x:c>
      <x:c r="C33" s="9" t="str">
        <x:v>Governing judgments</x:v>
      </x:c>
      <x:c r="D33" s="9" t="str">
        <x:v>Governing judgments</x:v>
      </x:c>
      <x:c r="E33" s="9" t="str">
        <x:v>Governing judgments</x:v>
      </x:c>
      <x:c r="F33" s="9" t="str">
        <x:v>Governing judgments</x:v>
      </x:c>
      <x:c r="G33" s="9" t="str">
        <x:v>Governing judgments</x:v>
      </x:c>
      <x:c r="H33" s="9" t="str">
        <x:v>Governing judgments</x:v>
      </x:c>
      <x:c r="I33" s="9" t="str">
        <x:v>Governing judgments</x:v>
      </x:c>
      <x:c r="J33" s="9" t="str">
        <x:v>Governing judgments</x:v>
      </x:c>
      <x:c r="K33" s="9" t="str">
        <x:v>Governing judgments</x:v>
      </x:c>
      <x:c r="L33" s="9" t="str">
        <x:v>Governing judgments</x:v>
      </x:c>
      <x:c r="M33" s="9" t="str">
        <x:v>Governing judgments</x:v>
      </x:c>
      <x:c r="N33" s="10" t="str">
        <x:v>Governing judgments</x:v>
      </x:c>
    </x:row>
    <x:row r="34">
      <x:c r="B34" s="66" t="str">
        <x:v>1. Universal unprepared assurance has a payload lower bound.</x:v>
      </x:c>
      <x:c r="C34" s="2" t="str">
        <x:v>With no standoff source, local feed or prepared cell, one mode loss requires two separately governed 635-tonne physical cells.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66" t="str">
        <x:v>2. DCP-2 attains the registered lower bound.</x:v>
      </x:c>
      <x:c r="C35" s="2" t="str">
        <x:v>M1 and M3 provide dissimilar source-independent paths with 1,270 tonnes and six vehicles.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66" t="str">
        <x:v>3. Conditional packages remain strategic assets.</x:v>
      </x:c>
      <x:c r="C36" s="2" t="str">
        <x:v>Bridge, conversion and prepared-cell rivals can reduce mobile burden only where their enabling condition is independently assured.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66" t="str">
        <x:v>4. More vehicles do not create another physics family.</x:v>
      </x:c>
      <x:c r="C37" s="2" t="str">
        <x:v>Two VHL lattices survive aircraft loss but fail complete loss of their common atmospheric mode.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66" t="str">
        <x:v>5. Rendering remains blocked.</x:v>
      </x:c>
      <x:c r="C38" s="2" t="str">
        <x:v>Module dimensions, load maps, mooring, terrain interface, receiver geometry and representative schedules still determine form.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mergeCells>
    <x:mergeCell ref="B6:F6"/>
    <x:mergeCell ref="B22:N22"/>
    <x:mergeCell ref="B33:N33"/>
    <x:mergeCell ref="C34:N34"/>
    <x:mergeCell ref="C35:N35"/>
    <x:mergeCell ref="C36:N36"/>
    <x:mergeCell ref="C37:N37"/>
    <x:mergeCell ref="C38:N38"/>
  </x:mergeCells>
  <x:conditionalFormatting sqref="D24:E30">
    <x:cfRule type="containsText" dxfId="5" priority="1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43" hidden="0" customWidth="1"/>
    <x:col min="3" max="3" width="20" hidden="0" customWidth="1"/>
    <x:col min="4" max="4" width="19" hidden="0" customWidth="1"/>
    <x:col min="5" max="5" width="26" hidden="0" customWidth="1"/>
    <x:col min="6" max="6" width="46" hidden="0" customWidth="1"/>
  </x:cols>
  <x:sheetData>
    <x:row r="2">
      <x:c r="B2" s="3" t="str">
        <x:v>Second-region formation assumptions</x:v>
      </x:c>
      <x:c r="C2" s="2"/>
      <x:c r="D2" s="2"/>
      <x:c r="E2" s="2"/>
      <x:c r="F2" s="2"/>
    </x:row>
    <x:row r="3">
      <x:c r="B3" s="4" t="str">
        <x:v>The comparison holds one complete PTS-5 effect and two-region assurance constant</x:v>
      </x:c>
      <x:c r="C3" s="4"/>
      <x:c r="D3" s="4"/>
      <x:c r="E3" s="4"/>
      <x:c r="F3" s="4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8" t="str">
        <x:v>Service, force and fiscal controls</x:v>
      </x:c>
      <x:c r="C6" s="9" t="str">
        <x:v>Service, force and fiscal controls</x:v>
      </x:c>
      <x:c r="D6" s="9" t="str">
        <x:v>Service, force and fiscal controls</x:v>
      </x:c>
      <x:c r="E6" s="9" t="str">
        <x:v>Service, force and fiscal controls</x:v>
      </x:c>
      <x:c r="F6" s="10" t="str">
        <x:v>Service, force and fiscal controls</x:v>
      </x:c>
    </x:row>
    <x:row r="7">
      <x:c r="B7" s="29" t="str">
        <x:v>Input</x:v>
      </x:c>
      <x:c r="C7" s="30" t="str">
        <x:v>Value</x:v>
      </x:c>
      <x:c r="D7" s="30" t="str">
        <x:v>Unit</x:v>
      </x:c>
      <x:c r="E7" s="30" t="str">
        <x:v>Origin</x:v>
      </x:c>
      <x:c r="F7" s="30" t="str">
        <x:v>Meaning</x:v>
      </x:c>
    </x:row>
    <x:row r="8">
      <x:c r="B8" s="31" t="str">
        <x:v>Service-entry deadline from activation</x:v>
      </x:c>
      <x:c r="C8" s="32" t="n">
        <x:v>48</x:v>
      </x:c>
      <x:c r="D8" s="31" t="str">
        <x:v>h</x:v>
      </x:c>
      <x:c r="E8" s="31" t="str">
        <x:v>Pass 80</x:v>
      </x:c>
      <x:c r="F8" s="33" t="str">
        <x:v>each region receives the same clock</x:v>
      </x:c>
    </x:row>
    <x:row r="9">
      <x:c r="B9" s="31" t="str">
        <x:v>Second-region activation</x:v>
      </x:c>
      <x:c r="C9" s="32" t="n">
        <x:v>6</x:v>
      </x:c>
      <x:c r="D9" s="31" t="str">
        <x:v>h after region A</x:v>
      </x:c>
      <x:c r="E9" s="31" t="str">
        <x:v>Pass 80</x:v>
      </x:c>
      <x:c r="F9" s="33" t="str">
        <x:v>demand becomes actionable</x:v>
      </x:c>
    </x:row>
    <x:row r="10">
      <x:c r="B10" s="31" t="str">
        <x:v>Second-region absolute deadline</x:v>
      </x:c>
      <x:c r="C10" s="34" t="n">
        <x:f>C8+C9</x:f>
        <x:v>54</x:v>
      </x:c>
      <x:c r="D10" s="31" t="str">
        <x:v>h</x:v>
      </x:c>
      <x:c r="E10" s="31" t="str">
        <x:v>calculated</x:v>
      </x:c>
      <x:c r="F10" s="33" t="str">
        <x:v>activation plus service clock</x:v>
      </x:c>
    </x:row>
    <x:row r="11">
      <x:c r="B11" s="31" t="str">
        <x:v>Minimum complete-service fraction</x:v>
      </x:c>
      <x:c r="C11" s="35" t="n">
        <x:v>0.9</x:v>
      </x:c>
      <x:c r="D11" s="31" t="str">
        <x:v>fraction</x:v>
      </x:c>
      <x:c r="E11" s="31" t="str">
        <x:v>Pass 78</x:v>
      </x:c>
      <x:c r="F11" s="33" t="str">
        <x:v>missing functions never receive mass credit</x:v>
      </x:c>
    </x:row>
    <x:row r="12">
      <x:c r="B12" s="31" t="str">
        <x:v>Complete physical launch mass</x:v>
      </x:c>
      <x:c r="C12" s="32" t="n">
        <x:v>635</x:v>
      </x:c>
      <x:c r="D12" s="31" t="str">
        <x:v>t</x:v>
      </x:c>
      <x:c r="E12" s="31" t="str">
        <x:v>Pass 80</x:v>
      </x:c>
      <x:c r="F12" s="33" t="str">
        <x:v>one governed service cell</x:v>
      </x:c>
    </x:row>
    <x:row r="13">
      <x:c r="B13" s="31" t="str">
        <x:v>Utility-bridge payload</x:v>
      </x:c>
      <x:c r="C13" s="32" t="n">
        <x:v>400</x:v>
      </x:c>
      <x:c r="D13" s="31" t="str">
        <x:v>t</x:v>
      </x:c>
      <x:c r="E13" s="31" t="str">
        <x:v>Pass 80</x:v>
      </x:c>
      <x:c r="F13" s="33" t="str">
        <x:v>source-dependent equivalent service</x:v>
      </x:c>
    </x:row>
    <x:row r="14">
      <x:c r="B14" s="31" t="str">
        <x:v>Local-conversion seed</x:v>
      </x:c>
      <x:c r="C14" s="32" t="n">
        <x:v>150</x:v>
      </x:c>
      <x:c r="D14" s="31" t="str">
        <x:v>t</x:v>
      </x:c>
      <x:c r="E14" s="31" t="str">
        <x:v>Pass 78</x:v>
      </x:c>
      <x:c r="F14" s="33" t="str">
        <x:v>qualified local matter required</x:v>
      </x:c>
    </x:row>
    <x:row r="15">
      <x:c r="B15" s="31" t="str">
        <x:v>Prepared service-island cell</x:v>
      </x:c>
      <x:c r="C15" s="32" t="n">
        <x:v>580</x:v>
      </x:c>
      <x:c r="D15" s="31" t="str">
        <x:v>t</x:v>
      </x:c>
      <x:c r="E15" s="31" t="str">
        <x:v>Pass 77</x:v>
      </x:c>
      <x:c r="F15" s="33" t="str">
        <x:v>receiver-side service capacity</x:v>
      </x:c>
    </x:row>
    <x:row r="16">
      <x:c r="B16" s="31" t="str">
        <x:v>Assigned hard-access groups</x:v>
      </x:c>
      <x:c r="C16" s="32" t="n">
        <x:v>22</x:v>
      </x:c>
      <x:c r="D16" s="31" t="str">
        <x:v>groups</x:v>
      </x:c>
      <x:c r="E16" s="31" t="str">
        <x:v>Pass 80</x:v>
      </x:c>
      <x:c r="F16" s="33" t="str">
        <x:v>national mission assignment</x:v>
      </x:c>
    </x:row>
    <x:row r="17">
      <x:c r="B17" s="31" t="str">
        <x:v>Concurrency factor</x:v>
      </x:c>
      <x:c r="C17" s="32" t="n">
        <x:v>1.5</x:v>
      </x:c>
      <x:c r="D17" s="31" t="str">
        <x:v>factor</x:v>
      </x:c>
      <x:c r="E17" s="31" t="str">
        <x:v>Pass 80</x:v>
      </x:c>
      <x:c r="F17" s="33" t="str">
        <x:v>overlapping campaigns</x:v>
      </x:c>
    </x:row>
    <x:row r="18">
      <x:c r="B18" s="31" t="str">
        <x:v>Readiness factor</x:v>
      </x:c>
      <x:c r="C18" s="32" t="n">
        <x:v>1.3</x:v>
      </x:c>
      <x:c r="D18" s="31" t="str">
        <x:v>factor</x:v>
      </x:c>
      <x:c r="E18" s="31" t="str">
        <x:v>Pass 80</x:v>
      </x:c>
      <x:c r="F18" s="33" t="str">
        <x:v>training, overhaul and attrition</x:v>
      </x:c>
    </x:row>
    <x:row r="19">
      <x:c r="B19" s="31" t="str">
        <x:v>Ready groups</x:v>
      </x:c>
      <x:c r="C19" s="34" t="n">
        <x:f>CEILING(C16*C17*C18,1)</x:f>
        <x:v>43</x:v>
      </x:c>
      <x:c r="D19" s="31" t="str">
        <x:v>groups</x:v>
      </x:c>
      <x:c r="E19" s="31" t="str">
        <x:v>calculated</x:v>
      </x:c>
      <x:c r="F19" s="33" t="str">
        <x:v>ceiling of assigned demand</x:v>
      </x:c>
    </x:row>
    <x:row r="20">
      <x:c r="B20" s="31" t="str">
        <x:v>Operations factor</x:v>
      </x:c>
      <x:c r="C20" s="32" t="n">
        <x:v>15.81</x:v>
      </x:c>
      <x:c r="D20" s="31" t="str">
        <x:v>years</x:v>
      </x:c>
      <x:c r="E20" s="31" t="str">
        <x:v>Pass 80</x:v>
      </x:c>
      <x:c r="F20" s="33" t="str">
        <x:v>25-year ramp-weighted operations</x:v>
      </x:c>
    </x:row>
    <x:row r="21">
      <x:c r="B21" s="31" t="str">
        <x:v>F1-C1 national boundary at 43 groups</x:v>
      </x:c>
      <x:c r="C21" s="36" t="n">
        <x:v>7383.14155</x:v>
      </x:c>
      <x:c r="D21" s="31" t="str">
        <x:v>$B</x:v>
      </x:c>
      <x:c r="E21" s="31" t="str">
        <x:v>Pass 80</x:v>
      </x:c>
      <x:c r="F21" s="33" t="str">
        <x:v>one-region force before second package</x:v>
      </x:c>
    </x:row>
    <x:row r="22">
      <x:c r="B22" s="31" t="str">
        <x:v>F1-C1 cost per additional ready group</x:v>
      </x:c>
      <x:c r="C22" s="36" t="n">
        <x:v>19.8472</x:v>
      </x:c>
      <x:c r="D22" s="31" t="str">
        <x:v>$B/group</x:v>
      </x:c>
      <x:c r="E22" s="31" t="str">
        <x:v>derived from Pass 80</x:v>
      </x:c>
      <x:c r="F22" s="33" t="str">
        <x:v>formation plus tri-partition custody</x:v>
      </x:c>
    </x:row>
    <x:row r="23">
      <x:c r="B23" s="31" t="str">
        <x:v>Dynamic F1-C1 national boundary</x:v>
      </x:c>
      <x:c r="C23" s="37" t="n">
        <x:f>C21+(C19-43)*C22</x:f>
        <x:v>7383.14155</x:v>
      </x:c>
      <x:c r="D23" s="31" t="str">
        <x:v>$B</x:v>
      </x:c>
      <x:c r="E23" s="31" t="str">
        <x:v>calculated</x:v>
      </x:c>
      <x:c r="F23" s="33" t="str">
        <x:v>changes with ready-group input</x:v>
      </x:c>
    </x:row>
    <x:row r="24">
      <x:c r="B24" s="31" t="str">
        <x:v>F3-C2 national boundary at 43 groups</x:v>
      </x:c>
      <x:c r="C24" s="36" t="n">
        <x:v>8346.63795</x:v>
      </x:c>
      <x:c r="D24" s="31" t="str">
        <x:v>$B</x:v>
      </x:c>
      <x:c r="E24" s="31" t="str">
        <x:v>Pass 80</x:v>
      </x:c>
      <x:c r="F24" s="33" t="str">
        <x:v>full-duplication control</x:v>
      </x:c>
    </x:row>
    <x:row r="25">
      <x:c r="B25" s="31" t="str">
        <x:v>Full-duplication increment at 43 groups</x:v>
      </x:c>
      <x:c r="C25" s="37" t="n">
        <x:f>C24-C21</x:f>
        <x:v>963.4964</x:v>
      </x:c>
      <x:c r="D25" s="31" t="str">
        <x:v>$B</x:v>
      </x:c>
      <x:c r="E25" s="31" t="str">
        <x:v>calculated</x:v>
      </x:c>
      <x:c r="F25" s="33" t="str">
        <x:v>upper-comparator addition</x:v>
      </x:c>
    </x:row>
    <x:row r="26">
      <x:c r="B26" s="31" t="str">
        <x:v>Second-receiver shared program</x:v>
      </x:c>
      <x:c r="C26" s="36" t="n">
        <x:v>25</x:v>
      </x:c>
      <x:c r="D26" s="31" t="str">
        <x:v>$B</x:v>
      </x:c>
      <x:c r="E26" s="31" t="str">
        <x:v>Pass 80 difference</x:v>
      </x:c>
      <x:c r="F26" s="33" t="str">
        <x:v>authority, acceptance and proving</x:v>
      </x:c>
    </x:row>
    <x:row r="27">
      <x:c r="B27" s="38" t="str">
        <x:v>Rendering authorization</x:v>
      </x:c>
      <x:c r="C27" s="39" t="n">
        <x:v>0</x:v>
      </x:c>
      <x:c r="D27" s="38" t="str">
        <x:v>binary</x:v>
      </x:c>
      <x:c r="E27" s="38" t="str">
        <x:v>governance</x:v>
      </x:c>
      <x:c r="F27" s="40" t="str">
        <x:v>blocked pending physical envelopes</x:v>
      </x:c>
    </x:row>
    <x:row r="28">
      <x:c r="B28" s="2"/>
      <x:c r="C28" s="2"/>
      <x:c r="D28" s="2"/>
      <x:c r="E28" s="2"/>
      <x:c r="F28" s="2"/>
    </x:row>
    <x:row r="29">
      <x:c r="B29" s="2"/>
      <x:c r="C29" s="2"/>
      <x:c r="D29" s="2"/>
      <x:c r="E29" s="2"/>
      <x:c r="F29" s="2"/>
    </x:row>
    <x:row r="30">
      <x:c r="B30" s="2"/>
      <x:c r="C30" s="2"/>
      <x:c r="D30" s="2"/>
      <x:c r="E30" s="2"/>
      <x:c r="F30" s="2"/>
    </x:row>
    <x:row r="31">
      <x:c r="B31" s="2"/>
      <x:c r="C31" s="2"/>
      <x:c r="D31" s="2"/>
      <x:c r="E31" s="2"/>
      <x:c r="F31" s="2"/>
    </x:row>
    <x:row r="32">
      <x:c r="B32" s="2"/>
      <x:c r="C32" s="2"/>
      <x:c r="D32" s="2"/>
      <x:c r="E32" s="2"/>
      <x:c r="F32" s="2"/>
    </x:row>
    <x:row r="33">
      <x:c r="B33" s="2"/>
      <x:c r="C33" s="2"/>
      <x:c r="D33" s="2"/>
      <x:c r="E33" s="2"/>
      <x:c r="F33" s="2"/>
    </x:row>
    <x:row r="34">
      <x:c r="B34" s="2"/>
      <x:c r="C34" s="2"/>
      <x:c r="D34" s="2"/>
      <x:c r="E34" s="2"/>
      <x:c r="F34" s="2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5" hidden="0" customWidth="1"/>
    <x:col min="4" max="4" width="17" hidden="0" customWidth="1"/>
    <x:col min="5" max="5" width="21" hidden="0" customWidth="1"/>
    <x:col min="6" max="6" width="12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21" hidden="0" customWidth="1"/>
    <x:col min="12" max="12" width="23" hidden="0" customWidth="1"/>
    <x:col min="13" max="13" width="20" hidden="0" customWidth="1"/>
    <x:col min="14" max="14" width="19" hidden="0" customWidth="1"/>
    <x:col min="15" max="15" width="16" hidden="0" customWidth="1"/>
    <x:col min="16" max="16" width="17" hidden="0" customWidth="1"/>
    <x:col min="17" max="17" width="19" hidden="0" customWidth="1"/>
    <x:col min="18" max="18" width="18" hidden="0" customWidth="1"/>
    <x:col min="19" max="19" width="22" hidden="0" customWidth="1"/>
    <x:col min="20" max="20" width="18" hidden="0" customWidth="1"/>
    <x:col min="21" max="21" width="13" hidden="0" customWidth="1"/>
  </x:cols>
  <x:sheetData>
    <x:row r="2">
      <x:c r="B2" s="3" t="str">
        <x:v>Independent second-region effect paths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B3" s="4" t="str">
        <x:v>A substitute path counts only when its required source or prepared capacity exists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B6" s="29" t="str">
        <x:v>Code</x:v>
      </x:c>
      <x:c r="C6" s="30" t="str">
        <x:v>Path</x:v>
      </x:c>
      <x:c r="D6" s="30" t="str">
        <x:v>Loss domain</x:v>
      </x:c>
      <x:c r="E6" s="30" t="str">
        <x:v>Method</x:v>
      </x:c>
      <x:c r="F6" s="30" t="str">
        <x:v>Units/set</x:v>
      </x:c>
      <x:c r="G6" s="30" t="str">
        <x:v>Payload/unit t</x:v>
      </x:c>
      <x:c r="H6" s="30" t="str">
        <x:v>Fielded payload t</x:v>
      </x:c>
      <x:c r="I6" s="30" t="str">
        <x:v>Entry relative h</x:v>
      </x:c>
      <x:c r="J6" s="30" t="str">
        <x:v>Entry absolute h</x:v>
      </x:c>
      <x:c r="K6" s="30" t="str">
        <x:v>Survives one vehicle</x:v>
      </x:c>
      <x:c r="L6" s="30" t="str">
        <x:v>Needs standoff source</x:v>
      </x:c>
      <x:c r="M6" s="30" t="str">
        <x:v>Needs local matter</x:v>
      </x:c>
      <x:c r="N6" s="30" t="str">
        <x:v>Atmosphere required</x:v>
      </x:c>
      <x:c r="O6" s="30" t="str">
        <x:v>Terrain required</x:v>
      </x:c>
      <x:c r="P6" s="30" t="str">
        <x:v>Offline control</x:v>
      </x:c>
      <x:c r="Q6" s="30" t="str">
        <x:v>Lifecycle/set $B</x:v>
      </x:c>
      <x:c r="R6" s="30" t="str">
        <x:v>Node capex $B</x:v>
      </x:c>
      <x:c r="S6" s="30" t="str">
        <x:v>Annual node O&amp;S $B</x:v>
      </x:c>
      <x:c r="T6" s="30" t="str">
        <x:v>Custody R&amp;D $B</x:v>
      </x:c>
      <x:c r="U6" s="30" t="str">
        <x:v>Evidence</x:v>
      </x:c>
    </x:row>
    <x:row r="7">
      <x:c r="B7" s="31" t="str">
        <x:v>M1</x:v>
      </x:c>
      <x:c r="C7" s="31" t="str">
        <x:v>HBL-320 buoyant-lift pair</x:v>
      </x:c>
      <x:c r="D7" s="31" t="str">
        <x:v>atmosphere</x:v>
      </x:c>
      <x:c r="E7" s="31" t="str">
        <x:v>physical carriage</x:v>
      </x:c>
      <x:c r="F7" s="31" t="n">
        <x:v>2</x:v>
      </x:c>
      <x:c r="G7" s="31" t="n">
        <x:v>320</x:v>
      </x:c>
      <x:c r="H7" s="31" t="n">
        <x:v>635</x:v>
      </x:c>
      <x:c r="I7" s="31" t="n">
        <x:v>42</x:v>
      </x:c>
      <x:c r="J7" s="31" t="n">
        <x:f>I7+Assumptions!C9</x:f>
        <x:v>48</x:v>
      </x:c>
      <x:c r="K7" s="31" t="n">
        <x:v>0</x:v>
      </x:c>
      <x:c r="L7" s="31" t="n">
        <x:v>0</x:v>
      </x:c>
      <x:c r="M7" s="31" t="n">
        <x:v>0</x:v>
      </x:c>
      <x:c r="N7" s="31" t="n">
        <x:v>1</x:v>
      </x:c>
      <x:c r="O7" s="31" t="n">
        <x:v>0</x:v>
      </x:c>
      <x:c r="P7" s="31" t="n">
        <x:v>1</x:v>
      </x:c>
      <x:c r="Q7" s="42" t="n">
        <x:v>7.5525</x:v>
      </x:c>
      <x:c r="R7" s="42" t="n">
        <x:v>0.32</x:v>
      </x:c>
      <x:c r="S7" s="42" t="n">
        <x:v>0.03</x:v>
      </x:c>
      <x:c r="T7" s="42" t="n">
        <x:v>12</x:v>
      </x:c>
      <x:c r="U7" s="33" t="str">
        <x:v>OPEN</x:v>
      </x:c>
    </x:row>
    <x:row r="8">
      <x:c r="B8" s="31" t="str">
        <x:v>M3</x:v>
      </x:c>
      <x:c r="C8" s="31" t="str">
        <x:v>ATUT-160 terrain train</x:v>
      </x:c>
      <x:c r="D8" s="31" t="str">
        <x:v>terrain</x:v>
      </x:c>
      <x:c r="E8" s="31" t="str">
        <x:v>physical carriage</x:v>
      </x:c>
      <x:c r="F8" s="31" t="n">
        <x:v>4</x:v>
      </x:c>
      <x:c r="G8" s="31" t="n">
        <x:v>160</x:v>
      </x:c>
      <x:c r="H8" s="31" t="n">
        <x:v>635</x:v>
      </x:c>
      <x:c r="I8" s="31" t="n">
        <x:v>45</x:v>
      </x:c>
      <x:c r="J8" s="31" t="n">
        <x:f>I8+Assumptions!C9</x:f>
        <x:v>51</x:v>
      </x:c>
      <x:c r="K8" s="31" t="n">
        <x:v>0</x:v>
      </x:c>
      <x:c r="L8" s="31" t="n">
        <x:v>0</x:v>
      </x:c>
      <x:c r="M8" s="31" t="n">
        <x:v>0</x:v>
      </x:c>
      <x:c r="N8" s="31" t="n">
        <x:v>0</x:v>
      </x:c>
      <x:c r="O8" s="31" t="n">
        <x:v>1</x:v>
      </x:c>
      <x:c r="P8" s="31" t="n">
        <x:v>1</x:v>
      </x:c>
      <x:c r="Q8" s="42" t="n">
        <x:v>6.362</x:v>
      </x:c>
      <x:c r="R8" s="42" t="n">
        <x:v>0.32</x:v>
      </x:c>
      <x:c r="S8" s="42" t="n">
        <x:v>0.03</x:v>
      </x:c>
      <x:c r="T8" s="42" t="n">
        <x:v>12</x:v>
      </x:c>
      <x:c r="U8" s="33" t="str">
        <x:v>OPEN</x:v>
      </x:c>
    </x:row>
    <x:row r="9">
      <x:c r="B9" s="31" t="str">
        <x:v>M4R</x:v>
      </x:c>
      <x:c r="C9" s="31" t="str">
        <x:v>Ten-aircraft VHL lattice</x:v>
      </x:c>
      <x:c r="D9" s="31" t="str">
        <x:v>atmosphere</x:v>
      </x:c>
      <x:c r="E9" s="31" t="str">
        <x:v>physical carriage</x:v>
      </x:c>
      <x:c r="F9" s="31" t="n">
        <x:v>10</x:v>
      </x:c>
      <x:c r="G9" s="31" t="n">
        <x:v>80</x:v>
      </x:c>
      <x:c r="H9" s="31" t="n">
        <x:v>720</x:v>
      </x:c>
      <x:c r="I9" s="31" t="n">
        <x:v>47</x:v>
      </x:c>
      <x:c r="J9" s="31" t="n">
        <x:f>I9+Assumptions!C9</x:f>
        <x:v>53</x:v>
      </x:c>
      <x:c r="K9" s="31" t="n">
        <x:v>1</x:v>
      </x:c>
      <x:c r="L9" s="31" t="n">
        <x:v>0</x:v>
      </x:c>
      <x:c r="M9" s="31" t="n">
        <x:v>0</x:v>
      </x:c>
      <x:c r="N9" s="31" t="n">
        <x:v>1</x:v>
      </x:c>
      <x:c r="O9" s="31" t="n">
        <x:v>0</x:v>
      </x:c>
      <x:c r="P9" s="31" t="n">
        <x:v>1</x:v>
      </x:c>
      <x:c r="Q9" s="42" t="n">
        <x:v>13.224</x:v>
      </x:c>
      <x:c r="R9" s="42" t="n">
        <x:v>0.45</x:v>
      </x:c>
      <x:c r="S9" s="42" t="n">
        <x:v>0.05</x:v>
      </x:c>
      <x:c r="T9" s="42" t="n">
        <x:v>18</x:v>
      </x:c>
      <x:c r="U9" s="33" t="str">
        <x:v>OPEN</x:v>
      </x:c>
    </x:row>
    <x:row r="10">
      <x:c r="B10" s="31" t="str">
        <x:v>M5</x:v>
      </x:c>
      <x:c r="C10" s="31" t="str">
        <x:v>RUC-100 utility-corridor set</x:v>
      </x:c>
      <x:c r="D10" s="31" t="str">
        <x:v>corridor</x:v>
      </x:c>
      <x:c r="E10" s="31" t="str">
        <x:v>service bridge</x:v>
      </x:c>
      <x:c r="F10" s="31" t="n">
        <x:v>4</x:v>
      </x:c>
      <x:c r="G10" s="31" t="n">
        <x:v>100</x:v>
      </x:c>
      <x:c r="H10" s="31" t="n">
        <x:v>400</x:v>
      </x:c>
      <x:c r="I10" s="31" t="n">
        <x:v>46</x:v>
      </x:c>
      <x:c r="J10" s="31" t="n">
        <x:f>I10+Assumptions!C9</x:f>
        <x:v>52</x:v>
      </x:c>
      <x:c r="K10" s="31" t="n">
        <x:v>0</x:v>
      </x:c>
      <x:c r="L10" s="31" t="n">
        <x:v>1</x:v>
      </x:c>
      <x:c r="M10" s="31" t="n">
        <x:v>0</x:v>
      </x:c>
      <x:c r="N10" s="31" t="n">
        <x:v>0</x:v>
      </x:c>
      <x:c r="O10" s="31" t="n">
        <x:v>0</x:v>
      </x:c>
      <x:c r="P10" s="31" t="n">
        <x:v>1</x:v>
      </x:c>
      <x:c r="Q10" s="42" t="n">
        <x:v>3.0972</x:v>
      </x:c>
      <x:c r="R10" s="42" t="n">
        <x:v>0.23</x:v>
      </x:c>
      <x:c r="S10" s="42" t="n">
        <x:v>0.02</x:v>
      </x:c>
      <x:c r="T10" s="42" t="n">
        <x:v>11</x:v>
      </x:c>
      <x:c r="U10" s="33" t="str">
        <x:v>OPEN</x:v>
      </x:c>
    </x:row>
    <x:row r="11">
      <x:c r="B11" s="31" t="str">
        <x:v>M6</x:v>
      </x:c>
      <x:c r="C11" s="31" t="str">
        <x:v>LCS-150 local-conversion seed</x:v>
      </x:c>
      <x:c r="D11" s="31" t="str">
        <x:v>conversion</x:v>
      </x:c>
      <x:c r="E11" s="31" t="str">
        <x:v>local production</x:v>
      </x:c>
      <x:c r="F11" s="31" t="n">
        <x:v>3</x:v>
      </x:c>
      <x:c r="G11" s="31" t="n">
        <x:v>50</x:v>
      </x:c>
      <x:c r="H11" s="31" t="n">
        <x:v>150</x:v>
      </x:c>
      <x:c r="I11" s="31" t="n">
        <x:v>48</x:v>
      </x:c>
      <x:c r="J11" s="31" t="n">
        <x:f>I11+Assumptions!C9</x:f>
        <x:v>54</x:v>
      </x:c>
      <x:c r="K11" s="31" t="n">
        <x:v>0</x:v>
      </x:c>
      <x:c r="L11" s="31" t="n">
        <x:v>0</x:v>
      </x:c>
      <x:c r="M11" s="31" t="n">
        <x:v>1</x:v>
      </x:c>
      <x:c r="N11" s="31" t="n">
        <x:v>0</x:v>
      </x:c>
      <x:c r="O11" s="31" t="n">
        <x:v>0</x:v>
      </x:c>
      <x:c r="P11" s="31" t="n">
        <x:v>1</x:v>
      </x:c>
      <x:c r="Q11" s="42" t="n">
        <x:v>2.481</x:v>
      </x:c>
      <x:c r="R11" s="42" t="n">
        <x:v>0.26</x:v>
      </x:c>
      <x:c r="S11" s="42" t="n">
        <x:v>0.03</x:v>
      </x:c>
      <x:c r="T11" s="42" t="n">
        <x:v>14</x:v>
      </x:c>
      <x:c r="U11" s="33" t="str">
        <x:v>OPEN</x:v>
      </x:c>
    </x:row>
    <x:row r="12">
      <x:c r="B12" s="38" t="str">
        <x:v>P0</x:v>
      </x:c>
      <x:c r="C12" s="38" t="str">
        <x:v>Prepared service-island cell</x:v>
      </x:c>
      <x:c r="D12" s="38" t="str">
        <x:v>prepared site</x:v>
      </x:c>
      <x:c r="E12" s="38" t="str">
        <x:v>prepositioned service</x:v>
      </x:c>
      <x:c r="F12" s="38" t="n">
        <x:v>1</x:v>
      </x:c>
      <x:c r="G12" s="38" t="n">
        <x:v>580</x:v>
      </x:c>
      <x:c r="H12" s="38" t="n">
        <x:v>580</x:v>
      </x:c>
      <x:c r="I12" s="38" t="n">
        <x:v>12</x:v>
      </x:c>
      <x:c r="J12" s="38" t="n">
        <x:f>I12+Assumptions!C9</x:f>
        <x:v>18</x:v>
      </x:c>
      <x:c r="K12" s="38" t="n">
        <x:v>1</x:v>
      </x:c>
      <x:c r="L12" s="38" t="n">
        <x:v>0</x:v>
      </x:c>
      <x:c r="M12" s="38" t="n">
        <x:v>0</x:v>
      </x:c>
      <x:c r="N12" s="38" t="n">
        <x:v>0</x:v>
      </x:c>
      <x:c r="O12" s="38" t="n">
        <x:v>0</x:v>
      </x:c>
      <x:c r="P12" s="38" t="n">
        <x:v>1</x:v>
      </x:c>
      <x:c r="Q12" s="43" t="n">
        <x:v>5.5</x:v>
      </x:c>
      <x:c r="R12" s="43" t="n">
        <x:v>0.5</x:v>
      </x:c>
      <x:c r="S12" s="43" t="n">
        <x:v>0.04</x:v>
      </x:c>
      <x:c r="T12" s="43" t="n">
        <x:v>16</x:v>
      </x:c>
      <x:c r="U12" s="40" t="str">
        <x:v>OPEN</x:v>
      </x:c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8" hidden="0" customWidth="1"/>
    <x:col min="4" max="4" width="11" hidden="0" customWidth="1"/>
    <x:col min="5" max="5" width="11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23" hidden="0" customWidth="1"/>
    <x:col min="11" max="11" width="19" hidden="0" customWidth="1"/>
    <x:col min="12" max="12" width="19" hidden="0" customWidth="1"/>
    <x:col min="13" max="13" width="21" hidden="0" customWidth="1"/>
    <x:col min="14" max="14" width="20" hidden="0" customWidth="1"/>
    <x:col min="15" max="15" width="21" hidden="0" customWidth="1"/>
    <x:col min="16" max="16" width="25" hidden="0" customWidth="1"/>
    <x:col min="17" max="17" width="18" hidden="0" customWidth="1"/>
    <x:col min="18" max="18" width="25" hidden="0" customWidth="1"/>
  </x:cols>
  <x:sheetData>
    <x:row r="2">
      <x:c r="B2" s="3" t="str">
        <x:v>Second-region package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Every rival owns separate payload, receiver, release and reset capacity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29" t="str">
        <x:v>Code</x:v>
      </x:c>
      <x:c r="C6" s="30" t="str">
        <x:v>Package</x:v>
      </x:c>
      <x:c r="D6" s="30" t="str">
        <x:v>M1 sets</x:v>
      </x:c>
      <x:c r="E6" s="30" t="str">
        <x:v>M3 sets</x:v>
      </x:c>
      <x:c r="F6" s="30" t="str">
        <x:v>M4R sets</x:v>
      </x:c>
      <x:c r="G6" s="30" t="str">
        <x:v>M5 sets</x:v>
      </x:c>
      <x:c r="H6" s="30" t="str">
        <x:v>M6 sets</x:v>
      </x:c>
      <x:c r="I6" s="30" t="str">
        <x:v>P0 cells</x:v>
      </x:c>
      <x:c r="J6" s="30" t="str">
        <x:v>Vehicles or fixed cells</x:v>
      </x:c>
      <x:c r="K6" s="30" t="str">
        <x:v>Fielded payload t</x:v>
      </x:c>
      <x:c r="L6" s="30" t="str">
        <x:v>Lifecycle/set $B</x:v>
      </x:c>
      <x:c r="M6" s="30" t="str">
        <x:v>Integration R&amp;D $B</x:v>
      </x:c>
      <x:c r="N6" s="30" t="str">
        <x:v>Incremental deployed</x:v>
      </x:c>
      <x:c r="O6" s="30" t="str">
        <x:v>Incremental affiliated</x:v>
      </x:c>
      <x:c r="P6" s="30" t="str">
        <x:v>Interface implementations</x:v>
      </x:c>
      <x:c r="Q6" s="30" t="str">
        <x:v>Conditional basis</x:v>
      </x:c>
      <x:c r="R6" s="30" t="str">
        <x:v>Decision role</x:v>
      </x:c>
    </x:row>
    <x:row r="7">
      <x:c r="B7" s="31" t="str">
        <x:v>S0</x:v>
      </x:c>
      <x:c r="C7" s="31" t="str">
        <x:v>Full TAFG duplicate</x:v>
      </x:c>
      <x:c r="D7" s="31" t="n">
        <x:v>1</x:v>
      </x:c>
      <x:c r="E7" s="31" t="n">
        <x:v>1</x:v>
      </x:c>
      <x:c r="F7" s="31" t="n">
        <x:v>0</x:v>
      </x:c>
      <x:c r="G7" s="31" t="n">
        <x:v>1</x:v>
      </x:c>
      <x:c r="H7" s="31" t="n">
        <x:v>0</x:v>
      </x:c>
      <x:c r="I7" s="31" t="n">
        <x:v>0</x:v>
      </x:c>
      <x:c r="J7" s="31" t="n">
        <x:v>10</x:v>
      </x:c>
      <x:c r="K7" s="31" t="n">
        <x:v>1670</x:v>
      </x:c>
      <x:c r="L7" s="42" t="n">
        <x:v>16.9</x:v>
      </x:c>
      <x:c r="M7" s="42" t="n">
        <x:v>85</x:v>
      </x:c>
      <x:c r="N7" s="31" t="n">
        <x:v>546</x:v>
      </x:c>
      <x:c r="O7" s="31" t="n">
        <x:v>1217</x:v>
      </x:c>
      <x:c r="P7" s="31" t="n">
        <x:v>2</x:v>
      </x:c>
      <x:c r="Q7" s="31" t="str">
        <x:v>NONE</x:v>
      </x:c>
      <x:c r="R7" s="33" t="str">
        <x:v>upper comparator</x:v>
      </x:c>
    </x:row>
    <x:row r="8">
      <x:c r="B8" s="31" t="str">
        <x:v>S1</x:v>
      </x:c>
      <x:c r="C8" s="31" t="str">
        <x:v>DCP-2 dual-carriage detachment</x:v>
      </x:c>
      <x:c r="D8" s="31" t="n">
        <x:v>1</x:v>
      </x:c>
      <x:c r="E8" s="31" t="n">
        <x:v>1</x:v>
      </x:c>
      <x:c r="F8" s="31" t="n">
        <x:v>0</x:v>
      </x:c>
      <x:c r="G8" s="31" t="n">
        <x:v>0</x:v>
      </x:c>
      <x:c r="H8" s="31" t="n">
        <x:v>0</x:v>
      </x:c>
      <x:c r="I8" s="31" t="n">
        <x:v>0</x:v>
      </x:c>
      <x:c r="J8" s="31" t="n">
        <x:v>6</x:v>
      </x:c>
      <x:c r="K8" s="31" t="n">
        <x:v>1270</x:v>
      </x:c>
      <x:c r="L8" s="42" t="n">
        <x:v>13.9145</x:v>
      </x:c>
      <x:c r="M8" s="42" t="n">
        <x:v>55</x:v>
      </x:c>
      <x:c r="N8" s="31" t="n">
        <x:v>486</x:v>
      </x:c>
      <x:c r="O8" s="31" t="n">
        <x:v>1065</x:v>
      </x:c>
      <x:c r="P8" s="31" t="n">
        <x:v>2</x:v>
      </x:c>
      <x:c r="Q8" s="31" t="str">
        <x:v>NONE</x:v>
      </x:c>
      <x:c r="R8" s="33" t="str">
        <x:v>universal reference</x:v>
      </x:c>
    </x:row>
    <x:row r="9">
      <x:c r="B9" s="31" t="str">
        <x:v>S2</x:v>
      </x:c>
      <x:c r="C9" s="31" t="str">
        <x:v>VHL plus utility bridge</x:v>
      </x:c>
      <x:c r="D9" s="31" t="n">
        <x:v>0</x:v>
      </x:c>
      <x:c r="E9" s="31" t="n">
        <x:v>0</x:v>
      </x:c>
      <x:c r="F9" s="31" t="n">
        <x:v>1</x:v>
      </x:c>
      <x:c r="G9" s="31" t="n">
        <x:v>1</x:v>
      </x:c>
      <x:c r="H9" s="31" t="n">
        <x:v>0</x:v>
      </x:c>
      <x:c r="I9" s="31" t="n">
        <x:v>0</x:v>
      </x:c>
      <x:c r="J9" s="31" t="n">
        <x:v>14</x:v>
      </x:c>
      <x:c r="K9" s="31" t="n">
        <x:v>1120</x:v>
      </x:c>
      <x:c r="L9" s="42" t="n">
        <x:v>16.3212</x:v>
      </x:c>
      <x:c r="M9" s="42" t="n">
        <x:v>90</x:v>
      </x:c>
      <x:c r="N9" s="31" t="n">
        <x:v>408</x:v>
      </x:c>
      <x:c r="O9" s="31" t="n">
        <x:v>895</x:v>
      </x:c>
      <x:c r="P9" s="31" t="n">
        <x:v>2</x:v>
      </x:c>
      <x:c r="Q9" s="31" t="str">
        <x:v>STANDOFF</x:v>
      </x:c>
      <x:c r="R9" s="33" t="str">
        <x:v>conditional rival</x:v>
      </x:c>
    </x:row>
    <x:row r="10">
      <x:c r="B10" s="31" t="str">
        <x:v>S3</x:v>
      </x:c>
      <x:c r="C10" s="31" t="str">
        <x:v>VHL plus local conversion</x:v>
      </x:c>
      <x:c r="D10" s="31" t="n">
        <x:v>0</x:v>
      </x:c>
      <x:c r="E10" s="31" t="n">
        <x:v>0</x:v>
      </x:c>
      <x:c r="F10" s="31" t="n">
        <x:v>1</x:v>
      </x:c>
      <x:c r="G10" s="31" t="n">
        <x:v>0</x:v>
      </x:c>
      <x:c r="H10" s="31" t="n">
        <x:v>1</x:v>
      </x:c>
      <x:c r="I10" s="31" t="n">
        <x:v>0</x:v>
      </x:c>
      <x:c r="J10" s="31" t="n">
        <x:v>13</x:v>
      </x:c>
      <x:c r="K10" s="31" t="n">
        <x:v>870</x:v>
      </x:c>
      <x:c r="L10" s="42" t="n">
        <x:v>15.705</x:v>
      </x:c>
      <x:c r="M10" s="42" t="n">
        <x:v>105</x:v>
      </x:c>
      <x:c r="N10" s="31" t="n">
        <x:v>430</x:v>
      </x:c>
      <x:c r="O10" s="31" t="n">
        <x:v>960</x:v>
      </x:c>
      <x:c r="P10" s="31" t="n">
        <x:v>2</x:v>
      </x:c>
      <x:c r="Q10" s="31" t="str">
        <x:v>LOCAL</x:v>
      </x:c>
      <x:c r="R10" s="33" t="str">
        <x:v>conditional rival</x:v>
      </x:c>
    </x:row>
    <x:row r="11">
      <x:c r="B11" s="31" t="str">
        <x:v>S4</x:v>
      </x:c>
      <x:c r="C11" s="31" t="str">
        <x:v>Terrain plus utility bridge</x:v>
      </x:c>
      <x:c r="D11" s="31" t="n">
        <x:v>0</x:v>
      </x:c>
      <x:c r="E11" s="31" t="n">
        <x:v>1</x:v>
      </x:c>
      <x:c r="F11" s="31" t="n">
        <x:v>0</x:v>
      </x:c>
      <x:c r="G11" s="31" t="n">
        <x:v>1</x:v>
      </x:c>
      <x:c r="H11" s="31" t="n">
        <x:v>0</x:v>
      </x:c>
      <x:c r="I11" s="31" t="n">
        <x:v>0</x:v>
      </x:c>
      <x:c r="J11" s="31" t="n">
        <x:v>8</x:v>
      </x:c>
      <x:c r="K11" s="31" t="n">
        <x:v>1035</x:v>
      </x:c>
      <x:c r="L11" s="42" t="n">
        <x:v>9.4592</x:v>
      </x:c>
      <x:c r="M11" s="42" t="n">
        <x:v>60</x:v>
      </x:c>
      <x:c r="N11" s="31" t="n">
        <x:v>370</x:v>
      </x:c>
      <x:c r="O11" s="31" t="n">
        <x:v>820</x:v>
      </x:c>
      <x:c r="P11" s="31" t="n">
        <x:v>2</x:v>
      </x:c>
      <x:c r="Q11" s="31" t="str">
        <x:v>STANDOFF</x:v>
      </x:c>
      <x:c r="R11" s="33" t="str">
        <x:v>conditional cost floor</x:v>
      </x:c>
    </x:row>
    <x:row r="12">
      <x:c r="B12" s="31" t="str">
        <x:v>S5</x:v>
      </x:c>
      <x:c r="C12" s="31" t="str">
        <x:v>Atmospheric plus prepared cell</x:v>
      </x:c>
      <x:c r="D12" s="31" t="n">
        <x:v>1</x:v>
      </x:c>
      <x:c r="E12" s="31" t="n">
        <x:v>0</x:v>
      </x:c>
      <x:c r="F12" s="31" t="n">
        <x:v>0</x:v>
      </x:c>
      <x:c r="G12" s="31" t="n">
        <x:v>0</x:v>
      </x:c>
      <x:c r="H12" s="31" t="n">
        <x:v>0</x:v>
      </x:c>
      <x:c r="I12" s="31" t="n">
        <x:v>1</x:v>
      </x:c>
      <x:c r="J12" s="31" t="n">
        <x:v>3</x:v>
      </x:c>
      <x:c r="K12" s="31" t="n">
        <x:v>1215</x:v>
      </x:c>
      <x:c r="L12" s="42" t="n">
        <x:v>13.0525</x:v>
      </x:c>
      <x:c r="M12" s="42" t="n">
        <x:v>70</x:v>
      </x:c>
      <x:c r="N12" s="31" t="n">
        <x:v>380</x:v>
      </x:c>
      <x:c r="O12" s="31" t="n">
        <x:v>840</x:v>
      </x:c>
      <x:c r="P12" s="31" t="n">
        <x:v>2</x:v>
      </x:c>
      <x:c r="Q12" s="31" t="str">
        <x:v>PREPARED</x:v>
      </x:c>
      <x:c r="R12" s="33" t="str">
        <x:v>prepared-receiver rival</x:v>
      </x:c>
    </x:row>
    <x:row r="13">
      <x:c r="B13" s="38" t="str">
        <x:v>S6</x:v>
      </x:c>
      <x:c r="C13" s="38" t="str">
        <x:v>Two VHL lattices</x:v>
      </x:c>
      <x:c r="D13" s="38" t="n">
        <x:v>0</x:v>
      </x:c>
      <x:c r="E13" s="38" t="n">
        <x:v>0</x:v>
      </x:c>
      <x:c r="F13" s="38" t="n">
        <x:v>2</x:v>
      </x:c>
      <x:c r="G13" s="38" t="n">
        <x:v>0</x:v>
      </x:c>
      <x:c r="H13" s="38" t="n">
        <x:v>0</x:v>
      </x:c>
      <x:c r="I13" s="38" t="n">
        <x:v>0</x:v>
      </x:c>
      <x:c r="J13" s="38" t="n">
        <x:v>20</x:v>
      </x:c>
      <x:c r="K13" s="38" t="n">
        <x:v>1440</x:v>
      </x:c>
      <x:c r="L13" s="43" t="n">
        <x:v>26.448</x:v>
      </x:c>
      <x:c r="M13" s="43" t="n">
        <x:v>95</x:v>
      </x:c>
      <x:c r="N13" s="38" t="n">
        <x:v>520</x:v>
      </x:c>
      <x:c r="O13" s="38" t="n">
        <x:v>1140</x:v>
      </x:c>
      <x:c r="P13" s="38" t="n">
        <x:v>1</x:v>
      </x:c>
      <x:c r="Q13" s="38" t="str">
        <x:v>NONE</x:v>
      </x:c>
      <x:c r="R13" s="40" t="str">
        <x:v>same-mode failure comparator</x:v>
      </x:c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42" hidden="0" customWidth="1"/>
    <x:col min="4" max="4" width="14" hidden="0" customWidth="1"/>
    <x:col min="5" max="5" width="12" hidden="0" customWidth="1"/>
    <x:col min="6" max="6" width="20" hidden="0" customWidth="1"/>
    <x:col min="7" max="7" width="16" hidden="0" customWidth="1"/>
    <x:col min="8" max="8" width="20" hidden="0" customWidth="1"/>
    <x:col min="9" max="9" width="19" hidden="0" customWidth="1"/>
    <x:col min="10" max="10" width="25" hidden="0" customWidth="1"/>
    <x:col min="11" max="11" width="14" hidden="0" customWidth="1"/>
    <x:col min="12" max="12" width="21" hidden="0" customWidth="1"/>
    <x:col min="13" max="13" width="15" hidden="0" customWidth="1"/>
  </x:cols>
  <x:sheetData>
    <x:row r="2">
      <x:c r="B2" s="3" t="str">
        <x:v>Second-region receiver cases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Conditions state when bridge, conversion and prepared-capacity claims are valid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29" t="str">
        <x:v>Case</x:v>
      </x:c>
      <x:c r="C6" s="30" t="str">
        <x:v>Condition</x:v>
      </x:c>
      <x:c r="D6" s="30" t="str">
        <x:v>Atmosphere</x:v>
      </x:c>
      <x:c r="E6" s="30" t="str">
        <x:v>Terrain</x:v>
      </x:c>
      <x:c r="F6" s="30" t="str">
        <x:v>Standoff source</x:v>
      </x:c>
      <x:c r="G6" s="30" t="str">
        <x:v>Local matter</x:v>
      </x:c>
      <x:c r="H6" s="30" t="str">
        <x:v>Prepared capacity</x:v>
      </x:c>
      <x:c r="I6" s="30" t="str">
        <x:v>National network</x:v>
      </x:c>
      <x:c r="J6" s="30" t="str">
        <x:v>Interface implementations</x:v>
      </x:c>
      <x:c r="K6" s="30" t="str">
        <x:v>Activation h</x:v>
      </x:c>
      <x:c r="L6" s="30" t="str">
        <x:v>Absolute deadline h</x:v>
      </x:c>
      <x:c r="M6" s="30" t="str">
        <x:v>Test</x:v>
      </x:c>
    </x:row>
    <x:row r="7">
      <x:c r="B7" s="31" t="str">
        <x:v>C01</x:v>
      </x:c>
      <x:c r="C7" s="31" t="str">
        <x:v>Unprepared receiver</x:v>
      </x:c>
      <x:c r="D7" s="31" t="n">
        <x:v>1</x:v>
      </x:c>
      <x:c r="E7" s="31" t="n">
        <x:v>1</x:v>
      </x:c>
      <x:c r="F7" s="31" t="n">
        <x:v>0</x:v>
      </x:c>
      <x:c r="G7" s="31" t="n">
        <x:v>0</x:v>
      </x:c>
      <x:c r="H7" s="31" t="n">
        <x:v>0</x:v>
      </x:c>
      <x:c r="I7" s="31" t="n">
        <x:v>1</x:v>
      </x:c>
      <x:c r="J7" s="31" t="n">
        <x:v>2</x:v>
      </x:c>
      <x:c r="K7" s="31" t="n">
        <x:v>6</x:v>
      </x:c>
      <x:c r="L7" s="31" t="n">
        <x:v>54</x:v>
      </x:c>
      <x:c r="M7" s="33" t="str">
        <x:v>NOMINAL</x:v>
      </x:c>
    </x:row>
    <x:row r="8">
      <x:c r="B8" s="31" t="str">
        <x:v>C02</x:v>
      </x:c>
      <x:c r="C8" s="31" t="str">
        <x:v>Atmospheric mode unavailable</x:v>
      </x:c>
      <x:c r="D8" s="31" t="n">
        <x:v>0</x:v>
      </x:c>
      <x:c r="E8" s="31" t="n">
        <x:v>1</x:v>
      </x:c>
      <x:c r="F8" s="31" t="n">
        <x:v>0</x:v>
      </x:c>
      <x:c r="G8" s="31" t="n">
        <x:v>0</x:v>
      </x:c>
      <x:c r="H8" s="31" t="n">
        <x:v>0</x:v>
      </x:c>
      <x:c r="I8" s="31" t="n">
        <x:v>1</x:v>
      </x:c>
      <x:c r="J8" s="31" t="n">
        <x:v>2</x:v>
      </x:c>
      <x:c r="K8" s="31" t="n">
        <x:v>6</x:v>
      </x:c>
      <x:c r="L8" s="31" t="n">
        <x:v>54</x:v>
      </x:c>
      <x:c r="M8" s="33" t="str">
        <x:v>SURVIVOR</x:v>
      </x:c>
    </x:row>
    <x:row r="9">
      <x:c r="B9" s="31" t="str">
        <x:v>C03</x:v>
      </x:c>
      <x:c r="C9" s="31" t="str">
        <x:v>Terrain mode unavailable</x:v>
      </x:c>
      <x:c r="D9" s="31" t="n">
        <x:v>1</x:v>
      </x:c>
      <x:c r="E9" s="31" t="n">
        <x:v>0</x:v>
      </x:c>
      <x:c r="F9" s="31" t="n">
        <x:v>0</x:v>
      </x:c>
      <x:c r="G9" s="31" t="n">
        <x:v>0</x:v>
      </x:c>
      <x:c r="H9" s="31" t="n">
        <x:v>0</x:v>
      </x:c>
      <x:c r="I9" s="31" t="n">
        <x:v>1</x:v>
      </x:c>
      <x:c r="J9" s="31" t="n">
        <x:v>2</x:v>
      </x:c>
      <x:c r="K9" s="31" t="n">
        <x:v>6</x:v>
      </x:c>
      <x:c r="L9" s="31" t="n">
        <x:v>54</x:v>
      </x:c>
      <x:c r="M9" s="33" t="str">
        <x:v>SURVIVOR</x:v>
      </x:c>
    </x:row>
    <x:row r="10">
      <x:c r="B10" s="31" t="str">
        <x:v>C04</x:v>
      </x:c>
      <x:c r="C10" s="31" t="str">
        <x:v>Qualified standoff source and route</x:v>
      </x:c>
      <x:c r="D10" s="31" t="n">
        <x:v>1</x:v>
      </x:c>
      <x:c r="E10" s="31" t="n">
        <x:v>1</x:v>
      </x:c>
      <x:c r="F10" s="31" t="n">
        <x:v>1</x:v>
      </x:c>
      <x:c r="G10" s="31" t="n">
        <x:v>0</x:v>
      </x:c>
      <x:c r="H10" s="31" t="n">
        <x:v>0</x:v>
      </x:c>
      <x:c r="I10" s="31" t="n">
        <x:v>1</x:v>
      </x:c>
      <x:c r="J10" s="31" t="n">
        <x:v>2</x:v>
      </x:c>
      <x:c r="K10" s="31" t="n">
        <x:v>6</x:v>
      </x:c>
      <x:c r="L10" s="31" t="n">
        <x:v>54</x:v>
      </x:c>
      <x:c r="M10" s="33" t="str">
        <x:v>MODE</x:v>
      </x:c>
    </x:row>
    <x:row r="11">
      <x:c r="B11" s="31" t="str">
        <x:v>C05</x:v>
      </x:c>
      <x:c r="C11" s="31" t="str">
        <x:v>Qualified local matter and energy</x:v>
      </x:c>
      <x:c r="D11" s="31" t="n">
        <x:v>1</x:v>
      </x:c>
      <x:c r="E11" s="31" t="n">
        <x:v>1</x:v>
      </x:c>
      <x:c r="F11" s="31" t="n">
        <x:v>0</x:v>
      </x:c>
      <x:c r="G11" s="31" t="n">
        <x:v>1</x:v>
      </x:c>
      <x:c r="H11" s="31" t="n">
        <x:v>0</x:v>
      </x:c>
      <x:c r="I11" s="31" t="n">
        <x:v>1</x:v>
      </x:c>
      <x:c r="J11" s="31" t="n">
        <x:v>2</x:v>
      </x:c>
      <x:c r="K11" s="31" t="n">
        <x:v>6</x:v>
      </x:c>
      <x:c r="L11" s="31" t="n">
        <x:v>54</x:v>
      </x:c>
      <x:c r="M11" s="33" t="str">
        <x:v>MODE</x:v>
      </x:c>
    </x:row>
    <x:row r="12">
      <x:c r="B12" s="31" t="str">
        <x:v>C06</x:v>
      </x:c>
      <x:c r="C12" s="31" t="str">
        <x:v>Prepared receiver capacity available</x:v>
      </x:c>
      <x:c r="D12" s="31" t="n">
        <x:v>1</x:v>
      </x:c>
      <x:c r="E12" s="31" t="n">
        <x:v>1</x:v>
      </x:c>
      <x:c r="F12" s="31" t="n">
        <x:v>0</x:v>
      </x:c>
      <x:c r="G12" s="31" t="n">
        <x:v>0</x:v>
      </x:c>
      <x:c r="H12" s="31" t="n">
        <x:v>1</x:v>
      </x:c>
      <x:c r="I12" s="31" t="n">
        <x:v>1</x:v>
      </x:c>
      <x:c r="J12" s="31" t="n">
        <x:v>2</x:v>
      </x:c>
      <x:c r="K12" s="31" t="n">
        <x:v>6</x:v>
      </x:c>
      <x:c r="L12" s="31" t="n">
        <x:v>54</x:v>
      </x:c>
      <x:c r="M12" s="33" t="str">
        <x:v>MODE</x:v>
      </x:c>
    </x:row>
    <x:row r="13">
      <x:c r="B13" s="31" t="str">
        <x:v>C07</x:v>
      </x:c>
      <x:c r="C13" s="31" t="str">
        <x:v>National network denied</x:v>
      </x:c>
      <x:c r="D13" s="31" t="n">
        <x:v>1</x:v>
      </x:c>
      <x:c r="E13" s="31" t="n">
        <x:v>1</x:v>
      </x:c>
      <x:c r="F13" s="31" t="n">
        <x:v>0</x:v>
      </x:c>
      <x:c r="G13" s="31" t="n">
        <x:v>0</x:v>
      </x:c>
      <x:c r="H13" s="31" t="n">
        <x:v>0</x:v>
      </x:c>
      <x:c r="I13" s="31" t="n">
        <x:v>0</x:v>
      </x:c>
      <x:c r="J13" s="31" t="n">
        <x:v>2</x:v>
      </x:c>
      <x:c r="K13" s="31" t="n">
        <x:v>6</x:v>
      </x:c>
      <x:c r="L13" s="31" t="n">
        <x:v>54</x:v>
      </x:c>
      <x:c r="M13" s="33" t="str">
        <x:v>NETWORK</x:v>
      </x:c>
    </x:row>
    <x:row r="14">
      <x:c r="B14" s="31" t="str">
        <x:v>C08</x:v>
      </x:c>
      <x:c r="C14" s="31" t="str">
        <x:v>Interface implementation A defective</x:v>
      </x:c>
      <x:c r="D14" s="31" t="n">
        <x:v>1</x:v>
      </x:c>
      <x:c r="E14" s="31" t="n">
        <x:v>1</x:v>
      </x:c>
      <x:c r="F14" s="31" t="n">
        <x:v>0</x:v>
      </x:c>
      <x:c r="G14" s="31" t="n">
        <x:v>0</x:v>
      </x:c>
      <x:c r="H14" s="31" t="n">
        <x:v>0</x:v>
      </x:c>
      <x:c r="I14" s="31" t="n">
        <x:v>1</x:v>
      </x:c>
      <x:c r="J14" s="31" t="n">
        <x:v>1</x:v>
      </x:c>
      <x:c r="K14" s="31" t="n">
        <x:v>6</x:v>
      </x:c>
      <x:c r="L14" s="31" t="n">
        <x:v>54</x:v>
      </x:c>
      <x:c r="M14" s="33" t="str">
        <x:v>INTERFACE</x:v>
      </x:c>
    </x:row>
    <x:row r="15">
      <x:c r="B15" s="31" t="str">
        <x:v>C09</x:v>
      </x:c>
      <x:c r="C15" s="31" t="str">
        <x:v>Second region activates at hour 6</x:v>
      </x:c>
      <x:c r="D15" s="31" t="n">
        <x:v>1</x:v>
      </x:c>
      <x:c r="E15" s="31" t="n">
        <x:v>1</x:v>
      </x:c>
      <x:c r="F15" s="31" t="n">
        <x:v>0</x:v>
      </x:c>
      <x:c r="G15" s="31" t="n">
        <x:v>0</x:v>
      </x:c>
      <x:c r="H15" s="31" t="n">
        <x:v>0</x:v>
      </x:c>
      <x:c r="I15" s="31" t="n">
        <x:v>1</x:v>
      </x:c>
      <x:c r="J15" s="31" t="n">
        <x:v>2</x:v>
      </x:c>
      <x:c r="K15" s="31" t="n">
        <x:v>6</x:v>
      </x:c>
      <x:c r="L15" s="31" t="n">
        <x:v>54</x:v>
      </x:c>
      <x:c r="M15" s="33" t="str">
        <x:v>TIMING</x:v>
      </x:c>
    </x:row>
    <x:row r="16">
      <x:c r="B16" s="38" t="str">
        <x:v>C10</x:v>
      </x:c>
      <x:c r="C16" s="38" t="str">
        <x:v>Representative evidence withheld</x:v>
      </x:c>
      <x:c r="D16" s="38" t="n">
        <x:v>1</x:v>
      </x:c>
      <x:c r="E16" s="38" t="n">
        <x:v>1</x:v>
      </x:c>
      <x:c r="F16" s="38" t="n">
        <x:v>1</x:v>
      </x:c>
      <x:c r="G16" s="38" t="n">
        <x:v>1</x:v>
      </x:c>
      <x:c r="H16" s="38" t="n">
        <x:v>1</x:v>
      </x:c>
      <x:c r="I16" s="38" t="n">
        <x:v>1</x:v>
      </x:c>
      <x:c r="J16" s="38" t="n">
        <x:v>2</x:v>
      </x:c>
      <x:c r="K16" s="38" t="n">
        <x:v>6</x:v>
      </x:c>
      <x:c r="L16" s="38" t="n">
        <x:v>54</x:v>
      </x:c>
      <x:c r="M16" s="40" t="str">
        <x:v>EVIDENCE</x:v>
      </x:c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25" hidden="0" customWidth="1"/>
    <x:col min="7" max="7" width="20" hidden="0" customWidth="1"/>
    <x:col min="8" max="8" width="16" hidden="0" customWidth="1"/>
    <x:col min="9" max="9" width="17" hidden="0" customWidth="1"/>
    <x:col min="10" max="10" width="18" hidden="0" customWidth="1"/>
    <x:col min="11" max="11" width="16" hidden="0" customWidth="1"/>
    <x:col min="12" max="12" width="27" hidden="0" customWidth="1"/>
  </x:cols>
  <x:sheetData>
    <x:row r="2">
      <x:c r="B2" s="3" t="str">
        <x:v>Second-region loss results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Path counts retain failure identity; they are not weighted scores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29" t="str">
        <x:v>Package</x:v>
      </x:c>
      <x:c r="C6" s="30" t="str">
        <x:v>Case</x:v>
      </x:c>
      <x:c r="D6" s="30" t="str">
        <x:v>Available paths</x:v>
      </x:c>
      <x:c r="E6" s="30" t="str">
        <x:v>Vulnerable paths</x:v>
      </x:c>
      <x:c r="F6" s="30" t="str">
        <x:v>After worst vehicle loss</x:v>
      </x:c>
      <x:c r="G6" s="30" t="str">
        <x:v>Atmospheric paths</x:v>
      </x:c>
      <x:c r="H6" s="30" t="str">
        <x:v>Terrain paths</x:v>
      </x:c>
      <x:c r="I6" s="30" t="str">
        <x:v>Corridor paths</x:v>
      </x:c>
      <x:c r="J6" s="30" t="str">
        <x:v>Conversion paths</x:v>
      </x:c>
      <x:c r="K6" s="30" t="str">
        <x:v>Prepared paths</x:v>
      </x:c>
      <x:c r="L6" s="30" t="str">
        <x:v>After worst mode/site loss</x:v>
      </x:c>
    </x:row>
    <x:row r="7">
      <x:c r="B7" s="31" t="str">
        <x:v>S0</x:v>
      </x:c>
      <x:c r="C7" s="31" t="str">
        <x:v>C01</x:v>
      </x:c>
      <x:c r="D7" s="31" t="n">
        <x:f>'Rival Packages'!D7*'Receiver Cases'!D7+'Rival Packages'!E7*'Receiver Cases'!E7+'Rival Packages'!F7*'Receiver Cases'!D7+'Rival Packages'!G7*'Receiver Cases'!F7+'Rival Packages'!H7*'Receiver Cases'!G7+'Rival Packages'!I7*'Receiver Cases'!H7</x:f>
        <x:v>2</x:v>
      </x:c>
      <x:c r="E7" s="31" t="n">
        <x:f>'Rival Packages'!D7*'Receiver Cases'!D7+'Rival Packages'!E7*'Receiver Cases'!E7+'Rival Packages'!G7*'Receiver Cases'!F7+'Rival Packages'!H7*'Receiver Cases'!G7</x:f>
        <x:v>2</x:v>
      </x:c>
      <x:c r="F7" s="31" t="n">
        <x:f>D7-IF(E7&gt;0,1,0)</x:f>
        <x:v>1</x:v>
      </x:c>
      <x:c r="G7" s="31" t="n">
        <x:f>('Rival Packages'!D7+'Rival Packages'!F7)*'Receiver Cases'!D7</x:f>
        <x:v>1</x:v>
      </x:c>
      <x:c r="H7" s="31" t="n">
        <x:f>'Rival Packages'!E7*'Receiver Cases'!E7</x:f>
        <x:v>1</x:v>
      </x:c>
      <x:c r="I7" s="31" t="n">
        <x:f>'Rival Packages'!G7*'Receiver Cases'!F7</x:f>
        <x:v>0</x:v>
      </x:c>
      <x:c r="J7" s="31" t="n">
        <x:f>'Rival Packages'!H7*'Receiver Cases'!G7</x:f>
        <x:v>0</x:v>
      </x:c>
      <x:c r="K7" s="31" t="n">
        <x:f>'Rival Packages'!I7*'Receiver Cases'!H7</x:f>
        <x:v>0</x:v>
      </x:c>
      <x:c r="L7" s="33" t="n">
        <x:f>D7-MAX(G7:K7)</x:f>
        <x:v>1</x:v>
      </x:c>
    </x:row>
    <x:row r="8">
      <x:c r="B8" s="31" t="str">
        <x:v>S0</x:v>
      </x:c>
      <x:c r="C8" s="31" t="str">
        <x:v>C02</x:v>
      </x:c>
      <x:c r="D8" s="31" t="n">
        <x:f>'Rival Packages'!D7*'Receiver Cases'!D8+'Rival Packages'!E7*'Receiver Cases'!E8+'Rival Packages'!F7*'Receiver Cases'!D8+'Rival Packages'!G7*'Receiver Cases'!F8+'Rival Packages'!H7*'Receiver Cases'!G8+'Rival Packages'!I7*'Receiver Cases'!H8</x:f>
        <x:v>1</x:v>
      </x:c>
      <x:c r="E8" s="31" t="n">
        <x:f>'Rival Packages'!D7*'Receiver Cases'!D8+'Rival Packages'!E7*'Receiver Cases'!E8+'Rival Packages'!G7*'Receiver Cases'!F8+'Rival Packages'!H7*'Receiver Cases'!G8</x:f>
        <x:v>1</x:v>
      </x:c>
      <x:c r="F8" s="31" t="n">
        <x:f>D8-IF(E8&gt;0,1,0)</x:f>
        <x:v>0</x:v>
      </x:c>
      <x:c r="G8" s="31" t="n">
        <x:f>('Rival Packages'!D7+'Rival Packages'!F7)*'Receiver Cases'!D8</x:f>
        <x:v>0</x:v>
      </x:c>
      <x:c r="H8" s="31" t="n">
        <x:f>'Rival Packages'!E7*'Receiver Cases'!E8</x:f>
        <x:v>1</x:v>
      </x:c>
      <x:c r="I8" s="31" t="n">
        <x:f>'Rival Packages'!G7*'Receiver Cases'!F8</x:f>
        <x:v>0</x:v>
      </x:c>
      <x:c r="J8" s="31" t="n">
        <x:f>'Rival Packages'!H7*'Receiver Cases'!G8</x:f>
        <x:v>0</x:v>
      </x:c>
      <x:c r="K8" s="31" t="n">
        <x:f>'Rival Packages'!I7*'Receiver Cases'!H8</x:f>
        <x:v>0</x:v>
      </x:c>
      <x:c r="L8" s="33" t="n">
        <x:f>D8-MAX(G8:K8)</x:f>
        <x:v>0</x:v>
      </x:c>
    </x:row>
    <x:row r="9">
      <x:c r="B9" s="31" t="str">
        <x:v>S0</x:v>
      </x:c>
      <x:c r="C9" s="31" t="str">
        <x:v>C03</x:v>
      </x:c>
      <x:c r="D9" s="31" t="n">
        <x:f>'Rival Packages'!D7*'Receiver Cases'!D9+'Rival Packages'!E7*'Receiver Cases'!E9+'Rival Packages'!F7*'Receiver Cases'!D9+'Rival Packages'!G7*'Receiver Cases'!F9+'Rival Packages'!H7*'Receiver Cases'!G9+'Rival Packages'!I7*'Receiver Cases'!H9</x:f>
        <x:v>1</x:v>
      </x:c>
      <x:c r="E9" s="31" t="n">
        <x:f>'Rival Packages'!D7*'Receiver Cases'!D9+'Rival Packages'!E7*'Receiver Cases'!E9+'Rival Packages'!G7*'Receiver Cases'!F9+'Rival Packages'!H7*'Receiver Cases'!G9</x:f>
        <x:v>1</x:v>
      </x:c>
      <x:c r="F9" s="31" t="n">
        <x:f>D9-IF(E9&gt;0,1,0)</x:f>
        <x:v>0</x:v>
      </x:c>
      <x:c r="G9" s="31" t="n">
        <x:f>('Rival Packages'!D7+'Rival Packages'!F7)*'Receiver Cases'!D9</x:f>
        <x:v>1</x:v>
      </x:c>
      <x:c r="H9" s="31" t="n">
        <x:f>'Rival Packages'!E7*'Receiver Cases'!E9</x:f>
        <x:v>0</x:v>
      </x:c>
      <x:c r="I9" s="31" t="n">
        <x:f>'Rival Packages'!G7*'Receiver Cases'!F9</x:f>
        <x:v>0</x:v>
      </x:c>
      <x:c r="J9" s="31" t="n">
        <x:f>'Rival Packages'!H7*'Receiver Cases'!G9</x:f>
        <x:v>0</x:v>
      </x:c>
      <x:c r="K9" s="31" t="n">
        <x:f>'Rival Packages'!I7*'Receiver Cases'!H9</x:f>
        <x:v>0</x:v>
      </x:c>
      <x:c r="L9" s="33" t="n">
        <x:f>D9-MAX(G9:K9)</x:f>
        <x:v>0</x:v>
      </x:c>
    </x:row>
    <x:row r="10">
      <x:c r="B10" s="31" t="str">
        <x:v>S0</x:v>
      </x:c>
      <x:c r="C10" s="31" t="str">
        <x:v>C04</x:v>
      </x:c>
      <x:c r="D10" s="31" t="n">
        <x:f>'Rival Packages'!D7*'Receiver Cases'!D10+'Rival Packages'!E7*'Receiver Cases'!E10+'Rival Packages'!F7*'Receiver Cases'!D10+'Rival Packages'!G7*'Receiver Cases'!F10+'Rival Packages'!H7*'Receiver Cases'!G10+'Rival Packages'!I7*'Receiver Cases'!H10</x:f>
        <x:v>3</x:v>
      </x:c>
      <x:c r="E10" s="31" t="n">
        <x:f>'Rival Packages'!D7*'Receiver Cases'!D10+'Rival Packages'!E7*'Receiver Cases'!E10+'Rival Packages'!G7*'Receiver Cases'!F10+'Rival Packages'!H7*'Receiver Cases'!G10</x:f>
        <x:v>3</x:v>
      </x:c>
      <x:c r="F10" s="31" t="n">
        <x:f>D10-IF(E10&gt;0,1,0)</x:f>
        <x:v>2</x:v>
      </x:c>
      <x:c r="G10" s="31" t="n">
        <x:f>('Rival Packages'!D7+'Rival Packages'!F7)*'Receiver Cases'!D10</x:f>
        <x:v>1</x:v>
      </x:c>
      <x:c r="H10" s="31" t="n">
        <x:f>'Rival Packages'!E7*'Receiver Cases'!E10</x:f>
        <x:v>1</x:v>
      </x:c>
      <x:c r="I10" s="31" t="n">
        <x:f>'Rival Packages'!G7*'Receiver Cases'!F10</x:f>
        <x:v>1</x:v>
      </x:c>
      <x:c r="J10" s="31" t="n">
        <x:f>'Rival Packages'!H7*'Receiver Cases'!G10</x:f>
        <x:v>0</x:v>
      </x:c>
      <x:c r="K10" s="31" t="n">
        <x:f>'Rival Packages'!I7*'Receiver Cases'!H10</x:f>
        <x:v>0</x:v>
      </x:c>
      <x:c r="L10" s="33" t="n">
        <x:f>D10-MAX(G10:K10)</x:f>
        <x:v>2</x:v>
      </x:c>
    </x:row>
    <x:row r="11">
      <x:c r="B11" s="31" t="str">
        <x:v>S0</x:v>
      </x:c>
      <x:c r="C11" s="31" t="str">
        <x:v>C05</x:v>
      </x:c>
      <x:c r="D11" s="31" t="n">
        <x:f>'Rival Packages'!D7*'Receiver Cases'!D11+'Rival Packages'!E7*'Receiver Cases'!E11+'Rival Packages'!F7*'Receiver Cases'!D11+'Rival Packages'!G7*'Receiver Cases'!F11+'Rival Packages'!H7*'Receiver Cases'!G11+'Rival Packages'!I7*'Receiver Cases'!H11</x:f>
        <x:v>2</x:v>
      </x:c>
      <x:c r="E11" s="31" t="n">
        <x:f>'Rival Packages'!D7*'Receiver Cases'!D11+'Rival Packages'!E7*'Receiver Cases'!E11+'Rival Packages'!G7*'Receiver Cases'!F11+'Rival Packages'!H7*'Receiver Cases'!G11</x:f>
        <x:v>2</x:v>
      </x:c>
      <x:c r="F11" s="31" t="n">
        <x:f>D11-IF(E11&gt;0,1,0)</x:f>
        <x:v>1</x:v>
      </x:c>
      <x:c r="G11" s="31" t="n">
        <x:f>('Rival Packages'!D7+'Rival Packages'!F7)*'Receiver Cases'!D11</x:f>
        <x:v>1</x:v>
      </x:c>
      <x:c r="H11" s="31" t="n">
        <x:f>'Rival Packages'!E7*'Receiver Cases'!E11</x:f>
        <x:v>1</x:v>
      </x:c>
      <x:c r="I11" s="31" t="n">
        <x:f>'Rival Packages'!G7*'Receiver Cases'!F11</x:f>
        <x:v>0</x:v>
      </x:c>
      <x:c r="J11" s="31" t="n">
        <x:f>'Rival Packages'!H7*'Receiver Cases'!G11</x:f>
        <x:v>0</x:v>
      </x:c>
      <x:c r="K11" s="31" t="n">
        <x:f>'Rival Packages'!I7*'Receiver Cases'!H11</x:f>
        <x:v>0</x:v>
      </x:c>
      <x:c r="L11" s="33" t="n">
        <x:f>D11-MAX(G11:K11)</x:f>
        <x:v>1</x:v>
      </x:c>
    </x:row>
    <x:row r="12">
      <x:c r="B12" s="31" t="str">
        <x:v>S0</x:v>
      </x:c>
      <x:c r="C12" s="31" t="str">
        <x:v>C06</x:v>
      </x:c>
      <x:c r="D12" s="31" t="n">
        <x:f>'Rival Packages'!D7*'Receiver Cases'!D12+'Rival Packages'!E7*'Receiver Cases'!E12+'Rival Packages'!F7*'Receiver Cases'!D12+'Rival Packages'!G7*'Receiver Cases'!F12+'Rival Packages'!H7*'Receiver Cases'!G12+'Rival Packages'!I7*'Receiver Cases'!H12</x:f>
        <x:v>2</x:v>
      </x:c>
      <x:c r="E12" s="31" t="n">
        <x:f>'Rival Packages'!D7*'Receiver Cases'!D12+'Rival Packages'!E7*'Receiver Cases'!E12+'Rival Packages'!G7*'Receiver Cases'!F12+'Rival Packages'!H7*'Receiver Cases'!G12</x:f>
        <x:v>2</x:v>
      </x:c>
      <x:c r="F12" s="31" t="n">
        <x:f>D12-IF(E12&gt;0,1,0)</x:f>
        <x:v>1</x:v>
      </x:c>
      <x:c r="G12" s="31" t="n">
        <x:f>('Rival Packages'!D7+'Rival Packages'!F7)*'Receiver Cases'!D12</x:f>
        <x:v>1</x:v>
      </x:c>
      <x:c r="H12" s="31" t="n">
        <x:f>'Rival Packages'!E7*'Receiver Cases'!E12</x:f>
        <x:v>1</x:v>
      </x:c>
      <x:c r="I12" s="31" t="n">
        <x:f>'Rival Packages'!G7*'Receiver Cases'!F12</x:f>
        <x:v>0</x:v>
      </x:c>
      <x:c r="J12" s="31" t="n">
        <x:f>'Rival Packages'!H7*'Receiver Cases'!G12</x:f>
        <x:v>0</x:v>
      </x:c>
      <x:c r="K12" s="31" t="n">
        <x:f>'Rival Packages'!I7*'Receiver Cases'!H12</x:f>
        <x:v>0</x:v>
      </x:c>
      <x:c r="L12" s="33" t="n">
        <x:f>D12-MAX(G12:K12)</x:f>
        <x:v>1</x:v>
      </x:c>
    </x:row>
    <x:row r="13">
      <x:c r="B13" s="31" t="str">
        <x:v>S0</x:v>
      </x:c>
      <x:c r="C13" s="31" t="str">
        <x:v>C07</x:v>
      </x:c>
      <x:c r="D13" s="31" t="n">
        <x:f>'Rival Packages'!D7*'Receiver Cases'!D13+'Rival Packages'!E7*'Receiver Cases'!E13+'Rival Packages'!F7*'Receiver Cases'!D13+'Rival Packages'!G7*'Receiver Cases'!F13+'Rival Packages'!H7*'Receiver Cases'!G13+'Rival Packages'!I7*'Receiver Cases'!H13</x:f>
        <x:v>2</x:v>
      </x:c>
      <x:c r="E13" s="31" t="n">
        <x:f>'Rival Packages'!D7*'Receiver Cases'!D13+'Rival Packages'!E7*'Receiver Cases'!E13+'Rival Packages'!G7*'Receiver Cases'!F13+'Rival Packages'!H7*'Receiver Cases'!G13</x:f>
        <x:v>2</x:v>
      </x:c>
      <x:c r="F13" s="31" t="n">
        <x:f>D13-IF(E13&gt;0,1,0)</x:f>
        <x:v>1</x:v>
      </x:c>
      <x:c r="G13" s="31" t="n">
        <x:f>('Rival Packages'!D7+'Rival Packages'!F7)*'Receiver Cases'!D13</x:f>
        <x:v>1</x:v>
      </x:c>
      <x:c r="H13" s="31" t="n">
        <x:f>'Rival Packages'!E7*'Receiver Cases'!E13</x:f>
        <x:v>1</x:v>
      </x:c>
      <x:c r="I13" s="31" t="n">
        <x:f>'Rival Packages'!G7*'Receiver Cases'!F13</x:f>
        <x:v>0</x:v>
      </x:c>
      <x:c r="J13" s="31" t="n">
        <x:f>'Rival Packages'!H7*'Receiver Cases'!G13</x:f>
        <x:v>0</x:v>
      </x:c>
      <x:c r="K13" s="31" t="n">
        <x:f>'Rival Packages'!I7*'Receiver Cases'!H13</x:f>
        <x:v>0</x:v>
      </x:c>
      <x:c r="L13" s="33" t="n">
        <x:f>D13-MAX(G13:K13)</x:f>
        <x:v>1</x:v>
      </x:c>
    </x:row>
    <x:row r="14">
      <x:c r="B14" s="31" t="str">
        <x:v>S0</x:v>
      </x:c>
      <x:c r="C14" s="31" t="str">
        <x:v>C08</x:v>
      </x:c>
      <x:c r="D14" s="31" t="n">
        <x:f>'Rival Packages'!D7*'Receiver Cases'!D14+'Rival Packages'!E7*'Receiver Cases'!E14+'Rival Packages'!F7*'Receiver Cases'!D14+'Rival Packages'!G7*'Receiver Cases'!F14+'Rival Packages'!H7*'Receiver Cases'!G14+'Rival Packages'!I7*'Receiver Cases'!H14</x:f>
        <x:v>2</x:v>
      </x:c>
      <x:c r="E14" s="31" t="n">
        <x:f>'Rival Packages'!D7*'Receiver Cases'!D14+'Rival Packages'!E7*'Receiver Cases'!E14+'Rival Packages'!G7*'Receiver Cases'!F14+'Rival Packages'!H7*'Receiver Cases'!G14</x:f>
        <x:v>2</x:v>
      </x:c>
      <x:c r="F14" s="31" t="n">
        <x:f>D14-IF(E14&gt;0,1,0)</x:f>
        <x:v>1</x:v>
      </x:c>
      <x:c r="G14" s="31" t="n">
        <x:f>('Rival Packages'!D7+'Rival Packages'!F7)*'Receiver Cases'!D14</x:f>
        <x:v>1</x:v>
      </x:c>
      <x:c r="H14" s="31" t="n">
        <x:f>'Rival Packages'!E7*'Receiver Cases'!E14</x:f>
        <x:v>1</x:v>
      </x:c>
      <x:c r="I14" s="31" t="n">
        <x:f>'Rival Packages'!G7*'Receiver Cases'!F14</x:f>
        <x:v>0</x:v>
      </x:c>
      <x:c r="J14" s="31" t="n">
        <x:f>'Rival Packages'!H7*'Receiver Cases'!G14</x:f>
        <x:v>0</x:v>
      </x:c>
      <x:c r="K14" s="31" t="n">
        <x:f>'Rival Packages'!I7*'Receiver Cases'!H14</x:f>
        <x:v>0</x:v>
      </x:c>
      <x:c r="L14" s="33" t="n">
        <x:f>D14-MAX(G14:K14)</x:f>
        <x:v>1</x:v>
      </x:c>
    </x:row>
    <x:row r="15">
      <x:c r="B15" s="31" t="str">
        <x:v>S0</x:v>
      </x:c>
      <x:c r="C15" s="31" t="str">
        <x:v>C09</x:v>
      </x:c>
      <x:c r="D15" s="31" t="n">
        <x:f>'Rival Packages'!D7*'Receiver Cases'!D15+'Rival Packages'!E7*'Receiver Cases'!E15+'Rival Packages'!F7*'Receiver Cases'!D15+'Rival Packages'!G7*'Receiver Cases'!F15+'Rival Packages'!H7*'Receiver Cases'!G15+'Rival Packages'!I7*'Receiver Cases'!H15</x:f>
        <x:v>2</x:v>
      </x:c>
      <x:c r="E15" s="31" t="n">
        <x:f>'Rival Packages'!D7*'Receiver Cases'!D15+'Rival Packages'!E7*'Receiver Cases'!E15+'Rival Packages'!G7*'Receiver Cases'!F15+'Rival Packages'!H7*'Receiver Cases'!G15</x:f>
        <x:v>2</x:v>
      </x:c>
      <x:c r="F15" s="31" t="n">
        <x:f>D15-IF(E15&gt;0,1,0)</x:f>
        <x:v>1</x:v>
      </x:c>
      <x:c r="G15" s="31" t="n">
        <x:f>('Rival Packages'!D7+'Rival Packages'!F7)*'Receiver Cases'!D15</x:f>
        <x:v>1</x:v>
      </x:c>
      <x:c r="H15" s="31" t="n">
        <x:f>'Rival Packages'!E7*'Receiver Cases'!E15</x:f>
        <x:v>1</x:v>
      </x:c>
      <x:c r="I15" s="31" t="n">
        <x:f>'Rival Packages'!G7*'Receiver Cases'!F15</x:f>
        <x:v>0</x:v>
      </x:c>
      <x:c r="J15" s="31" t="n">
        <x:f>'Rival Packages'!H7*'Receiver Cases'!G15</x:f>
        <x:v>0</x:v>
      </x:c>
      <x:c r="K15" s="31" t="n">
        <x:f>'Rival Packages'!I7*'Receiver Cases'!H15</x:f>
        <x:v>0</x:v>
      </x:c>
      <x:c r="L15" s="33" t="n">
        <x:f>D15-MAX(G15:K15)</x:f>
        <x:v>1</x:v>
      </x:c>
    </x:row>
    <x:row r="16">
      <x:c r="B16" s="31" t="str">
        <x:v>S0</x:v>
      </x:c>
      <x:c r="C16" s="31" t="str">
        <x:v>C10</x:v>
      </x:c>
      <x:c r="D16" s="31" t="n">
        <x:f>'Rival Packages'!D7*'Receiver Cases'!D16+'Rival Packages'!E7*'Receiver Cases'!E16+'Rival Packages'!F7*'Receiver Cases'!D16+'Rival Packages'!G7*'Receiver Cases'!F16+'Rival Packages'!H7*'Receiver Cases'!G16+'Rival Packages'!I7*'Receiver Cases'!H16</x:f>
        <x:v>3</x:v>
      </x:c>
      <x:c r="E16" s="31" t="n">
        <x:f>'Rival Packages'!D7*'Receiver Cases'!D16+'Rival Packages'!E7*'Receiver Cases'!E16+'Rival Packages'!G7*'Receiver Cases'!F16+'Rival Packages'!H7*'Receiver Cases'!G16</x:f>
        <x:v>3</x:v>
      </x:c>
      <x:c r="F16" s="31" t="n">
        <x:f>D16-IF(E16&gt;0,1,0)</x:f>
        <x:v>2</x:v>
      </x:c>
      <x:c r="G16" s="31" t="n">
        <x:f>('Rival Packages'!D7+'Rival Packages'!F7)*'Receiver Cases'!D16</x:f>
        <x:v>1</x:v>
      </x:c>
      <x:c r="H16" s="31" t="n">
        <x:f>'Rival Packages'!E7*'Receiver Cases'!E16</x:f>
        <x:v>1</x:v>
      </x:c>
      <x:c r="I16" s="31" t="n">
        <x:f>'Rival Packages'!G7*'Receiver Cases'!F16</x:f>
        <x:v>1</x:v>
      </x:c>
      <x:c r="J16" s="31" t="n">
        <x:f>'Rival Packages'!H7*'Receiver Cases'!G16</x:f>
        <x:v>0</x:v>
      </x:c>
      <x:c r="K16" s="31" t="n">
        <x:f>'Rival Packages'!I7*'Receiver Cases'!H16</x:f>
        <x:v>0</x:v>
      </x:c>
      <x:c r="L16" s="33" t="n">
        <x:f>D16-MAX(G16:K16)</x:f>
        <x:v>2</x:v>
      </x:c>
    </x:row>
    <x:row r="17">
      <x:c r="B17" s="31" t="str">
        <x:v>S1</x:v>
      </x:c>
      <x:c r="C17" s="31" t="str">
        <x:v>C01</x:v>
      </x:c>
      <x:c r="D17" s="31" t="n">
        <x:f>'Rival Packages'!D8*'Receiver Cases'!D7+'Rival Packages'!E8*'Receiver Cases'!E7+'Rival Packages'!F8*'Receiver Cases'!D7+'Rival Packages'!G8*'Receiver Cases'!F7+'Rival Packages'!H8*'Receiver Cases'!G7+'Rival Packages'!I8*'Receiver Cases'!H7</x:f>
        <x:v>2</x:v>
      </x:c>
      <x:c r="E17" s="31" t="n">
        <x:f>'Rival Packages'!D8*'Receiver Cases'!D7+'Rival Packages'!E8*'Receiver Cases'!E7+'Rival Packages'!G8*'Receiver Cases'!F7+'Rival Packages'!H8*'Receiver Cases'!G7</x:f>
        <x:v>2</x:v>
      </x:c>
      <x:c r="F17" s="31" t="n">
        <x:f>D17-IF(E17&gt;0,1,0)</x:f>
        <x:v>1</x:v>
      </x:c>
      <x:c r="G17" s="31" t="n">
        <x:f>('Rival Packages'!D8+'Rival Packages'!F8)*'Receiver Cases'!D7</x:f>
        <x:v>1</x:v>
      </x:c>
      <x:c r="H17" s="31" t="n">
        <x:f>'Rival Packages'!E8*'Receiver Cases'!E7</x:f>
        <x:v>1</x:v>
      </x:c>
      <x:c r="I17" s="31" t="n">
        <x:f>'Rival Packages'!G8*'Receiver Cases'!F7</x:f>
        <x:v>0</x:v>
      </x:c>
      <x:c r="J17" s="31" t="n">
        <x:f>'Rival Packages'!H8*'Receiver Cases'!G7</x:f>
        <x:v>0</x:v>
      </x:c>
      <x:c r="K17" s="31" t="n">
        <x:f>'Rival Packages'!I8*'Receiver Cases'!H7</x:f>
        <x:v>0</x:v>
      </x:c>
      <x:c r="L17" s="33" t="n">
        <x:f>D17-MAX(G17:K17)</x:f>
        <x:v>1</x:v>
      </x:c>
    </x:row>
    <x:row r="18">
      <x:c r="B18" s="31" t="str">
        <x:v>S1</x:v>
      </x:c>
      <x:c r="C18" s="31" t="str">
        <x:v>C02</x:v>
      </x:c>
      <x:c r="D18" s="31" t="n">
        <x:f>'Rival Packages'!D8*'Receiver Cases'!D8+'Rival Packages'!E8*'Receiver Cases'!E8+'Rival Packages'!F8*'Receiver Cases'!D8+'Rival Packages'!G8*'Receiver Cases'!F8+'Rival Packages'!H8*'Receiver Cases'!G8+'Rival Packages'!I8*'Receiver Cases'!H8</x:f>
        <x:v>1</x:v>
      </x:c>
      <x:c r="E18" s="31" t="n">
        <x:f>'Rival Packages'!D8*'Receiver Cases'!D8+'Rival Packages'!E8*'Receiver Cases'!E8+'Rival Packages'!G8*'Receiver Cases'!F8+'Rival Packages'!H8*'Receiver Cases'!G8</x:f>
        <x:v>1</x:v>
      </x:c>
      <x:c r="F18" s="31" t="n">
        <x:f>D18-IF(E18&gt;0,1,0)</x:f>
        <x:v>0</x:v>
      </x:c>
      <x:c r="G18" s="31" t="n">
        <x:f>('Rival Packages'!D8+'Rival Packages'!F8)*'Receiver Cases'!D8</x:f>
        <x:v>0</x:v>
      </x:c>
      <x:c r="H18" s="31" t="n">
        <x:f>'Rival Packages'!E8*'Receiver Cases'!E8</x:f>
        <x:v>1</x:v>
      </x:c>
      <x:c r="I18" s="31" t="n">
        <x:f>'Rival Packages'!G8*'Receiver Cases'!F8</x:f>
        <x:v>0</x:v>
      </x:c>
      <x:c r="J18" s="31" t="n">
        <x:f>'Rival Packages'!H8*'Receiver Cases'!G8</x:f>
        <x:v>0</x:v>
      </x:c>
      <x:c r="K18" s="31" t="n">
        <x:f>'Rival Packages'!I8*'Receiver Cases'!H8</x:f>
        <x:v>0</x:v>
      </x:c>
      <x:c r="L18" s="33" t="n">
        <x:f>D18-MAX(G18:K18)</x:f>
        <x:v>0</x:v>
      </x:c>
    </x:row>
    <x:row r="19">
      <x:c r="B19" s="31" t="str">
        <x:v>S1</x:v>
      </x:c>
      <x:c r="C19" s="31" t="str">
        <x:v>C03</x:v>
      </x:c>
      <x:c r="D19" s="31" t="n">
        <x:f>'Rival Packages'!D8*'Receiver Cases'!D9+'Rival Packages'!E8*'Receiver Cases'!E9+'Rival Packages'!F8*'Receiver Cases'!D9+'Rival Packages'!G8*'Receiver Cases'!F9+'Rival Packages'!H8*'Receiver Cases'!G9+'Rival Packages'!I8*'Receiver Cases'!H9</x:f>
        <x:v>1</x:v>
      </x:c>
      <x:c r="E19" s="31" t="n">
        <x:f>'Rival Packages'!D8*'Receiver Cases'!D9+'Rival Packages'!E8*'Receiver Cases'!E9+'Rival Packages'!G8*'Receiver Cases'!F9+'Rival Packages'!H8*'Receiver Cases'!G9</x:f>
        <x:v>1</x:v>
      </x:c>
      <x:c r="F19" s="31" t="n">
        <x:f>D19-IF(E19&gt;0,1,0)</x:f>
        <x:v>0</x:v>
      </x:c>
      <x:c r="G19" s="31" t="n">
        <x:f>('Rival Packages'!D8+'Rival Packages'!F8)*'Receiver Cases'!D9</x:f>
        <x:v>1</x:v>
      </x:c>
      <x:c r="H19" s="31" t="n">
        <x:f>'Rival Packages'!E8*'Receiver Cases'!E9</x:f>
        <x:v>0</x:v>
      </x:c>
      <x:c r="I19" s="31" t="n">
        <x:f>'Rival Packages'!G8*'Receiver Cases'!F9</x:f>
        <x:v>0</x:v>
      </x:c>
      <x:c r="J19" s="31" t="n">
        <x:f>'Rival Packages'!H8*'Receiver Cases'!G9</x:f>
        <x:v>0</x:v>
      </x:c>
      <x:c r="K19" s="31" t="n">
        <x:f>'Rival Packages'!I8*'Receiver Cases'!H9</x:f>
        <x:v>0</x:v>
      </x:c>
      <x:c r="L19" s="33" t="n">
        <x:f>D19-MAX(G19:K19)</x:f>
        <x:v>0</x:v>
      </x:c>
    </x:row>
    <x:row r="20">
      <x:c r="B20" s="31" t="str">
        <x:v>S1</x:v>
      </x:c>
      <x:c r="C20" s="31" t="str">
        <x:v>C04</x:v>
      </x:c>
      <x:c r="D20" s="31" t="n">
        <x:f>'Rival Packages'!D8*'Receiver Cases'!D10+'Rival Packages'!E8*'Receiver Cases'!E10+'Rival Packages'!F8*'Receiver Cases'!D10+'Rival Packages'!G8*'Receiver Cases'!F10+'Rival Packages'!H8*'Receiver Cases'!G10+'Rival Packages'!I8*'Receiver Cases'!H10</x:f>
        <x:v>2</x:v>
      </x:c>
      <x:c r="E20" s="31" t="n">
        <x:f>'Rival Packages'!D8*'Receiver Cases'!D10+'Rival Packages'!E8*'Receiver Cases'!E10+'Rival Packages'!G8*'Receiver Cases'!F10+'Rival Packages'!H8*'Receiver Cases'!G10</x:f>
        <x:v>2</x:v>
      </x:c>
      <x:c r="F20" s="31" t="n">
        <x:f>D20-IF(E20&gt;0,1,0)</x:f>
        <x:v>1</x:v>
      </x:c>
      <x:c r="G20" s="31" t="n">
        <x:f>('Rival Packages'!D8+'Rival Packages'!F8)*'Receiver Cases'!D10</x:f>
        <x:v>1</x:v>
      </x:c>
      <x:c r="H20" s="31" t="n">
        <x:f>'Rival Packages'!E8*'Receiver Cases'!E10</x:f>
        <x:v>1</x:v>
      </x:c>
      <x:c r="I20" s="31" t="n">
        <x:f>'Rival Packages'!G8*'Receiver Cases'!F10</x:f>
        <x:v>0</x:v>
      </x:c>
      <x:c r="J20" s="31" t="n">
        <x:f>'Rival Packages'!H8*'Receiver Cases'!G10</x:f>
        <x:v>0</x:v>
      </x:c>
      <x:c r="K20" s="31" t="n">
        <x:f>'Rival Packages'!I8*'Receiver Cases'!H10</x:f>
        <x:v>0</x:v>
      </x:c>
      <x:c r="L20" s="33" t="n">
        <x:f>D20-MAX(G20:K20)</x:f>
        <x:v>1</x:v>
      </x:c>
    </x:row>
    <x:row r="21">
      <x:c r="B21" s="31" t="str">
        <x:v>S1</x:v>
      </x:c>
      <x:c r="C21" s="31" t="str">
        <x:v>C05</x:v>
      </x:c>
      <x:c r="D21" s="31" t="n">
        <x:f>'Rival Packages'!D8*'Receiver Cases'!D11+'Rival Packages'!E8*'Receiver Cases'!E11+'Rival Packages'!F8*'Receiver Cases'!D11+'Rival Packages'!G8*'Receiver Cases'!F11+'Rival Packages'!H8*'Receiver Cases'!G11+'Rival Packages'!I8*'Receiver Cases'!H11</x:f>
        <x:v>2</x:v>
      </x:c>
      <x:c r="E21" s="31" t="n">
        <x:f>'Rival Packages'!D8*'Receiver Cases'!D11+'Rival Packages'!E8*'Receiver Cases'!E11+'Rival Packages'!G8*'Receiver Cases'!F11+'Rival Packages'!H8*'Receiver Cases'!G11</x:f>
        <x:v>2</x:v>
      </x:c>
      <x:c r="F21" s="31" t="n">
        <x:f>D21-IF(E21&gt;0,1,0)</x:f>
        <x:v>1</x:v>
      </x:c>
      <x:c r="G21" s="31" t="n">
        <x:f>('Rival Packages'!D8+'Rival Packages'!F8)*'Receiver Cases'!D11</x:f>
        <x:v>1</x:v>
      </x:c>
      <x:c r="H21" s="31" t="n">
        <x:f>'Rival Packages'!E8*'Receiver Cases'!E11</x:f>
        <x:v>1</x:v>
      </x:c>
      <x:c r="I21" s="31" t="n">
        <x:f>'Rival Packages'!G8*'Receiver Cases'!F11</x:f>
        <x:v>0</x:v>
      </x:c>
      <x:c r="J21" s="31" t="n">
        <x:f>'Rival Packages'!H8*'Receiver Cases'!G11</x:f>
        <x:v>0</x:v>
      </x:c>
      <x:c r="K21" s="31" t="n">
        <x:f>'Rival Packages'!I8*'Receiver Cases'!H11</x:f>
        <x:v>0</x:v>
      </x:c>
      <x:c r="L21" s="33" t="n">
        <x:f>D21-MAX(G21:K21)</x:f>
        <x:v>1</x:v>
      </x:c>
    </x:row>
    <x:row r="22">
      <x:c r="B22" s="31" t="str">
        <x:v>S1</x:v>
      </x:c>
      <x:c r="C22" s="31" t="str">
        <x:v>C06</x:v>
      </x:c>
      <x:c r="D22" s="31" t="n">
        <x:f>'Rival Packages'!D8*'Receiver Cases'!D12+'Rival Packages'!E8*'Receiver Cases'!E12+'Rival Packages'!F8*'Receiver Cases'!D12+'Rival Packages'!G8*'Receiver Cases'!F12+'Rival Packages'!H8*'Receiver Cases'!G12+'Rival Packages'!I8*'Receiver Cases'!H12</x:f>
        <x:v>2</x:v>
      </x:c>
      <x:c r="E22" s="31" t="n">
        <x:f>'Rival Packages'!D8*'Receiver Cases'!D12+'Rival Packages'!E8*'Receiver Cases'!E12+'Rival Packages'!G8*'Receiver Cases'!F12+'Rival Packages'!H8*'Receiver Cases'!G12</x:f>
        <x:v>2</x:v>
      </x:c>
      <x:c r="F22" s="31" t="n">
        <x:f>D22-IF(E22&gt;0,1,0)</x:f>
        <x:v>1</x:v>
      </x:c>
      <x:c r="G22" s="31" t="n">
        <x:f>('Rival Packages'!D8+'Rival Packages'!F8)*'Receiver Cases'!D12</x:f>
        <x:v>1</x:v>
      </x:c>
      <x:c r="H22" s="31" t="n">
        <x:f>'Rival Packages'!E8*'Receiver Cases'!E12</x:f>
        <x:v>1</x:v>
      </x:c>
      <x:c r="I22" s="31" t="n">
        <x:f>'Rival Packages'!G8*'Receiver Cases'!F12</x:f>
        <x:v>0</x:v>
      </x:c>
      <x:c r="J22" s="31" t="n">
        <x:f>'Rival Packages'!H8*'Receiver Cases'!G12</x:f>
        <x:v>0</x:v>
      </x:c>
      <x:c r="K22" s="31" t="n">
        <x:f>'Rival Packages'!I8*'Receiver Cases'!H12</x:f>
        <x:v>0</x:v>
      </x:c>
      <x:c r="L22" s="33" t="n">
        <x:f>D22-MAX(G22:K22)</x:f>
        <x:v>1</x:v>
      </x:c>
    </x:row>
    <x:row r="23">
      <x:c r="B23" s="31" t="str">
        <x:v>S1</x:v>
      </x:c>
      <x:c r="C23" s="31" t="str">
        <x:v>C07</x:v>
      </x:c>
      <x:c r="D23" s="31" t="n">
        <x:f>'Rival Packages'!D8*'Receiver Cases'!D13+'Rival Packages'!E8*'Receiver Cases'!E13+'Rival Packages'!F8*'Receiver Cases'!D13+'Rival Packages'!G8*'Receiver Cases'!F13+'Rival Packages'!H8*'Receiver Cases'!G13+'Rival Packages'!I8*'Receiver Cases'!H13</x:f>
        <x:v>2</x:v>
      </x:c>
      <x:c r="E23" s="31" t="n">
        <x:f>'Rival Packages'!D8*'Receiver Cases'!D13+'Rival Packages'!E8*'Receiver Cases'!E13+'Rival Packages'!G8*'Receiver Cases'!F13+'Rival Packages'!H8*'Receiver Cases'!G13</x:f>
        <x:v>2</x:v>
      </x:c>
      <x:c r="F23" s="31" t="n">
        <x:f>D23-IF(E23&gt;0,1,0)</x:f>
        <x:v>1</x:v>
      </x:c>
      <x:c r="G23" s="31" t="n">
        <x:f>('Rival Packages'!D8+'Rival Packages'!F8)*'Receiver Cases'!D13</x:f>
        <x:v>1</x:v>
      </x:c>
      <x:c r="H23" s="31" t="n">
        <x:f>'Rival Packages'!E8*'Receiver Cases'!E13</x:f>
        <x:v>1</x:v>
      </x:c>
      <x:c r="I23" s="31" t="n">
        <x:f>'Rival Packages'!G8*'Receiver Cases'!F13</x:f>
        <x:v>0</x:v>
      </x:c>
      <x:c r="J23" s="31" t="n">
        <x:f>'Rival Packages'!H8*'Receiver Cases'!G13</x:f>
        <x:v>0</x:v>
      </x:c>
      <x:c r="K23" s="31" t="n">
        <x:f>'Rival Packages'!I8*'Receiver Cases'!H13</x:f>
        <x:v>0</x:v>
      </x:c>
      <x:c r="L23" s="33" t="n">
        <x:f>D23-MAX(G23:K23)</x:f>
        <x:v>1</x:v>
      </x:c>
    </x:row>
    <x:row r="24">
      <x:c r="B24" s="31" t="str">
        <x:v>S1</x:v>
      </x:c>
      <x:c r="C24" s="31" t="str">
        <x:v>C08</x:v>
      </x:c>
      <x:c r="D24" s="31" t="n">
        <x:f>'Rival Packages'!D8*'Receiver Cases'!D14+'Rival Packages'!E8*'Receiver Cases'!E14+'Rival Packages'!F8*'Receiver Cases'!D14+'Rival Packages'!G8*'Receiver Cases'!F14+'Rival Packages'!H8*'Receiver Cases'!G14+'Rival Packages'!I8*'Receiver Cases'!H14</x:f>
        <x:v>2</x:v>
      </x:c>
      <x:c r="E24" s="31" t="n">
        <x:f>'Rival Packages'!D8*'Receiver Cases'!D14+'Rival Packages'!E8*'Receiver Cases'!E14+'Rival Packages'!G8*'Receiver Cases'!F14+'Rival Packages'!H8*'Receiver Cases'!G14</x:f>
        <x:v>2</x:v>
      </x:c>
      <x:c r="F24" s="31" t="n">
        <x:f>D24-IF(E24&gt;0,1,0)</x:f>
        <x:v>1</x:v>
      </x:c>
      <x:c r="G24" s="31" t="n">
        <x:f>('Rival Packages'!D8+'Rival Packages'!F8)*'Receiver Cases'!D14</x:f>
        <x:v>1</x:v>
      </x:c>
      <x:c r="H24" s="31" t="n">
        <x:f>'Rival Packages'!E8*'Receiver Cases'!E14</x:f>
        <x:v>1</x:v>
      </x:c>
      <x:c r="I24" s="31" t="n">
        <x:f>'Rival Packages'!G8*'Receiver Cases'!F14</x:f>
        <x:v>0</x:v>
      </x:c>
      <x:c r="J24" s="31" t="n">
        <x:f>'Rival Packages'!H8*'Receiver Cases'!G14</x:f>
        <x:v>0</x:v>
      </x:c>
      <x:c r="K24" s="31" t="n">
        <x:f>'Rival Packages'!I8*'Receiver Cases'!H14</x:f>
        <x:v>0</x:v>
      </x:c>
      <x:c r="L24" s="33" t="n">
        <x:f>D24-MAX(G24:K24)</x:f>
        <x:v>1</x:v>
      </x:c>
    </x:row>
    <x:row r="25">
      <x:c r="B25" s="31" t="str">
        <x:v>S1</x:v>
      </x:c>
      <x:c r="C25" s="31" t="str">
        <x:v>C09</x:v>
      </x:c>
      <x:c r="D25" s="31" t="n">
        <x:f>'Rival Packages'!D8*'Receiver Cases'!D15+'Rival Packages'!E8*'Receiver Cases'!E15+'Rival Packages'!F8*'Receiver Cases'!D15+'Rival Packages'!G8*'Receiver Cases'!F15+'Rival Packages'!H8*'Receiver Cases'!G15+'Rival Packages'!I8*'Receiver Cases'!H15</x:f>
        <x:v>2</x:v>
      </x:c>
      <x:c r="E25" s="31" t="n">
        <x:f>'Rival Packages'!D8*'Receiver Cases'!D15+'Rival Packages'!E8*'Receiver Cases'!E15+'Rival Packages'!G8*'Receiver Cases'!F15+'Rival Packages'!H8*'Receiver Cases'!G15</x:f>
        <x:v>2</x:v>
      </x:c>
      <x:c r="F25" s="31" t="n">
        <x:f>D25-IF(E25&gt;0,1,0)</x:f>
        <x:v>1</x:v>
      </x:c>
      <x:c r="G25" s="31" t="n">
        <x:f>('Rival Packages'!D8+'Rival Packages'!F8)*'Receiver Cases'!D15</x:f>
        <x:v>1</x:v>
      </x:c>
      <x:c r="H25" s="31" t="n">
        <x:f>'Rival Packages'!E8*'Receiver Cases'!E15</x:f>
        <x:v>1</x:v>
      </x:c>
      <x:c r="I25" s="31" t="n">
        <x:f>'Rival Packages'!G8*'Receiver Cases'!F15</x:f>
        <x:v>0</x:v>
      </x:c>
      <x:c r="J25" s="31" t="n">
        <x:f>'Rival Packages'!H8*'Receiver Cases'!G15</x:f>
        <x:v>0</x:v>
      </x:c>
      <x:c r="K25" s="31" t="n">
        <x:f>'Rival Packages'!I8*'Receiver Cases'!H15</x:f>
        <x:v>0</x:v>
      </x:c>
      <x:c r="L25" s="33" t="n">
        <x:f>D25-MAX(G25:K25)</x:f>
        <x:v>1</x:v>
      </x:c>
    </x:row>
    <x:row r="26">
      <x:c r="B26" s="31" t="str">
        <x:v>S1</x:v>
      </x:c>
      <x:c r="C26" s="31" t="str">
        <x:v>C10</x:v>
      </x:c>
      <x:c r="D26" s="31" t="n">
        <x:f>'Rival Packages'!D8*'Receiver Cases'!D16+'Rival Packages'!E8*'Receiver Cases'!E16+'Rival Packages'!F8*'Receiver Cases'!D16+'Rival Packages'!G8*'Receiver Cases'!F16+'Rival Packages'!H8*'Receiver Cases'!G16+'Rival Packages'!I8*'Receiver Cases'!H16</x:f>
        <x:v>2</x:v>
      </x:c>
      <x:c r="E26" s="31" t="n">
        <x:f>'Rival Packages'!D8*'Receiver Cases'!D16+'Rival Packages'!E8*'Receiver Cases'!E16+'Rival Packages'!G8*'Receiver Cases'!F16+'Rival Packages'!H8*'Receiver Cases'!G16</x:f>
        <x:v>2</x:v>
      </x:c>
      <x:c r="F26" s="31" t="n">
        <x:f>D26-IF(E26&gt;0,1,0)</x:f>
        <x:v>1</x:v>
      </x:c>
      <x:c r="G26" s="31" t="n">
        <x:f>('Rival Packages'!D8+'Rival Packages'!F8)*'Receiver Cases'!D16</x:f>
        <x:v>1</x:v>
      </x:c>
      <x:c r="H26" s="31" t="n">
        <x:f>'Rival Packages'!E8*'Receiver Cases'!E16</x:f>
        <x:v>1</x:v>
      </x:c>
      <x:c r="I26" s="31" t="n">
        <x:f>'Rival Packages'!G8*'Receiver Cases'!F16</x:f>
        <x:v>0</x:v>
      </x:c>
      <x:c r="J26" s="31" t="n">
        <x:f>'Rival Packages'!H8*'Receiver Cases'!G16</x:f>
        <x:v>0</x:v>
      </x:c>
      <x:c r="K26" s="31" t="n">
        <x:f>'Rival Packages'!I8*'Receiver Cases'!H16</x:f>
        <x:v>0</x:v>
      </x:c>
      <x:c r="L26" s="33" t="n">
        <x:f>D26-MAX(G26:K26)</x:f>
        <x:v>1</x:v>
      </x:c>
    </x:row>
    <x:row r="27">
      <x:c r="B27" s="31" t="str">
        <x:v>S2</x:v>
      </x:c>
      <x:c r="C27" s="31" t="str">
        <x:v>C01</x:v>
      </x:c>
      <x:c r="D27" s="31" t="n">
        <x:f>'Rival Packages'!D9*'Receiver Cases'!D7+'Rival Packages'!E9*'Receiver Cases'!E7+'Rival Packages'!F9*'Receiver Cases'!D7+'Rival Packages'!G9*'Receiver Cases'!F7+'Rival Packages'!H9*'Receiver Cases'!G7+'Rival Packages'!I9*'Receiver Cases'!H7</x:f>
        <x:v>1</x:v>
      </x:c>
      <x:c r="E27" s="31" t="n">
        <x:f>'Rival Packages'!D9*'Receiver Cases'!D7+'Rival Packages'!E9*'Receiver Cases'!E7+'Rival Packages'!G9*'Receiver Cases'!F7+'Rival Packages'!H9*'Receiver Cases'!G7</x:f>
        <x:v>0</x:v>
      </x:c>
      <x:c r="F27" s="31" t="n">
        <x:f>D27-IF(E27&gt;0,1,0)</x:f>
        <x:v>1</x:v>
      </x:c>
      <x:c r="G27" s="31" t="n">
        <x:f>('Rival Packages'!D9+'Rival Packages'!F9)*'Receiver Cases'!D7</x:f>
        <x:v>1</x:v>
      </x:c>
      <x:c r="H27" s="31" t="n">
        <x:f>'Rival Packages'!E9*'Receiver Cases'!E7</x:f>
        <x:v>0</x:v>
      </x:c>
      <x:c r="I27" s="31" t="n">
        <x:f>'Rival Packages'!G9*'Receiver Cases'!F7</x:f>
        <x:v>0</x:v>
      </x:c>
      <x:c r="J27" s="31" t="n">
        <x:f>'Rival Packages'!H9*'Receiver Cases'!G7</x:f>
        <x:v>0</x:v>
      </x:c>
      <x:c r="K27" s="31" t="n">
        <x:f>'Rival Packages'!I9*'Receiver Cases'!H7</x:f>
        <x:v>0</x:v>
      </x:c>
      <x:c r="L27" s="33" t="n">
        <x:f>D27-MAX(G27:K27)</x:f>
        <x:v>0</x:v>
      </x:c>
    </x:row>
    <x:row r="28">
      <x:c r="B28" s="31" t="str">
        <x:v>S2</x:v>
      </x:c>
      <x:c r="C28" s="31" t="str">
        <x:v>C02</x:v>
      </x:c>
      <x:c r="D28" s="31" t="n">
        <x:f>'Rival Packages'!D9*'Receiver Cases'!D8+'Rival Packages'!E9*'Receiver Cases'!E8+'Rival Packages'!F9*'Receiver Cases'!D8+'Rival Packages'!G9*'Receiver Cases'!F8+'Rival Packages'!H9*'Receiver Cases'!G8+'Rival Packages'!I9*'Receiver Cases'!H8</x:f>
        <x:v>0</x:v>
      </x:c>
      <x:c r="E28" s="31" t="n">
        <x:f>'Rival Packages'!D9*'Receiver Cases'!D8+'Rival Packages'!E9*'Receiver Cases'!E8+'Rival Packages'!G9*'Receiver Cases'!F8+'Rival Packages'!H9*'Receiver Cases'!G8</x:f>
        <x:v>0</x:v>
      </x:c>
      <x:c r="F28" s="31" t="n">
        <x:f>D28-IF(E28&gt;0,1,0)</x:f>
        <x:v>0</x:v>
      </x:c>
      <x:c r="G28" s="31" t="n">
        <x:f>('Rival Packages'!D9+'Rival Packages'!F9)*'Receiver Cases'!D8</x:f>
        <x:v>0</x:v>
      </x:c>
      <x:c r="H28" s="31" t="n">
        <x:f>'Rival Packages'!E9*'Receiver Cases'!E8</x:f>
        <x:v>0</x:v>
      </x:c>
      <x:c r="I28" s="31" t="n">
        <x:f>'Rival Packages'!G9*'Receiver Cases'!F8</x:f>
        <x:v>0</x:v>
      </x:c>
      <x:c r="J28" s="31" t="n">
        <x:f>'Rival Packages'!H9*'Receiver Cases'!G8</x:f>
        <x:v>0</x:v>
      </x:c>
      <x:c r="K28" s="31" t="n">
        <x:f>'Rival Packages'!I9*'Receiver Cases'!H8</x:f>
        <x:v>0</x:v>
      </x:c>
      <x:c r="L28" s="33" t="n">
        <x:f>D28-MAX(G28:K28)</x:f>
        <x:v>0</x:v>
      </x:c>
    </x:row>
    <x:row r="29">
      <x:c r="B29" s="31" t="str">
        <x:v>S2</x:v>
      </x:c>
      <x:c r="C29" s="31" t="str">
        <x:v>C03</x:v>
      </x:c>
      <x:c r="D29" s="31" t="n">
        <x:f>'Rival Packages'!D9*'Receiver Cases'!D9+'Rival Packages'!E9*'Receiver Cases'!E9+'Rival Packages'!F9*'Receiver Cases'!D9+'Rival Packages'!G9*'Receiver Cases'!F9+'Rival Packages'!H9*'Receiver Cases'!G9+'Rival Packages'!I9*'Receiver Cases'!H9</x:f>
        <x:v>1</x:v>
      </x:c>
      <x:c r="E29" s="31" t="n">
        <x:f>'Rival Packages'!D9*'Receiver Cases'!D9+'Rival Packages'!E9*'Receiver Cases'!E9+'Rival Packages'!G9*'Receiver Cases'!F9+'Rival Packages'!H9*'Receiver Cases'!G9</x:f>
        <x:v>0</x:v>
      </x:c>
      <x:c r="F29" s="31" t="n">
        <x:f>D29-IF(E29&gt;0,1,0)</x:f>
        <x:v>1</x:v>
      </x:c>
      <x:c r="G29" s="31" t="n">
        <x:f>('Rival Packages'!D9+'Rival Packages'!F9)*'Receiver Cases'!D9</x:f>
        <x:v>1</x:v>
      </x:c>
      <x:c r="H29" s="31" t="n">
        <x:f>'Rival Packages'!E9*'Receiver Cases'!E9</x:f>
        <x:v>0</x:v>
      </x:c>
      <x:c r="I29" s="31" t="n">
        <x:f>'Rival Packages'!G9*'Receiver Cases'!F9</x:f>
        <x:v>0</x:v>
      </x:c>
      <x:c r="J29" s="31" t="n">
        <x:f>'Rival Packages'!H9*'Receiver Cases'!G9</x:f>
        <x:v>0</x:v>
      </x:c>
      <x:c r="K29" s="31" t="n">
        <x:f>'Rival Packages'!I9*'Receiver Cases'!H9</x:f>
        <x:v>0</x:v>
      </x:c>
      <x:c r="L29" s="33" t="n">
        <x:f>D29-MAX(G29:K29)</x:f>
        <x:v>0</x:v>
      </x:c>
    </x:row>
    <x:row r="30">
      <x:c r="B30" s="31" t="str">
        <x:v>S2</x:v>
      </x:c>
      <x:c r="C30" s="31" t="str">
        <x:v>C04</x:v>
      </x:c>
      <x:c r="D30" s="31" t="n">
        <x:f>'Rival Packages'!D9*'Receiver Cases'!D10+'Rival Packages'!E9*'Receiver Cases'!E10+'Rival Packages'!F9*'Receiver Cases'!D10+'Rival Packages'!G9*'Receiver Cases'!F10+'Rival Packages'!H9*'Receiver Cases'!G10+'Rival Packages'!I9*'Receiver Cases'!H10</x:f>
        <x:v>2</x:v>
      </x:c>
      <x:c r="E30" s="31" t="n">
        <x:f>'Rival Packages'!D9*'Receiver Cases'!D10+'Rival Packages'!E9*'Receiver Cases'!E10+'Rival Packages'!G9*'Receiver Cases'!F10+'Rival Packages'!H9*'Receiver Cases'!G10</x:f>
        <x:v>1</x:v>
      </x:c>
      <x:c r="F30" s="31" t="n">
        <x:f>D30-IF(E30&gt;0,1,0)</x:f>
        <x:v>1</x:v>
      </x:c>
      <x:c r="G30" s="31" t="n">
        <x:f>('Rival Packages'!D9+'Rival Packages'!F9)*'Receiver Cases'!D10</x:f>
        <x:v>1</x:v>
      </x:c>
      <x:c r="H30" s="31" t="n">
        <x:f>'Rival Packages'!E9*'Receiver Cases'!E10</x:f>
        <x:v>0</x:v>
      </x:c>
      <x:c r="I30" s="31" t="n">
        <x:f>'Rival Packages'!G9*'Receiver Cases'!F10</x:f>
        <x:v>1</x:v>
      </x:c>
      <x:c r="J30" s="31" t="n">
        <x:f>'Rival Packages'!H9*'Receiver Cases'!G10</x:f>
        <x:v>0</x:v>
      </x:c>
      <x:c r="K30" s="31" t="n">
        <x:f>'Rival Packages'!I9*'Receiver Cases'!H10</x:f>
        <x:v>0</x:v>
      </x:c>
      <x:c r="L30" s="33" t="n">
        <x:f>D30-MAX(G30:K30)</x:f>
        <x:v>1</x:v>
      </x:c>
    </x:row>
    <x:row r="31">
      <x:c r="B31" s="31" t="str">
        <x:v>S2</x:v>
      </x:c>
      <x:c r="C31" s="31" t="str">
        <x:v>C05</x:v>
      </x:c>
      <x:c r="D31" s="31" t="n">
        <x:f>'Rival Packages'!D9*'Receiver Cases'!D11+'Rival Packages'!E9*'Receiver Cases'!E11+'Rival Packages'!F9*'Receiver Cases'!D11+'Rival Packages'!G9*'Receiver Cases'!F11+'Rival Packages'!H9*'Receiver Cases'!G11+'Rival Packages'!I9*'Receiver Cases'!H11</x:f>
        <x:v>1</x:v>
      </x:c>
      <x:c r="E31" s="31" t="n">
        <x:f>'Rival Packages'!D9*'Receiver Cases'!D11+'Rival Packages'!E9*'Receiver Cases'!E11+'Rival Packages'!G9*'Receiver Cases'!F11+'Rival Packages'!H9*'Receiver Cases'!G11</x:f>
        <x:v>0</x:v>
      </x:c>
      <x:c r="F31" s="31" t="n">
        <x:f>D31-IF(E31&gt;0,1,0)</x:f>
        <x:v>1</x:v>
      </x:c>
      <x:c r="G31" s="31" t="n">
        <x:f>('Rival Packages'!D9+'Rival Packages'!F9)*'Receiver Cases'!D11</x:f>
        <x:v>1</x:v>
      </x:c>
      <x:c r="H31" s="31" t="n">
        <x:f>'Rival Packages'!E9*'Receiver Cases'!E11</x:f>
        <x:v>0</x:v>
      </x:c>
      <x:c r="I31" s="31" t="n">
        <x:f>'Rival Packages'!G9*'Receiver Cases'!F11</x:f>
        <x:v>0</x:v>
      </x:c>
      <x:c r="J31" s="31" t="n">
        <x:f>'Rival Packages'!H9*'Receiver Cases'!G11</x:f>
        <x:v>0</x:v>
      </x:c>
      <x:c r="K31" s="31" t="n">
        <x:f>'Rival Packages'!I9*'Receiver Cases'!H11</x:f>
        <x:v>0</x:v>
      </x:c>
      <x:c r="L31" s="33" t="n">
        <x:f>D31-MAX(G31:K31)</x:f>
        <x:v>0</x:v>
      </x:c>
    </x:row>
    <x:row r="32">
      <x:c r="B32" s="31" t="str">
        <x:v>S2</x:v>
      </x:c>
      <x:c r="C32" s="31" t="str">
        <x:v>C06</x:v>
      </x:c>
      <x:c r="D32" s="31" t="n">
        <x:f>'Rival Packages'!D9*'Receiver Cases'!D12+'Rival Packages'!E9*'Receiver Cases'!E12+'Rival Packages'!F9*'Receiver Cases'!D12+'Rival Packages'!G9*'Receiver Cases'!F12+'Rival Packages'!H9*'Receiver Cases'!G12+'Rival Packages'!I9*'Receiver Cases'!H12</x:f>
        <x:v>1</x:v>
      </x:c>
      <x:c r="E32" s="31" t="n">
        <x:f>'Rival Packages'!D9*'Receiver Cases'!D12+'Rival Packages'!E9*'Receiver Cases'!E12+'Rival Packages'!G9*'Receiver Cases'!F12+'Rival Packages'!H9*'Receiver Cases'!G12</x:f>
        <x:v>0</x:v>
      </x:c>
      <x:c r="F32" s="31" t="n">
        <x:f>D32-IF(E32&gt;0,1,0)</x:f>
        <x:v>1</x:v>
      </x:c>
      <x:c r="G32" s="31" t="n">
        <x:f>('Rival Packages'!D9+'Rival Packages'!F9)*'Receiver Cases'!D12</x:f>
        <x:v>1</x:v>
      </x:c>
      <x:c r="H32" s="31" t="n">
        <x:f>'Rival Packages'!E9*'Receiver Cases'!E12</x:f>
        <x:v>0</x:v>
      </x:c>
      <x:c r="I32" s="31" t="n">
        <x:f>'Rival Packages'!G9*'Receiver Cases'!F12</x:f>
        <x:v>0</x:v>
      </x:c>
      <x:c r="J32" s="31" t="n">
        <x:f>'Rival Packages'!H9*'Receiver Cases'!G12</x:f>
        <x:v>0</x:v>
      </x:c>
      <x:c r="K32" s="31" t="n">
        <x:f>'Rival Packages'!I9*'Receiver Cases'!H12</x:f>
        <x:v>0</x:v>
      </x:c>
      <x:c r="L32" s="33" t="n">
        <x:f>D32-MAX(G32:K32)</x:f>
        <x:v>0</x:v>
      </x:c>
    </x:row>
    <x:row r="33">
      <x:c r="B33" s="31" t="str">
        <x:v>S2</x:v>
      </x:c>
      <x:c r="C33" s="31" t="str">
        <x:v>C07</x:v>
      </x:c>
      <x:c r="D33" s="31" t="n">
        <x:f>'Rival Packages'!D9*'Receiver Cases'!D13+'Rival Packages'!E9*'Receiver Cases'!E13+'Rival Packages'!F9*'Receiver Cases'!D13+'Rival Packages'!G9*'Receiver Cases'!F13+'Rival Packages'!H9*'Receiver Cases'!G13+'Rival Packages'!I9*'Receiver Cases'!H13</x:f>
        <x:v>1</x:v>
      </x:c>
      <x:c r="E33" s="31" t="n">
        <x:f>'Rival Packages'!D9*'Receiver Cases'!D13+'Rival Packages'!E9*'Receiver Cases'!E13+'Rival Packages'!G9*'Receiver Cases'!F13+'Rival Packages'!H9*'Receiver Cases'!G13</x:f>
        <x:v>0</x:v>
      </x:c>
      <x:c r="F33" s="31" t="n">
        <x:f>D33-IF(E33&gt;0,1,0)</x:f>
        <x:v>1</x:v>
      </x:c>
      <x:c r="G33" s="31" t="n">
        <x:f>('Rival Packages'!D9+'Rival Packages'!F9)*'Receiver Cases'!D13</x:f>
        <x:v>1</x:v>
      </x:c>
      <x:c r="H33" s="31" t="n">
        <x:f>'Rival Packages'!E9*'Receiver Cases'!E13</x:f>
        <x:v>0</x:v>
      </x:c>
      <x:c r="I33" s="31" t="n">
        <x:f>'Rival Packages'!G9*'Receiver Cases'!F13</x:f>
        <x:v>0</x:v>
      </x:c>
      <x:c r="J33" s="31" t="n">
        <x:f>'Rival Packages'!H9*'Receiver Cases'!G13</x:f>
        <x:v>0</x:v>
      </x:c>
      <x:c r="K33" s="31" t="n">
        <x:f>'Rival Packages'!I9*'Receiver Cases'!H13</x:f>
        <x:v>0</x:v>
      </x:c>
      <x:c r="L33" s="33" t="n">
        <x:f>D33-MAX(G33:K33)</x:f>
        <x:v>0</x:v>
      </x:c>
    </x:row>
    <x:row r="34">
      <x:c r="B34" s="31" t="str">
        <x:v>S2</x:v>
      </x:c>
      <x:c r="C34" s="31" t="str">
        <x:v>C08</x:v>
      </x:c>
      <x:c r="D34" s="31" t="n">
        <x:f>'Rival Packages'!D9*'Receiver Cases'!D14+'Rival Packages'!E9*'Receiver Cases'!E14+'Rival Packages'!F9*'Receiver Cases'!D14+'Rival Packages'!G9*'Receiver Cases'!F14+'Rival Packages'!H9*'Receiver Cases'!G14+'Rival Packages'!I9*'Receiver Cases'!H14</x:f>
        <x:v>1</x:v>
      </x:c>
      <x:c r="E34" s="31" t="n">
        <x:f>'Rival Packages'!D9*'Receiver Cases'!D14+'Rival Packages'!E9*'Receiver Cases'!E14+'Rival Packages'!G9*'Receiver Cases'!F14+'Rival Packages'!H9*'Receiver Cases'!G14</x:f>
        <x:v>0</x:v>
      </x:c>
      <x:c r="F34" s="31" t="n">
        <x:f>D34-IF(E34&gt;0,1,0)</x:f>
        <x:v>1</x:v>
      </x:c>
      <x:c r="G34" s="31" t="n">
        <x:f>('Rival Packages'!D9+'Rival Packages'!F9)*'Receiver Cases'!D14</x:f>
        <x:v>1</x:v>
      </x:c>
      <x:c r="H34" s="31" t="n">
        <x:f>'Rival Packages'!E9*'Receiver Cases'!E14</x:f>
        <x:v>0</x:v>
      </x:c>
      <x:c r="I34" s="31" t="n">
        <x:f>'Rival Packages'!G9*'Receiver Cases'!F14</x:f>
        <x:v>0</x:v>
      </x:c>
      <x:c r="J34" s="31" t="n">
        <x:f>'Rival Packages'!H9*'Receiver Cases'!G14</x:f>
        <x:v>0</x:v>
      </x:c>
      <x:c r="K34" s="31" t="n">
        <x:f>'Rival Packages'!I9*'Receiver Cases'!H14</x:f>
        <x:v>0</x:v>
      </x:c>
      <x:c r="L34" s="33" t="n">
        <x:f>D34-MAX(G34:K34)</x:f>
        <x:v>0</x:v>
      </x:c>
    </x:row>
    <x:row r="35">
      <x:c r="B35" s="31" t="str">
        <x:v>S2</x:v>
      </x:c>
      <x:c r="C35" s="31" t="str">
        <x:v>C09</x:v>
      </x:c>
      <x:c r="D35" s="31" t="n">
        <x:f>'Rival Packages'!D9*'Receiver Cases'!D15+'Rival Packages'!E9*'Receiver Cases'!E15+'Rival Packages'!F9*'Receiver Cases'!D15+'Rival Packages'!G9*'Receiver Cases'!F15+'Rival Packages'!H9*'Receiver Cases'!G15+'Rival Packages'!I9*'Receiver Cases'!H15</x:f>
        <x:v>1</x:v>
      </x:c>
      <x:c r="E35" s="31" t="n">
        <x:f>'Rival Packages'!D9*'Receiver Cases'!D15+'Rival Packages'!E9*'Receiver Cases'!E15+'Rival Packages'!G9*'Receiver Cases'!F15+'Rival Packages'!H9*'Receiver Cases'!G15</x:f>
        <x:v>0</x:v>
      </x:c>
      <x:c r="F35" s="31" t="n">
        <x:f>D35-IF(E35&gt;0,1,0)</x:f>
        <x:v>1</x:v>
      </x:c>
      <x:c r="G35" s="31" t="n">
        <x:f>('Rival Packages'!D9+'Rival Packages'!F9)*'Receiver Cases'!D15</x:f>
        <x:v>1</x:v>
      </x:c>
      <x:c r="H35" s="31" t="n">
        <x:f>'Rival Packages'!E9*'Receiver Cases'!E15</x:f>
        <x:v>0</x:v>
      </x:c>
      <x:c r="I35" s="31" t="n">
        <x:f>'Rival Packages'!G9*'Receiver Cases'!F15</x:f>
        <x:v>0</x:v>
      </x:c>
      <x:c r="J35" s="31" t="n">
        <x:f>'Rival Packages'!H9*'Receiver Cases'!G15</x:f>
        <x:v>0</x:v>
      </x:c>
      <x:c r="K35" s="31" t="n">
        <x:f>'Rival Packages'!I9*'Receiver Cases'!H15</x:f>
        <x:v>0</x:v>
      </x:c>
      <x:c r="L35" s="33" t="n">
        <x:f>D35-MAX(G35:K35)</x:f>
        <x:v>0</x:v>
      </x:c>
    </x:row>
    <x:row r="36">
      <x:c r="B36" s="31" t="str">
        <x:v>S2</x:v>
      </x:c>
      <x:c r="C36" s="31" t="str">
        <x:v>C10</x:v>
      </x:c>
      <x:c r="D36" s="31" t="n">
        <x:f>'Rival Packages'!D9*'Receiver Cases'!D16+'Rival Packages'!E9*'Receiver Cases'!E16+'Rival Packages'!F9*'Receiver Cases'!D16+'Rival Packages'!G9*'Receiver Cases'!F16+'Rival Packages'!H9*'Receiver Cases'!G16+'Rival Packages'!I9*'Receiver Cases'!H16</x:f>
        <x:v>2</x:v>
      </x:c>
      <x:c r="E36" s="31" t="n">
        <x:f>'Rival Packages'!D9*'Receiver Cases'!D16+'Rival Packages'!E9*'Receiver Cases'!E16+'Rival Packages'!G9*'Receiver Cases'!F16+'Rival Packages'!H9*'Receiver Cases'!G16</x:f>
        <x:v>1</x:v>
      </x:c>
      <x:c r="F36" s="31" t="n">
        <x:f>D36-IF(E36&gt;0,1,0)</x:f>
        <x:v>1</x:v>
      </x:c>
      <x:c r="G36" s="31" t="n">
        <x:f>('Rival Packages'!D9+'Rival Packages'!F9)*'Receiver Cases'!D16</x:f>
        <x:v>1</x:v>
      </x:c>
      <x:c r="H36" s="31" t="n">
        <x:f>'Rival Packages'!E9*'Receiver Cases'!E16</x:f>
        <x:v>0</x:v>
      </x:c>
      <x:c r="I36" s="31" t="n">
        <x:f>'Rival Packages'!G9*'Receiver Cases'!F16</x:f>
        <x:v>1</x:v>
      </x:c>
      <x:c r="J36" s="31" t="n">
        <x:f>'Rival Packages'!H9*'Receiver Cases'!G16</x:f>
        <x:v>0</x:v>
      </x:c>
      <x:c r="K36" s="31" t="n">
        <x:f>'Rival Packages'!I9*'Receiver Cases'!H16</x:f>
        <x:v>0</x:v>
      </x:c>
      <x:c r="L36" s="33" t="n">
        <x:f>D36-MAX(G36:K36)</x:f>
        <x:v>1</x:v>
      </x:c>
    </x:row>
    <x:row r="37">
      <x:c r="B37" s="31" t="str">
        <x:v>S3</x:v>
      </x:c>
      <x:c r="C37" s="31" t="str">
        <x:v>C01</x:v>
      </x:c>
      <x:c r="D37" s="31" t="n">
        <x:f>'Rival Packages'!D10*'Receiver Cases'!D7+'Rival Packages'!E10*'Receiver Cases'!E7+'Rival Packages'!F10*'Receiver Cases'!D7+'Rival Packages'!G10*'Receiver Cases'!F7+'Rival Packages'!H10*'Receiver Cases'!G7+'Rival Packages'!I10*'Receiver Cases'!H7</x:f>
        <x:v>1</x:v>
      </x:c>
      <x:c r="E37" s="31" t="n">
        <x:f>'Rival Packages'!D10*'Receiver Cases'!D7+'Rival Packages'!E10*'Receiver Cases'!E7+'Rival Packages'!G10*'Receiver Cases'!F7+'Rival Packages'!H10*'Receiver Cases'!G7</x:f>
        <x:v>0</x:v>
      </x:c>
      <x:c r="F37" s="31" t="n">
        <x:f>D37-IF(E37&gt;0,1,0)</x:f>
        <x:v>1</x:v>
      </x:c>
      <x:c r="G37" s="31" t="n">
        <x:f>('Rival Packages'!D10+'Rival Packages'!F10)*'Receiver Cases'!D7</x:f>
        <x:v>1</x:v>
      </x:c>
      <x:c r="H37" s="31" t="n">
        <x:f>'Rival Packages'!E10*'Receiver Cases'!E7</x:f>
        <x:v>0</x:v>
      </x:c>
      <x:c r="I37" s="31" t="n">
        <x:f>'Rival Packages'!G10*'Receiver Cases'!F7</x:f>
        <x:v>0</x:v>
      </x:c>
      <x:c r="J37" s="31" t="n">
        <x:f>'Rival Packages'!H10*'Receiver Cases'!G7</x:f>
        <x:v>0</x:v>
      </x:c>
      <x:c r="K37" s="31" t="n">
        <x:f>'Rival Packages'!I10*'Receiver Cases'!H7</x:f>
        <x:v>0</x:v>
      </x:c>
      <x:c r="L37" s="33" t="n">
        <x:f>D37-MAX(G37:K37)</x:f>
        <x:v>0</x:v>
      </x:c>
    </x:row>
    <x:row r="38">
      <x:c r="B38" s="31" t="str">
        <x:v>S3</x:v>
      </x:c>
      <x:c r="C38" s="31" t="str">
        <x:v>C02</x:v>
      </x:c>
      <x:c r="D38" s="31" t="n">
        <x:f>'Rival Packages'!D10*'Receiver Cases'!D8+'Rival Packages'!E10*'Receiver Cases'!E8+'Rival Packages'!F10*'Receiver Cases'!D8+'Rival Packages'!G10*'Receiver Cases'!F8+'Rival Packages'!H10*'Receiver Cases'!G8+'Rival Packages'!I10*'Receiver Cases'!H8</x:f>
        <x:v>0</x:v>
      </x:c>
      <x:c r="E38" s="31" t="n">
        <x:f>'Rival Packages'!D10*'Receiver Cases'!D8+'Rival Packages'!E10*'Receiver Cases'!E8+'Rival Packages'!G10*'Receiver Cases'!F8+'Rival Packages'!H10*'Receiver Cases'!G8</x:f>
        <x:v>0</x:v>
      </x:c>
      <x:c r="F38" s="31" t="n">
        <x:f>D38-IF(E38&gt;0,1,0)</x:f>
        <x:v>0</x:v>
      </x:c>
      <x:c r="G38" s="31" t="n">
        <x:f>('Rival Packages'!D10+'Rival Packages'!F10)*'Receiver Cases'!D8</x:f>
        <x:v>0</x:v>
      </x:c>
      <x:c r="H38" s="31" t="n">
        <x:f>'Rival Packages'!E10*'Receiver Cases'!E8</x:f>
        <x:v>0</x:v>
      </x:c>
      <x:c r="I38" s="31" t="n">
        <x:f>'Rival Packages'!G10*'Receiver Cases'!F8</x:f>
        <x:v>0</x:v>
      </x:c>
      <x:c r="J38" s="31" t="n">
        <x:f>'Rival Packages'!H10*'Receiver Cases'!G8</x:f>
        <x:v>0</x:v>
      </x:c>
      <x:c r="K38" s="31" t="n">
        <x:f>'Rival Packages'!I10*'Receiver Cases'!H8</x:f>
        <x:v>0</x:v>
      </x:c>
      <x:c r="L38" s="33" t="n">
        <x:f>D38-MAX(G38:K38)</x:f>
        <x:v>0</x:v>
      </x:c>
    </x:row>
    <x:row r="39">
      <x:c r="B39" s="31" t="str">
        <x:v>S3</x:v>
      </x:c>
      <x:c r="C39" s="31" t="str">
        <x:v>C03</x:v>
      </x:c>
      <x:c r="D39" s="31" t="n">
        <x:f>'Rival Packages'!D10*'Receiver Cases'!D9+'Rival Packages'!E10*'Receiver Cases'!E9+'Rival Packages'!F10*'Receiver Cases'!D9+'Rival Packages'!G10*'Receiver Cases'!F9+'Rival Packages'!H10*'Receiver Cases'!G9+'Rival Packages'!I10*'Receiver Cases'!H9</x:f>
        <x:v>1</x:v>
      </x:c>
      <x:c r="E39" s="31" t="n">
        <x:f>'Rival Packages'!D10*'Receiver Cases'!D9+'Rival Packages'!E10*'Receiver Cases'!E9+'Rival Packages'!G10*'Receiver Cases'!F9+'Rival Packages'!H10*'Receiver Cases'!G9</x:f>
        <x:v>0</x:v>
      </x:c>
      <x:c r="F39" s="31" t="n">
        <x:f>D39-IF(E39&gt;0,1,0)</x:f>
        <x:v>1</x:v>
      </x:c>
      <x:c r="G39" s="31" t="n">
        <x:f>('Rival Packages'!D10+'Rival Packages'!F10)*'Receiver Cases'!D9</x:f>
        <x:v>1</x:v>
      </x:c>
      <x:c r="H39" s="31" t="n">
        <x:f>'Rival Packages'!E10*'Receiver Cases'!E9</x:f>
        <x:v>0</x:v>
      </x:c>
      <x:c r="I39" s="31" t="n">
        <x:f>'Rival Packages'!G10*'Receiver Cases'!F9</x:f>
        <x:v>0</x:v>
      </x:c>
      <x:c r="J39" s="31" t="n">
        <x:f>'Rival Packages'!H10*'Receiver Cases'!G9</x:f>
        <x:v>0</x:v>
      </x:c>
      <x:c r="K39" s="31" t="n">
        <x:f>'Rival Packages'!I10*'Receiver Cases'!H9</x:f>
        <x:v>0</x:v>
      </x:c>
      <x:c r="L39" s="33" t="n">
        <x:f>D39-MAX(G39:K39)</x:f>
        <x:v>0</x:v>
      </x:c>
    </x:row>
    <x:row r="40">
      <x:c r="B40" s="31" t="str">
        <x:v>S3</x:v>
      </x:c>
      <x:c r="C40" s="31" t="str">
        <x:v>C04</x:v>
      </x:c>
      <x:c r="D40" s="31" t="n">
        <x:f>'Rival Packages'!D10*'Receiver Cases'!D10+'Rival Packages'!E10*'Receiver Cases'!E10+'Rival Packages'!F10*'Receiver Cases'!D10+'Rival Packages'!G10*'Receiver Cases'!F10+'Rival Packages'!H10*'Receiver Cases'!G10+'Rival Packages'!I10*'Receiver Cases'!H10</x:f>
        <x:v>1</x:v>
      </x:c>
      <x:c r="E40" s="31" t="n">
        <x:f>'Rival Packages'!D10*'Receiver Cases'!D10+'Rival Packages'!E10*'Receiver Cases'!E10+'Rival Packages'!G10*'Receiver Cases'!F10+'Rival Packages'!H10*'Receiver Cases'!G10</x:f>
        <x:v>0</x:v>
      </x:c>
      <x:c r="F40" s="31" t="n">
        <x:f>D40-IF(E40&gt;0,1,0)</x:f>
        <x:v>1</x:v>
      </x:c>
      <x:c r="G40" s="31" t="n">
        <x:f>('Rival Packages'!D10+'Rival Packages'!F10)*'Receiver Cases'!D10</x:f>
        <x:v>1</x:v>
      </x:c>
      <x:c r="H40" s="31" t="n">
        <x:f>'Rival Packages'!E10*'Receiver Cases'!E10</x:f>
        <x:v>0</x:v>
      </x:c>
      <x:c r="I40" s="31" t="n">
        <x:f>'Rival Packages'!G10*'Receiver Cases'!F10</x:f>
        <x:v>0</x:v>
      </x:c>
      <x:c r="J40" s="31" t="n">
        <x:f>'Rival Packages'!H10*'Receiver Cases'!G10</x:f>
        <x:v>0</x:v>
      </x:c>
      <x:c r="K40" s="31" t="n">
        <x:f>'Rival Packages'!I10*'Receiver Cases'!H10</x:f>
        <x:v>0</x:v>
      </x:c>
      <x:c r="L40" s="33" t="n">
        <x:f>D40-MAX(G40:K40)</x:f>
        <x:v>0</x:v>
      </x:c>
    </x:row>
    <x:row r="41">
      <x:c r="B41" s="31" t="str">
        <x:v>S3</x:v>
      </x:c>
      <x:c r="C41" s="31" t="str">
        <x:v>C05</x:v>
      </x:c>
      <x:c r="D41" s="31" t="n">
        <x:f>'Rival Packages'!D10*'Receiver Cases'!D11+'Rival Packages'!E10*'Receiver Cases'!E11+'Rival Packages'!F10*'Receiver Cases'!D11+'Rival Packages'!G10*'Receiver Cases'!F11+'Rival Packages'!H10*'Receiver Cases'!G11+'Rival Packages'!I10*'Receiver Cases'!H11</x:f>
        <x:v>2</x:v>
      </x:c>
      <x:c r="E41" s="31" t="n">
        <x:f>'Rival Packages'!D10*'Receiver Cases'!D11+'Rival Packages'!E10*'Receiver Cases'!E11+'Rival Packages'!G10*'Receiver Cases'!F11+'Rival Packages'!H10*'Receiver Cases'!G11</x:f>
        <x:v>1</x:v>
      </x:c>
      <x:c r="F41" s="31" t="n">
        <x:f>D41-IF(E41&gt;0,1,0)</x:f>
        <x:v>1</x:v>
      </x:c>
      <x:c r="G41" s="31" t="n">
        <x:f>('Rival Packages'!D10+'Rival Packages'!F10)*'Receiver Cases'!D11</x:f>
        <x:v>1</x:v>
      </x:c>
      <x:c r="H41" s="31" t="n">
        <x:f>'Rival Packages'!E10*'Receiver Cases'!E11</x:f>
        <x:v>0</x:v>
      </x:c>
      <x:c r="I41" s="31" t="n">
        <x:f>'Rival Packages'!G10*'Receiver Cases'!F11</x:f>
        <x:v>0</x:v>
      </x:c>
      <x:c r="J41" s="31" t="n">
        <x:f>'Rival Packages'!H10*'Receiver Cases'!G11</x:f>
        <x:v>1</x:v>
      </x:c>
      <x:c r="K41" s="31" t="n">
        <x:f>'Rival Packages'!I10*'Receiver Cases'!H11</x:f>
        <x:v>0</x:v>
      </x:c>
      <x:c r="L41" s="33" t="n">
        <x:f>D41-MAX(G41:K41)</x:f>
        <x:v>1</x:v>
      </x:c>
    </x:row>
    <x:row r="42">
      <x:c r="B42" s="31" t="str">
        <x:v>S3</x:v>
      </x:c>
      <x:c r="C42" s="31" t="str">
        <x:v>C06</x:v>
      </x:c>
      <x:c r="D42" s="31" t="n">
        <x:f>'Rival Packages'!D10*'Receiver Cases'!D12+'Rival Packages'!E10*'Receiver Cases'!E12+'Rival Packages'!F10*'Receiver Cases'!D12+'Rival Packages'!G10*'Receiver Cases'!F12+'Rival Packages'!H10*'Receiver Cases'!G12+'Rival Packages'!I10*'Receiver Cases'!H12</x:f>
        <x:v>1</x:v>
      </x:c>
      <x:c r="E42" s="31" t="n">
        <x:f>'Rival Packages'!D10*'Receiver Cases'!D12+'Rival Packages'!E10*'Receiver Cases'!E12+'Rival Packages'!G10*'Receiver Cases'!F12+'Rival Packages'!H10*'Receiver Cases'!G12</x:f>
        <x:v>0</x:v>
      </x:c>
      <x:c r="F42" s="31" t="n">
        <x:f>D42-IF(E42&gt;0,1,0)</x:f>
        <x:v>1</x:v>
      </x:c>
      <x:c r="G42" s="31" t="n">
        <x:f>('Rival Packages'!D10+'Rival Packages'!F10)*'Receiver Cases'!D12</x:f>
        <x:v>1</x:v>
      </x:c>
      <x:c r="H42" s="31" t="n">
        <x:f>'Rival Packages'!E10*'Receiver Cases'!E12</x:f>
        <x:v>0</x:v>
      </x:c>
      <x:c r="I42" s="31" t="n">
        <x:f>'Rival Packages'!G10*'Receiver Cases'!F12</x:f>
        <x:v>0</x:v>
      </x:c>
      <x:c r="J42" s="31" t="n">
        <x:f>'Rival Packages'!H10*'Receiver Cases'!G12</x:f>
        <x:v>0</x:v>
      </x:c>
      <x:c r="K42" s="31" t="n">
        <x:f>'Rival Packages'!I10*'Receiver Cases'!H12</x:f>
        <x:v>0</x:v>
      </x:c>
      <x:c r="L42" s="33" t="n">
        <x:f>D42-MAX(G42:K42)</x:f>
        <x:v>0</x:v>
      </x:c>
    </x:row>
    <x:row r="43">
      <x:c r="B43" s="31" t="str">
        <x:v>S3</x:v>
      </x:c>
      <x:c r="C43" s="31" t="str">
        <x:v>C07</x:v>
      </x:c>
      <x:c r="D43" s="31" t="n">
        <x:f>'Rival Packages'!D10*'Receiver Cases'!D13+'Rival Packages'!E10*'Receiver Cases'!E13+'Rival Packages'!F10*'Receiver Cases'!D13+'Rival Packages'!G10*'Receiver Cases'!F13+'Rival Packages'!H10*'Receiver Cases'!G13+'Rival Packages'!I10*'Receiver Cases'!H13</x:f>
        <x:v>1</x:v>
      </x:c>
      <x:c r="E43" s="31" t="n">
        <x:f>'Rival Packages'!D10*'Receiver Cases'!D13+'Rival Packages'!E10*'Receiver Cases'!E13+'Rival Packages'!G10*'Receiver Cases'!F13+'Rival Packages'!H10*'Receiver Cases'!G13</x:f>
        <x:v>0</x:v>
      </x:c>
      <x:c r="F43" s="31" t="n">
        <x:f>D43-IF(E43&gt;0,1,0)</x:f>
        <x:v>1</x:v>
      </x:c>
      <x:c r="G43" s="31" t="n">
        <x:f>('Rival Packages'!D10+'Rival Packages'!F10)*'Receiver Cases'!D13</x:f>
        <x:v>1</x:v>
      </x:c>
      <x:c r="H43" s="31" t="n">
        <x:f>'Rival Packages'!E10*'Receiver Cases'!E13</x:f>
        <x:v>0</x:v>
      </x:c>
      <x:c r="I43" s="31" t="n">
        <x:f>'Rival Packages'!G10*'Receiver Cases'!F13</x:f>
        <x:v>0</x:v>
      </x:c>
      <x:c r="J43" s="31" t="n">
        <x:f>'Rival Packages'!H10*'Receiver Cases'!G13</x:f>
        <x:v>0</x:v>
      </x:c>
      <x:c r="K43" s="31" t="n">
        <x:f>'Rival Packages'!I10*'Receiver Cases'!H13</x:f>
        <x:v>0</x:v>
      </x:c>
      <x:c r="L43" s="33" t="n">
        <x:f>D43-MAX(G43:K43)</x:f>
        <x:v>0</x:v>
      </x:c>
    </x:row>
    <x:row r="44">
      <x:c r="B44" s="31" t="str">
        <x:v>S3</x:v>
      </x:c>
      <x:c r="C44" s="31" t="str">
        <x:v>C08</x:v>
      </x:c>
      <x:c r="D44" s="31" t="n">
        <x:f>'Rival Packages'!D10*'Receiver Cases'!D14+'Rival Packages'!E10*'Receiver Cases'!E14+'Rival Packages'!F10*'Receiver Cases'!D14+'Rival Packages'!G10*'Receiver Cases'!F14+'Rival Packages'!H10*'Receiver Cases'!G14+'Rival Packages'!I10*'Receiver Cases'!H14</x:f>
        <x:v>1</x:v>
      </x:c>
      <x:c r="E44" s="31" t="n">
        <x:f>'Rival Packages'!D10*'Receiver Cases'!D14+'Rival Packages'!E10*'Receiver Cases'!E14+'Rival Packages'!G10*'Receiver Cases'!F14+'Rival Packages'!H10*'Receiver Cases'!G14</x:f>
        <x:v>0</x:v>
      </x:c>
      <x:c r="F44" s="31" t="n">
        <x:f>D44-IF(E44&gt;0,1,0)</x:f>
        <x:v>1</x:v>
      </x:c>
      <x:c r="G44" s="31" t="n">
        <x:f>('Rival Packages'!D10+'Rival Packages'!F10)*'Receiver Cases'!D14</x:f>
        <x:v>1</x:v>
      </x:c>
      <x:c r="H44" s="31" t="n">
        <x:f>'Rival Packages'!E10*'Receiver Cases'!E14</x:f>
        <x:v>0</x:v>
      </x:c>
      <x:c r="I44" s="31" t="n">
        <x:f>'Rival Packages'!G10*'Receiver Cases'!F14</x:f>
        <x:v>0</x:v>
      </x:c>
      <x:c r="J44" s="31" t="n">
        <x:f>'Rival Packages'!H10*'Receiver Cases'!G14</x:f>
        <x:v>0</x:v>
      </x:c>
      <x:c r="K44" s="31" t="n">
        <x:f>'Rival Packages'!I10*'Receiver Cases'!H14</x:f>
        <x:v>0</x:v>
      </x:c>
      <x:c r="L44" s="33" t="n">
        <x:f>D44-MAX(G44:K44)</x:f>
        <x:v>0</x:v>
      </x:c>
    </x:row>
    <x:row r="45">
      <x:c r="B45" s="31" t="str">
        <x:v>S3</x:v>
      </x:c>
      <x:c r="C45" s="31" t="str">
        <x:v>C09</x:v>
      </x:c>
      <x:c r="D45" s="31" t="n">
        <x:f>'Rival Packages'!D10*'Receiver Cases'!D15+'Rival Packages'!E10*'Receiver Cases'!E15+'Rival Packages'!F10*'Receiver Cases'!D15+'Rival Packages'!G10*'Receiver Cases'!F15+'Rival Packages'!H10*'Receiver Cases'!G15+'Rival Packages'!I10*'Receiver Cases'!H15</x:f>
        <x:v>1</x:v>
      </x:c>
      <x:c r="E45" s="31" t="n">
        <x:f>'Rival Packages'!D10*'Receiver Cases'!D15+'Rival Packages'!E10*'Receiver Cases'!E15+'Rival Packages'!G10*'Receiver Cases'!F15+'Rival Packages'!H10*'Receiver Cases'!G15</x:f>
        <x:v>0</x:v>
      </x:c>
      <x:c r="F45" s="31" t="n">
        <x:f>D45-IF(E45&gt;0,1,0)</x:f>
        <x:v>1</x:v>
      </x:c>
      <x:c r="G45" s="31" t="n">
        <x:f>('Rival Packages'!D10+'Rival Packages'!F10)*'Receiver Cases'!D15</x:f>
        <x:v>1</x:v>
      </x:c>
      <x:c r="H45" s="31" t="n">
        <x:f>'Rival Packages'!E10*'Receiver Cases'!E15</x:f>
        <x:v>0</x:v>
      </x:c>
      <x:c r="I45" s="31" t="n">
        <x:f>'Rival Packages'!G10*'Receiver Cases'!F15</x:f>
        <x:v>0</x:v>
      </x:c>
      <x:c r="J45" s="31" t="n">
        <x:f>'Rival Packages'!H10*'Receiver Cases'!G15</x:f>
        <x:v>0</x:v>
      </x:c>
      <x:c r="K45" s="31" t="n">
        <x:f>'Rival Packages'!I10*'Receiver Cases'!H15</x:f>
        <x:v>0</x:v>
      </x:c>
      <x:c r="L45" s="33" t="n">
        <x:f>D45-MAX(G45:K45)</x:f>
        <x:v>0</x:v>
      </x:c>
    </x:row>
    <x:row r="46">
      <x:c r="B46" s="31" t="str">
        <x:v>S3</x:v>
      </x:c>
      <x:c r="C46" s="31" t="str">
        <x:v>C10</x:v>
      </x:c>
      <x:c r="D46" s="31" t="n">
        <x:f>'Rival Packages'!D10*'Receiver Cases'!D16+'Rival Packages'!E10*'Receiver Cases'!E16+'Rival Packages'!F10*'Receiver Cases'!D16+'Rival Packages'!G10*'Receiver Cases'!F16+'Rival Packages'!H10*'Receiver Cases'!G16+'Rival Packages'!I10*'Receiver Cases'!H16</x:f>
        <x:v>2</x:v>
      </x:c>
      <x:c r="E46" s="31" t="n">
        <x:f>'Rival Packages'!D10*'Receiver Cases'!D16+'Rival Packages'!E10*'Receiver Cases'!E16+'Rival Packages'!G10*'Receiver Cases'!F16+'Rival Packages'!H10*'Receiver Cases'!G16</x:f>
        <x:v>1</x:v>
      </x:c>
      <x:c r="F46" s="31" t="n">
        <x:f>D46-IF(E46&gt;0,1,0)</x:f>
        <x:v>1</x:v>
      </x:c>
      <x:c r="G46" s="31" t="n">
        <x:f>('Rival Packages'!D10+'Rival Packages'!F10)*'Receiver Cases'!D16</x:f>
        <x:v>1</x:v>
      </x:c>
      <x:c r="H46" s="31" t="n">
        <x:f>'Rival Packages'!E10*'Receiver Cases'!E16</x:f>
        <x:v>0</x:v>
      </x:c>
      <x:c r="I46" s="31" t="n">
        <x:f>'Rival Packages'!G10*'Receiver Cases'!F16</x:f>
        <x:v>0</x:v>
      </x:c>
      <x:c r="J46" s="31" t="n">
        <x:f>'Rival Packages'!H10*'Receiver Cases'!G16</x:f>
        <x:v>1</x:v>
      </x:c>
      <x:c r="K46" s="31" t="n">
        <x:f>'Rival Packages'!I10*'Receiver Cases'!H16</x:f>
        <x:v>0</x:v>
      </x:c>
      <x:c r="L46" s="33" t="n">
        <x:f>D46-MAX(G46:K46)</x:f>
        <x:v>1</x:v>
      </x:c>
    </x:row>
    <x:row r="47">
      <x:c r="B47" s="31" t="str">
        <x:v>S4</x:v>
      </x:c>
      <x:c r="C47" s="31" t="str">
        <x:v>C01</x:v>
      </x:c>
      <x:c r="D47" s="31" t="n">
        <x:f>'Rival Packages'!D11*'Receiver Cases'!D7+'Rival Packages'!E11*'Receiver Cases'!E7+'Rival Packages'!F11*'Receiver Cases'!D7+'Rival Packages'!G11*'Receiver Cases'!F7+'Rival Packages'!H11*'Receiver Cases'!G7+'Rival Packages'!I11*'Receiver Cases'!H7</x:f>
        <x:v>1</x:v>
      </x:c>
      <x:c r="E47" s="31" t="n">
        <x:f>'Rival Packages'!D11*'Receiver Cases'!D7+'Rival Packages'!E11*'Receiver Cases'!E7+'Rival Packages'!G11*'Receiver Cases'!F7+'Rival Packages'!H11*'Receiver Cases'!G7</x:f>
        <x:v>1</x:v>
      </x:c>
      <x:c r="F47" s="31" t="n">
        <x:f>D47-IF(E47&gt;0,1,0)</x:f>
        <x:v>0</x:v>
      </x:c>
      <x:c r="G47" s="31" t="n">
        <x:f>('Rival Packages'!D11+'Rival Packages'!F11)*'Receiver Cases'!D7</x:f>
        <x:v>0</x:v>
      </x:c>
      <x:c r="H47" s="31" t="n">
        <x:f>'Rival Packages'!E11*'Receiver Cases'!E7</x:f>
        <x:v>1</x:v>
      </x:c>
      <x:c r="I47" s="31" t="n">
        <x:f>'Rival Packages'!G11*'Receiver Cases'!F7</x:f>
        <x:v>0</x:v>
      </x:c>
      <x:c r="J47" s="31" t="n">
        <x:f>'Rival Packages'!H11*'Receiver Cases'!G7</x:f>
        <x:v>0</x:v>
      </x:c>
      <x:c r="K47" s="31" t="n">
        <x:f>'Rival Packages'!I11*'Receiver Cases'!H7</x:f>
        <x:v>0</x:v>
      </x:c>
      <x:c r="L47" s="33" t="n">
        <x:f>D47-MAX(G47:K47)</x:f>
        <x:v>0</x:v>
      </x:c>
    </x:row>
    <x:row r="48">
      <x:c r="B48" s="31" t="str">
        <x:v>S4</x:v>
      </x:c>
      <x:c r="C48" s="31" t="str">
        <x:v>C02</x:v>
      </x:c>
      <x:c r="D48" s="31" t="n">
        <x:f>'Rival Packages'!D11*'Receiver Cases'!D8+'Rival Packages'!E11*'Receiver Cases'!E8+'Rival Packages'!F11*'Receiver Cases'!D8+'Rival Packages'!G11*'Receiver Cases'!F8+'Rival Packages'!H11*'Receiver Cases'!G8+'Rival Packages'!I11*'Receiver Cases'!H8</x:f>
        <x:v>1</x:v>
      </x:c>
      <x:c r="E48" s="31" t="n">
        <x:f>'Rival Packages'!D11*'Receiver Cases'!D8+'Rival Packages'!E11*'Receiver Cases'!E8+'Rival Packages'!G11*'Receiver Cases'!F8+'Rival Packages'!H11*'Receiver Cases'!G8</x:f>
        <x:v>1</x:v>
      </x:c>
      <x:c r="F48" s="31" t="n">
        <x:f>D48-IF(E48&gt;0,1,0)</x:f>
        <x:v>0</x:v>
      </x:c>
      <x:c r="G48" s="31" t="n">
        <x:f>('Rival Packages'!D11+'Rival Packages'!F11)*'Receiver Cases'!D8</x:f>
        <x:v>0</x:v>
      </x:c>
      <x:c r="H48" s="31" t="n">
        <x:f>'Rival Packages'!E11*'Receiver Cases'!E8</x:f>
        <x:v>1</x:v>
      </x:c>
      <x:c r="I48" s="31" t="n">
        <x:f>'Rival Packages'!G11*'Receiver Cases'!F8</x:f>
        <x:v>0</x:v>
      </x:c>
      <x:c r="J48" s="31" t="n">
        <x:f>'Rival Packages'!H11*'Receiver Cases'!G8</x:f>
        <x:v>0</x:v>
      </x:c>
      <x:c r="K48" s="31" t="n">
        <x:f>'Rival Packages'!I11*'Receiver Cases'!H8</x:f>
        <x:v>0</x:v>
      </x:c>
      <x:c r="L48" s="33" t="n">
        <x:f>D48-MAX(G48:K48)</x:f>
        <x:v>0</x:v>
      </x:c>
    </x:row>
    <x:row r="49">
      <x:c r="B49" s="31" t="str">
        <x:v>S4</x:v>
      </x:c>
      <x:c r="C49" s="31" t="str">
        <x:v>C03</x:v>
      </x:c>
      <x:c r="D49" s="31" t="n">
        <x:f>'Rival Packages'!D11*'Receiver Cases'!D9+'Rival Packages'!E11*'Receiver Cases'!E9+'Rival Packages'!F11*'Receiver Cases'!D9+'Rival Packages'!G11*'Receiver Cases'!F9+'Rival Packages'!H11*'Receiver Cases'!G9+'Rival Packages'!I11*'Receiver Cases'!H9</x:f>
        <x:v>0</x:v>
      </x:c>
      <x:c r="E49" s="31" t="n">
        <x:f>'Rival Packages'!D11*'Receiver Cases'!D9+'Rival Packages'!E11*'Receiver Cases'!E9+'Rival Packages'!G11*'Receiver Cases'!F9+'Rival Packages'!H11*'Receiver Cases'!G9</x:f>
        <x:v>0</x:v>
      </x:c>
      <x:c r="F49" s="31" t="n">
        <x:f>D49-IF(E49&gt;0,1,0)</x:f>
        <x:v>0</x:v>
      </x:c>
      <x:c r="G49" s="31" t="n">
        <x:f>('Rival Packages'!D11+'Rival Packages'!F11)*'Receiver Cases'!D9</x:f>
        <x:v>0</x:v>
      </x:c>
      <x:c r="H49" s="31" t="n">
        <x:f>'Rival Packages'!E11*'Receiver Cases'!E9</x:f>
        <x:v>0</x:v>
      </x:c>
      <x:c r="I49" s="31" t="n">
        <x:f>'Rival Packages'!G11*'Receiver Cases'!F9</x:f>
        <x:v>0</x:v>
      </x:c>
      <x:c r="J49" s="31" t="n">
        <x:f>'Rival Packages'!H11*'Receiver Cases'!G9</x:f>
        <x:v>0</x:v>
      </x:c>
      <x:c r="K49" s="31" t="n">
        <x:f>'Rival Packages'!I11*'Receiver Cases'!H9</x:f>
        <x:v>0</x:v>
      </x:c>
      <x:c r="L49" s="33" t="n">
        <x:f>D49-MAX(G49:K49)</x:f>
        <x:v>0</x:v>
      </x:c>
    </x:row>
    <x:row r="50">
      <x:c r="B50" s="31" t="str">
        <x:v>S4</x:v>
      </x:c>
      <x:c r="C50" s="31" t="str">
        <x:v>C04</x:v>
      </x:c>
      <x:c r="D50" s="31" t="n">
        <x:f>'Rival Packages'!D11*'Receiver Cases'!D10+'Rival Packages'!E11*'Receiver Cases'!E10+'Rival Packages'!F11*'Receiver Cases'!D10+'Rival Packages'!G11*'Receiver Cases'!F10+'Rival Packages'!H11*'Receiver Cases'!G10+'Rival Packages'!I11*'Receiver Cases'!H10</x:f>
        <x:v>2</x:v>
      </x:c>
      <x:c r="E50" s="31" t="n">
        <x:f>'Rival Packages'!D11*'Receiver Cases'!D10+'Rival Packages'!E11*'Receiver Cases'!E10+'Rival Packages'!G11*'Receiver Cases'!F10+'Rival Packages'!H11*'Receiver Cases'!G10</x:f>
        <x:v>2</x:v>
      </x:c>
      <x:c r="F50" s="31" t="n">
        <x:f>D50-IF(E50&gt;0,1,0)</x:f>
        <x:v>1</x:v>
      </x:c>
      <x:c r="G50" s="31" t="n">
        <x:f>('Rival Packages'!D11+'Rival Packages'!F11)*'Receiver Cases'!D10</x:f>
        <x:v>0</x:v>
      </x:c>
      <x:c r="H50" s="31" t="n">
        <x:f>'Rival Packages'!E11*'Receiver Cases'!E10</x:f>
        <x:v>1</x:v>
      </x:c>
      <x:c r="I50" s="31" t="n">
        <x:f>'Rival Packages'!G11*'Receiver Cases'!F10</x:f>
        <x:v>1</x:v>
      </x:c>
      <x:c r="J50" s="31" t="n">
        <x:f>'Rival Packages'!H11*'Receiver Cases'!G10</x:f>
        <x:v>0</x:v>
      </x:c>
      <x:c r="K50" s="31" t="n">
        <x:f>'Rival Packages'!I11*'Receiver Cases'!H10</x:f>
        <x:v>0</x:v>
      </x:c>
      <x:c r="L50" s="33" t="n">
        <x:f>D50-MAX(G50:K50)</x:f>
        <x:v>1</x:v>
      </x:c>
    </x:row>
    <x:row r="51">
      <x:c r="B51" s="31" t="str">
        <x:v>S4</x:v>
      </x:c>
      <x:c r="C51" s="31" t="str">
        <x:v>C05</x:v>
      </x:c>
      <x:c r="D51" s="31" t="n">
        <x:f>'Rival Packages'!D11*'Receiver Cases'!D11+'Rival Packages'!E11*'Receiver Cases'!E11+'Rival Packages'!F11*'Receiver Cases'!D11+'Rival Packages'!G11*'Receiver Cases'!F11+'Rival Packages'!H11*'Receiver Cases'!G11+'Rival Packages'!I11*'Receiver Cases'!H11</x:f>
        <x:v>1</x:v>
      </x:c>
      <x:c r="E51" s="31" t="n">
        <x:f>'Rival Packages'!D11*'Receiver Cases'!D11+'Rival Packages'!E11*'Receiver Cases'!E11+'Rival Packages'!G11*'Receiver Cases'!F11+'Rival Packages'!H11*'Receiver Cases'!G11</x:f>
        <x:v>1</x:v>
      </x:c>
      <x:c r="F51" s="31" t="n">
        <x:f>D51-IF(E51&gt;0,1,0)</x:f>
        <x:v>0</x:v>
      </x:c>
      <x:c r="G51" s="31" t="n">
        <x:f>('Rival Packages'!D11+'Rival Packages'!F11)*'Receiver Cases'!D11</x:f>
        <x:v>0</x:v>
      </x:c>
      <x:c r="H51" s="31" t="n">
        <x:f>'Rival Packages'!E11*'Receiver Cases'!E11</x:f>
        <x:v>1</x:v>
      </x:c>
      <x:c r="I51" s="31" t="n">
        <x:f>'Rival Packages'!G11*'Receiver Cases'!F11</x:f>
        <x:v>0</x:v>
      </x:c>
      <x:c r="J51" s="31" t="n">
        <x:f>'Rival Packages'!H11*'Receiver Cases'!G11</x:f>
        <x:v>0</x:v>
      </x:c>
      <x:c r="K51" s="31" t="n">
        <x:f>'Rival Packages'!I11*'Receiver Cases'!H11</x:f>
        <x:v>0</x:v>
      </x:c>
      <x:c r="L51" s="33" t="n">
        <x:f>D51-MAX(G51:K51)</x:f>
        <x:v>0</x:v>
      </x:c>
    </x:row>
    <x:row r="52">
      <x:c r="B52" s="31" t="str">
        <x:v>S4</x:v>
      </x:c>
      <x:c r="C52" s="31" t="str">
        <x:v>C06</x:v>
      </x:c>
      <x:c r="D52" s="31" t="n">
        <x:f>'Rival Packages'!D11*'Receiver Cases'!D12+'Rival Packages'!E11*'Receiver Cases'!E12+'Rival Packages'!F11*'Receiver Cases'!D12+'Rival Packages'!G11*'Receiver Cases'!F12+'Rival Packages'!H11*'Receiver Cases'!G12+'Rival Packages'!I11*'Receiver Cases'!H12</x:f>
        <x:v>1</x:v>
      </x:c>
      <x:c r="E52" s="31" t="n">
        <x:f>'Rival Packages'!D11*'Receiver Cases'!D12+'Rival Packages'!E11*'Receiver Cases'!E12+'Rival Packages'!G11*'Receiver Cases'!F12+'Rival Packages'!H11*'Receiver Cases'!G12</x:f>
        <x:v>1</x:v>
      </x:c>
      <x:c r="F52" s="31" t="n">
        <x:f>D52-IF(E52&gt;0,1,0)</x:f>
        <x:v>0</x:v>
      </x:c>
      <x:c r="G52" s="31" t="n">
        <x:f>('Rival Packages'!D11+'Rival Packages'!F11)*'Receiver Cases'!D12</x:f>
        <x:v>0</x:v>
      </x:c>
      <x:c r="H52" s="31" t="n">
        <x:f>'Rival Packages'!E11*'Receiver Cases'!E12</x:f>
        <x:v>1</x:v>
      </x:c>
      <x:c r="I52" s="31" t="n">
        <x:f>'Rival Packages'!G11*'Receiver Cases'!F12</x:f>
        <x:v>0</x:v>
      </x:c>
      <x:c r="J52" s="31" t="n">
        <x:f>'Rival Packages'!H11*'Receiver Cases'!G12</x:f>
        <x:v>0</x:v>
      </x:c>
      <x:c r="K52" s="31" t="n">
        <x:f>'Rival Packages'!I11*'Receiver Cases'!H12</x:f>
        <x:v>0</x:v>
      </x:c>
      <x:c r="L52" s="33" t="n">
        <x:f>D52-MAX(G52:K52)</x:f>
        <x:v>0</x:v>
      </x:c>
    </x:row>
    <x:row r="53">
      <x:c r="B53" s="31" t="str">
        <x:v>S4</x:v>
      </x:c>
      <x:c r="C53" s="31" t="str">
        <x:v>C07</x:v>
      </x:c>
      <x:c r="D53" s="31" t="n">
        <x:f>'Rival Packages'!D11*'Receiver Cases'!D13+'Rival Packages'!E11*'Receiver Cases'!E13+'Rival Packages'!F11*'Receiver Cases'!D13+'Rival Packages'!G11*'Receiver Cases'!F13+'Rival Packages'!H11*'Receiver Cases'!G13+'Rival Packages'!I11*'Receiver Cases'!H13</x:f>
        <x:v>1</x:v>
      </x:c>
      <x:c r="E53" s="31" t="n">
        <x:f>'Rival Packages'!D11*'Receiver Cases'!D13+'Rival Packages'!E11*'Receiver Cases'!E13+'Rival Packages'!G11*'Receiver Cases'!F13+'Rival Packages'!H11*'Receiver Cases'!G13</x:f>
        <x:v>1</x:v>
      </x:c>
      <x:c r="F53" s="31" t="n">
        <x:f>D53-IF(E53&gt;0,1,0)</x:f>
        <x:v>0</x:v>
      </x:c>
      <x:c r="G53" s="31" t="n">
        <x:f>('Rival Packages'!D11+'Rival Packages'!F11)*'Receiver Cases'!D13</x:f>
        <x:v>0</x:v>
      </x:c>
      <x:c r="H53" s="31" t="n">
        <x:f>'Rival Packages'!E11*'Receiver Cases'!E13</x:f>
        <x:v>1</x:v>
      </x:c>
      <x:c r="I53" s="31" t="n">
        <x:f>'Rival Packages'!G11*'Receiver Cases'!F13</x:f>
        <x:v>0</x:v>
      </x:c>
      <x:c r="J53" s="31" t="n">
        <x:f>'Rival Packages'!H11*'Receiver Cases'!G13</x:f>
        <x:v>0</x:v>
      </x:c>
      <x:c r="K53" s="31" t="n">
        <x:f>'Rival Packages'!I11*'Receiver Cases'!H13</x:f>
        <x:v>0</x:v>
      </x:c>
      <x:c r="L53" s="33" t="n">
        <x:f>D53-MAX(G53:K53)</x:f>
        <x:v>0</x:v>
      </x:c>
    </x:row>
    <x:row r="54">
      <x:c r="B54" s="31" t="str">
        <x:v>S4</x:v>
      </x:c>
      <x:c r="C54" s="31" t="str">
        <x:v>C08</x:v>
      </x:c>
      <x:c r="D54" s="31" t="n">
        <x:f>'Rival Packages'!D11*'Receiver Cases'!D14+'Rival Packages'!E11*'Receiver Cases'!E14+'Rival Packages'!F11*'Receiver Cases'!D14+'Rival Packages'!G11*'Receiver Cases'!F14+'Rival Packages'!H11*'Receiver Cases'!G14+'Rival Packages'!I11*'Receiver Cases'!H14</x:f>
        <x:v>1</x:v>
      </x:c>
      <x:c r="E54" s="31" t="n">
        <x:f>'Rival Packages'!D11*'Receiver Cases'!D14+'Rival Packages'!E11*'Receiver Cases'!E14+'Rival Packages'!G11*'Receiver Cases'!F14+'Rival Packages'!H11*'Receiver Cases'!G14</x:f>
        <x:v>1</x:v>
      </x:c>
      <x:c r="F54" s="31" t="n">
        <x:f>D54-IF(E54&gt;0,1,0)</x:f>
        <x:v>0</x:v>
      </x:c>
      <x:c r="G54" s="31" t="n">
        <x:f>('Rival Packages'!D11+'Rival Packages'!F11)*'Receiver Cases'!D14</x:f>
        <x:v>0</x:v>
      </x:c>
      <x:c r="H54" s="31" t="n">
        <x:f>'Rival Packages'!E11*'Receiver Cases'!E14</x:f>
        <x:v>1</x:v>
      </x:c>
      <x:c r="I54" s="31" t="n">
        <x:f>'Rival Packages'!G11*'Receiver Cases'!F14</x:f>
        <x:v>0</x:v>
      </x:c>
      <x:c r="J54" s="31" t="n">
        <x:f>'Rival Packages'!H11*'Receiver Cases'!G14</x:f>
        <x:v>0</x:v>
      </x:c>
      <x:c r="K54" s="31" t="n">
        <x:f>'Rival Packages'!I11*'Receiver Cases'!H14</x:f>
        <x:v>0</x:v>
      </x:c>
      <x:c r="L54" s="33" t="n">
        <x:f>D54-MAX(G54:K54)</x:f>
        <x:v>0</x:v>
      </x:c>
    </x:row>
    <x:row r="55">
      <x:c r="B55" s="31" t="str">
        <x:v>S4</x:v>
      </x:c>
      <x:c r="C55" s="31" t="str">
        <x:v>C09</x:v>
      </x:c>
      <x:c r="D55" s="31" t="n">
        <x:f>'Rival Packages'!D11*'Receiver Cases'!D15+'Rival Packages'!E11*'Receiver Cases'!E15+'Rival Packages'!F11*'Receiver Cases'!D15+'Rival Packages'!G11*'Receiver Cases'!F15+'Rival Packages'!H11*'Receiver Cases'!G15+'Rival Packages'!I11*'Receiver Cases'!H15</x:f>
        <x:v>1</x:v>
      </x:c>
      <x:c r="E55" s="31" t="n">
        <x:f>'Rival Packages'!D11*'Receiver Cases'!D15+'Rival Packages'!E11*'Receiver Cases'!E15+'Rival Packages'!G11*'Receiver Cases'!F15+'Rival Packages'!H11*'Receiver Cases'!G15</x:f>
        <x:v>1</x:v>
      </x:c>
      <x:c r="F55" s="31" t="n">
        <x:f>D55-IF(E55&gt;0,1,0)</x:f>
        <x:v>0</x:v>
      </x:c>
      <x:c r="G55" s="31" t="n">
        <x:f>('Rival Packages'!D11+'Rival Packages'!F11)*'Receiver Cases'!D15</x:f>
        <x:v>0</x:v>
      </x:c>
      <x:c r="H55" s="31" t="n">
        <x:f>'Rival Packages'!E11*'Receiver Cases'!E15</x:f>
        <x:v>1</x:v>
      </x:c>
      <x:c r="I55" s="31" t="n">
        <x:f>'Rival Packages'!G11*'Receiver Cases'!F15</x:f>
        <x:v>0</x:v>
      </x:c>
      <x:c r="J55" s="31" t="n">
        <x:f>'Rival Packages'!H11*'Receiver Cases'!G15</x:f>
        <x:v>0</x:v>
      </x:c>
      <x:c r="K55" s="31" t="n">
        <x:f>'Rival Packages'!I11*'Receiver Cases'!H15</x:f>
        <x:v>0</x:v>
      </x:c>
      <x:c r="L55" s="33" t="n">
        <x:f>D55-MAX(G55:K55)</x:f>
        <x:v>0</x:v>
      </x:c>
    </x:row>
    <x:row r="56">
      <x:c r="B56" s="31" t="str">
        <x:v>S4</x:v>
      </x:c>
      <x:c r="C56" s="31" t="str">
        <x:v>C10</x:v>
      </x:c>
      <x:c r="D56" s="31" t="n">
        <x:f>'Rival Packages'!D11*'Receiver Cases'!D16+'Rival Packages'!E11*'Receiver Cases'!E16+'Rival Packages'!F11*'Receiver Cases'!D16+'Rival Packages'!G11*'Receiver Cases'!F16+'Rival Packages'!H11*'Receiver Cases'!G16+'Rival Packages'!I11*'Receiver Cases'!H16</x:f>
        <x:v>2</x:v>
      </x:c>
      <x:c r="E56" s="31" t="n">
        <x:f>'Rival Packages'!D11*'Receiver Cases'!D16+'Rival Packages'!E11*'Receiver Cases'!E16+'Rival Packages'!G11*'Receiver Cases'!F16+'Rival Packages'!H11*'Receiver Cases'!G16</x:f>
        <x:v>2</x:v>
      </x:c>
      <x:c r="F56" s="31" t="n">
        <x:f>D56-IF(E56&gt;0,1,0)</x:f>
        <x:v>1</x:v>
      </x:c>
      <x:c r="G56" s="31" t="n">
        <x:f>('Rival Packages'!D11+'Rival Packages'!F11)*'Receiver Cases'!D16</x:f>
        <x:v>0</x:v>
      </x:c>
      <x:c r="H56" s="31" t="n">
        <x:f>'Rival Packages'!E11*'Receiver Cases'!E16</x:f>
        <x:v>1</x:v>
      </x:c>
      <x:c r="I56" s="31" t="n">
        <x:f>'Rival Packages'!G11*'Receiver Cases'!F16</x:f>
        <x:v>1</x:v>
      </x:c>
      <x:c r="J56" s="31" t="n">
        <x:f>'Rival Packages'!H11*'Receiver Cases'!G16</x:f>
        <x:v>0</x:v>
      </x:c>
      <x:c r="K56" s="31" t="n">
        <x:f>'Rival Packages'!I11*'Receiver Cases'!H16</x:f>
        <x:v>0</x:v>
      </x:c>
      <x:c r="L56" s="33" t="n">
        <x:f>D56-MAX(G56:K56)</x:f>
        <x:v>1</x:v>
      </x:c>
    </x:row>
    <x:row r="57">
      <x:c r="B57" s="31" t="str">
        <x:v>S5</x:v>
      </x:c>
      <x:c r="C57" s="31" t="str">
        <x:v>C01</x:v>
      </x:c>
      <x:c r="D57" s="31" t="n">
        <x:f>'Rival Packages'!D12*'Receiver Cases'!D7+'Rival Packages'!E12*'Receiver Cases'!E7+'Rival Packages'!F12*'Receiver Cases'!D7+'Rival Packages'!G12*'Receiver Cases'!F7+'Rival Packages'!H12*'Receiver Cases'!G7+'Rival Packages'!I12*'Receiver Cases'!H7</x:f>
        <x:v>1</x:v>
      </x:c>
      <x:c r="E57" s="31" t="n">
        <x:f>'Rival Packages'!D12*'Receiver Cases'!D7+'Rival Packages'!E12*'Receiver Cases'!E7+'Rival Packages'!G12*'Receiver Cases'!F7+'Rival Packages'!H12*'Receiver Cases'!G7</x:f>
        <x:v>1</x:v>
      </x:c>
      <x:c r="F57" s="31" t="n">
        <x:f>D57-IF(E57&gt;0,1,0)</x:f>
        <x:v>0</x:v>
      </x:c>
      <x:c r="G57" s="31" t="n">
        <x:f>('Rival Packages'!D12+'Rival Packages'!F12)*'Receiver Cases'!D7</x:f>
        <x:v>1</x:v>
      </x:c>
      <x:c r="H57" s="31" t="n">
        <x:f>'Rival Packages'!E12*'Receiver Cases'!E7</x:f>
        <x:v>0</x:v>
      </x:c>
      <x:c r="I57" s="31" t="n">
        <x:f>'Rival Packages'!G12*'Receiver Cases'!F7</x:f>
        <x:v>0</x:v>
      </x:c>
      <x:c r="J57" s="31" t="n">
        <x:f>'Rival Packages'!H12*'Receiver Cases'!G7</x:f>
        <x:v>0</x:v>
      </x:c>
      <x:c r="K57" s="31" t="n">
        <x:f>'Rival Packages'!I12*'Receiver Cases'!H7</x:f>
        <x:v>0</x:v>
      </x:c>
      <x:c r="L57" s="33" t="n">
        <x:f>D57-MAX(G57:K57)</x:f>
        <x:v>0</x:v>
      </x:c>
    </x:row>
    <x:row r="58">
      <x:c r="B58" s="31" t="str">
        <x:v>S5</x:v>
      </x:c>
      <x:c r="C58" s="31" t="str">
        <x:v>C02</x:v>
      </x:c>
      <x:c r="D58" s="31" t="n">
        <x:f>'Rival Packages'!D12*'Receiver Cases'!D8+'Rival Packages'!E12*'Receiver Cases'!E8+'Rival Packages'!F12*'Receiver Cases'!D8+'Rival Packages'!G12*'Receiver Cases'!F8+'Rival Packages'!H12*'Receiver Cases'!G8+'Rival Packages'!I12*'Receiver Cases'!H8</x:f>
        <x:v>0</x:v>
      </x:c>
      <x:c r="E58" s="31" t="n">
        <x:f>'Rival Packages'!D12*'Receiver Cases'!D8+'Rival Packages'!E12*'Receiver Cases'!E8+'Rival Packages'!G12*'Receiver Cases'!F8+'Rival Packages'!H12*'Receiver Cases'!G8</x:f>
        <x:v>0</x:v>
      </x:c>
      <x:c r="F58" s="31" t="n">
        <x:f>D58-IF(E58&gt;0,1,0)</x:f>
        <x:v>0</x:v>
      </x:c>
      <x:c r="G58" s="31" t="n">
        <x:f>('Rival Packages'!D12+'Rival Packages'!F12)*'Receiver Cases'!D8</x:f>
        <x:v>0</x:v>
      </x:c>
      <x:c r="H58" s="31" t="n">
        <x:f>'Rival Packages'!E12*'Receiver Cases'!E8</x:f>
        <x:v>0</x:v>
      </x:c>
      <x:c r="I58" s="31" t="n">
        <x:f>'Rival Packages'!G12*'Receiver Cases'!F8</x:f>
        <x:v>0</x:v>
      </x:c>
      <x:c r="J58" s="31" t="n">
        <x:f>'Rival Packages'!H12*'Receiver Cases'!G8</x:f>
        <x:v>0</x:v>
      </x:c>
      <x:c r="K58" s="31" t="n">
        <x:f>'Rival Packages'!I12*'Receiver Cases'!H8</x:f>
        <x:v>0</x:v>
      </x:c>
      <x:c r="L58" s="33" t="n">
        <x:f>D58-MAX(G58:K58)</x:f>
        <x:v>0</x:v>
      </x:c>
    </x:row>
    <x:row r="59">
      <x:c r="B59" s="31" t="str">
        <x:v>S5</x:v>
      </x:c>
      <x:c r="C59" s="31" t="str">
        <x:v>C03</x:v>
      </x:c>
      <x:c r="D59" s="31" t="n">
        <x:f>'Rival Packages'!D12*'Receiver Cases'!D9+'Rival Packages'!E12*'Receiver Cases'!E9+'Rival Packages'!F12*'Receiver Cases'!D9+'Rival Packages'!G12*'Receiver Cases'!F9+'Rival Packages'!H12*'Receiver Cases'!G9+'Rival Packages'!I12*'Receiver Cases'!H9</x:f>
        <x:v>1</x:v>
      </x:c>
      <x:c r="E59" s="31" t="n">
        <x:f>'Rival Packages'!D12*'Receiver Cases'!D9+'Rival Packages'!E12*'Receiver Cases'!E9+'Rival Packages'!G12*'Receiver Cases'!F9+'Rival Packages'!H12*'Receiver Cases'!G9</x:f>
        <x:v>1</x:v>
      </x:c>
      <x:c r="F59" s="31" t="n">
        <x:f>D59-IF(E59&gt;0,1,0)</x:f>
        <x:v>0</x:v>
      </x:c>
      <x:c r="G59" s="31" t="n">
        <x:f>('Rival Packages'!D12+'Rival Packages'!F12)*'Receiver Cases'!D9</x:f>
        <x:v>1</x:v>
      </x:c>
      <x:c r="H59" s="31" t="n">
        <x:f>'Rival Packages'!E12*'Receiver Cases'!E9</x:f>
        <x:v>0</x:v>
      </x:c>
      <x:c r="I59" s="31" t="n">
        <x:f>'Rival Packages'!G12*'Receiver Cases'!F9</x:f>
        <x:v>0</x:v>
      </x:c>
      <x:c r="J59" s="31" t="n">
        <x:f>'Rival Packages'!H12*'Receiver Cases'!G9</x:f>
        <x:v>0</x:v>
      </x:c>
      <x:c r="K59" s="31" t="n">
        <x:f>'Rival Packages'!I12*'Receiver Cases'!H9</x:f>
        <x:v>0</x:v>
      </x:c>
      <x:c r="L59" s="33" t="n">
        <x:f>D59-MAX(G59:K59)</x:f>
        <x:v>0</x:v>
      </x:c>
    </x:row>
    <x:row r="60">
      <x:c r="B60" s="31" t="str">
        <x:v>S5</x:v>
      </x:c>
      <x:c r="C60" s="31" t="str">
        <x:v>C04</x:v>
      </x:c>
      <x:c r="D60" s="31" t="n">
        <x:f>'Rival Packages'!D12*'Receiver Cases'!D10+'Rival Packages'!E12*'Receiver Cases'!E10+'Rival Packages'!F12*'Receiver Cases'!D10+'Rival Packages'!G12*'Receiver Cases'!F10+'Rival Packages'!H12*'Receiver Cases'!G10+'Rival Packages'!I12*'Receiver Cases'!H10</x:f>
        <x:v>1</x:v>
      </x:c>
      <x:c r="E60" s="31" t="n">
        <x:f>'Rival Packages'!D12*'Receiver Cases'!D10+'Rival Packages'!E12*'Receiver Cases'!E10+'Rival Packages'!G12*'Receiver Cases'!F10+'Rival Packages'!H12*'Receiver Cases'!G10</x:f>
        <x:v>1</x:v>
      </x:c>
      <x:c r="F60" s="31" t="n">
        <x:f>D60-IF(E60&gt;0,1,0)</x:f>
        <x:v>0</x:v>
      </x:c>
      <x:c r="G60" s="31" t="n">
        <x:f>('Rival Packages'!D12+'Rival Packages'!F12)*'Receiver Cases'!D10</x:f>
        <x:v>1</x:v>
      </x:c>
      <x:c r="H60" s="31" t="n">
        <x:f>'Rival Packages'!E12*'Receiver Cases'!E10</x:f>
        <x:v>0</x:v>
      </x:c>
      <x:c r="I60" s="31" t="n">
        <x:f>'Rival Packages'!G12*'Receiver Cases'!F10</x:f>
        <x:v>0</x:v>
      </x:c>
      <x:c r="J60" s="31" t="n">
        <x:f>'Rival Packages'!H12*'Receiver Cases'!G10</x:f>
        <x:v>0</x:v>
      </x:c>
      <x:c r="K60" s="31" t="n">
        <x:f>'Rival Packages'!I12*'Receiver Cases'!H10</x:f>
        <x:v>0</x:v>
      </x:c>
      <x:c r="L60" s="33" t="n">
        <x:f>D60-MAX(G60:K60)</x:f>
        <x:v>0</x:v>
      </x:c>
    </x:row>
    <x:row r="61">
      <x:c r="B61" s="31" t="str">
        <x:v>S5</x:v>
      </x:c>
      <x:c r="C61" s="31" t="str">
        <x:v>C05</x:v>
      </x:c>
      <x:c r="D61" s="31" t="n">
        <x:f>'Rival Packages'!D12*'Receiver Cases'!D11+'Rival Packages'!E12*'Receiver Cases'!E11+'Rival Packages'!F12*'Receiver Cases'!D11+'Rival Packages'!G12*'Receiver Cases'!F11+'Rival Packages'!H12*'Receiver Cases'!G11+'Rival Packages'!I12*'Receiver Cases'!H11</x:f>
        <x:v>1</x:v>
      </x:c>
      <x:c r="E61" s="31" t="n">
        <x:f>'Rival Packages'!D12*'Receiver Cases'!D11+'Rival Packages'!E12*'Receiver Cases'!E11+'Rival Packages'!G12*'Receiver Cases'!F11+'Rival Packages'!H12*'Receiver Cases'!G11</x:f>
        <x:v>1</x:v>
      </x:c>
      <x:c r="F61" s="31" t="n">
        <x:f>D61-IF(E61&gt;0,1,0)</x:f>
        <x:v>0</x:v>
      </x:c>
      <x:c r="G61" s="31" t="n">
        <x:f>('Rival Packages'!D12+'Rival Packages'!F12)*'Receiver Cases'!D11</x:f>
        <x:v>1</x:v>
      </x:c>
      <x:c r="H61" s="31" t="n">
        <x:f>'Rival Packages'!E12*'Receiver Cases'!E11</x:f>
        <x:v>0</x:v>
      </x:c>
      <x:c r="I61" s="31" t="n">
        <x:f>'Rival Packages'!G12*'Receiver Cases'!F11</x:f>
        <x:v>0</x:v>
      </x:c>
      <x:c r="J61" s="31" t="n">
        <x:f>'Rival Packages'!H12*'Receiver Cases'!G11</x:f>
        <x:v>0</x:v>
      </x:c>
      <x:c r="K61" s="31" t="n">
        <x:f>'Rival Packages'!I12*'Receiver Cases'!H11</x:f>
        <x:v>0</x:v>
      </x:c>
      <x:c r="L61" s="33" t="n">
        <x:f>D61-MAX(G61:K61)</x:f>
        <x:v>0</x:v>
      </x:c>
    </x:row>
    <x:row r="62">
      <x:c r="B62" s="31" t="str">
        <x:v>S5</x:v>
      </x:c>
      <x:c r="C62" s="31" t="str">
        <x:v>C06</x:v>
      </x:c>
      <x:c r="D62" s="31" t="n">
        <x:f>'Rival Packages'!D12*'Receiver Cases'!D12+'Rival Packages'!E12*'Receiver Cases'!E12+'Rival Packages'!F12*'Receiver Cases'!D12+'Rival Packages'!G12*'Receiver Cases'!F12+'Rival Packages'!H12*'Receiver Cases'!G12+'Rival Packages'!I12*'Receiver Cases'!H12</x:f>
        <x:v>2</x:v>
      </x:c>
      <x:c r="E62" s="31" t="n">
        <x:f>'Rival Packages'!D12*'Receiver Cases'!D12+'Rival Packages'!E12*'Receiver Cases'!E12+'Rival Packages'!G12*'Receiver Cases'!F12+'Rival Packages'!H12*'Receiver Cases'!G12</x:f>
        <x:v>1</x:v>
      </x:c>
      <x:c r="F62" s="31" t="n">
        <x:f>D62-IF(E62&gt;0,1,0)</x:f>
        <x:v>1</x:v>
      </x:c>
      <x:c r="G62" s="31" t="n">
        <x:f>('Rival Packages'!D12+'Rival Packages'!F12)*'Receiver Cases'!D12</x:f>
        <x:v>1</x:v>
      </x:c>
      <x:c r="H62" s="31" t="n">
        <x:f>'Rival Packages'!E12*'Receiver Cases'!E12</x:f>
        <x:v>0</x:v>
      </x:c>
      <x:c r="I62" s="31" t="n">
        <x:f>'Rival Packages'!G12*'Receiver Cases'!F12</x:f>
        <x:v>0</x:v>
      </x:c>
      <x:c r="J62" s="31" t="n">
        <x:f>'Rival Packages'!H12*'Receiver Cases'!G12</x:f>
        <x:v>0</x:v>
      </x:c>
      <x:c r="K62" s="31" t="n">
        <x:f>'Rival Packages'!I12*'Receiver Cases'!H12</x:f>
        <x:v>1</x:v>
      </x:c>
      <x:c r="L62" s="33" t="n">
        <x:f>D62-MAX(G62:K62)</x:f>
        <x:v>1</x:v>
      </x:c>
    </x:row>
    <x:row r="63">
      <x:c r="B63" s="31" t="str">
        <x:v>S5</x:v>
      </x:c>
      <x:c r="C63" s="31" t="str">
        <x:v>C07</x:v>
      </x:c>
      <x:c r="D63" s="31" t="n">
        <x:f>'Rival Packages'!D12*'Receiver Cases'!D13+'Rival Packages'!E12*'Receiver Cases'!E13+'Rival Packages'!F12*'Receiver Cases'!D13+'Rival Packages'!G12*'Receiver Cases'!F13+'Rival Packages'!H12*'Receiver Cases'!G13+'Rival Packages'!I12*'Receiver Cases'!H13</x:f>
        <x:v>1</x:v>
      </x:c>
      <x:c r="E63" s="31" t="n">
        <x:f>'Rival Packages'!D12*'Receiver Cases'!D13+'Rival Packages'!E12*'Receiver Cases'!E13+'Rival Packages'!G12*'Receiver Cases'!F13+'Rival Packages'!H12*'Receiver Cases'!G13</x:f>
        <x:v>1</x:v>
      </x:c>
      <x:c r="F63" s="31" t="n">
        <x:f>D63-IF(E63&gt;0,1,0)</x:f>
        <x:v>0</x:v>
      </x:c>
      <x:c r="G63" s="31" t="n">
        <x:f>('Rival Packages'!D12+'Rival Packages'!F12)*'Receiver Cases'!D13</x:f>
        <x:v>1</x:v>
      </x:c>
      <x:c r="H63" s="31" t="n">
        <x:f>'Rival Packages'!E12*'Receiver Cases'!E13</x:f>
        <x:v>0</x:v>
      </x:c>
      <x:c r="I63" s="31" t="n">
        <x:f>'Rival Packages'!G12*'Receiver Cases'!F13</x:f>
        <x:v>0</x:v>
      </x:c>
      <x:c r="J63" s="31" t="n">
        <x:f>'Rival Packages'!H12*'Receiver Cases'!G13</x:f>
        <x:v>0</x:v>
      </x:c>
      <x:c r="K63" s="31" t="n">
        <x:f>'Rival Packages'!I12*'Receiver Cases'!H13</x:f>
        <x:v>0</x:v>
      </x:c>
      <x:c r="L63" s="33" t="n">
        <x:f>D63-MAX(G63:K63)</x:f>
        <x:v>0</x:v>
      </x:c>
    </x:row>
    <x:row r="64">
      <x:c r="B64" s="31" t="str">
        <x:v>S5</x:v>
      </x:c>
      <x:c r="C64" s="31" t="str">
        <x:v>C08</x:v>
      </x:c>
      <x:c r="D64" s="31" t="n">
        <x:f>'Rival Packages'!D12*'Receiver Cases'!D14+'Rival Packages'!E12*'Receiver Cases'!E14+'Rival Packages'!F12*'Receiver Cases'!D14+'Rival Packages'!G12*'Receiver Cases'!F14+'Rival Packages'!H12*'Receiver Cases'!G14+'Rival Packages'!I12*'Receiver Cases'!H14</x:f>
        <x:v>1</x:v>
      </x:c>
      <x:c r="E64" s="31" t="n">
        <x:f>'Rival Packages'!D12*'Receiver Cases'!D14+'Rival Packages'!E12*'Receiver Cases'!E14+'Rival Packages'!G12*'Receiver Cases'!F14+'Rival Packages'!H12*'Receiver Cases'!G14</x:f>
        <x:v>1</x:v>
      </x:c>
      <x:c r="F64" s="31" t="n">
        <x:f>D64-IF(E64&gt;0,1,0)</x:f>
        <x:v>0</x:v>
      </x:c>
      <x:c r="G64" s="31" t="n">
        <x:f>('Rival Packages'!D12+'Rival Packages'!F12)*'Receiver Cases'!D14</x:f>
        <x:v>1</x:v>
      </x:c>
      <x:c r="H64" s="31" t="n">
        <x:f>'Rival Packages'!E12*'Receiver Cases'!E14</x:f>
        <x:v>0</x:v>
      </x:c>
      <x:c r="I64" s="31" t="n">
        <x:f>'Rival Packages'!G12*'Receiver Cases'!F14</x:f>
        <x:v>0</x:v>
      </x:c>
      <x:c r="J64" s="31" t="n">
        <x:f>'Rival Packages'!H12*'Receiver Cases'!G14</x:f>
        <x:v>0</x:v>
      </x:c>
      <x:c r="K64" s="31" t="n">
        <x:f>'Rival Packages'!I12*'Receiver Cases'!H14</x:f>
        <x:v>0</x:v>
      </x:c>
      <x:c r="L64" s="33" t="n">
        <x:f>D64-MAX(G64:K64)</x:f>
        <x:v>0</x:v>
      </x:c>
    </x:row>
    <x:row r="65">
      <x:c r="B65" s="31" t="str">
        <x:v>S5</x:v>
      </x:c>
      <x:c r="C65" s="31" t="str">
        <x:v>C09</x:v>
      </x:c>
      <x:c r="D65" s="31" t="n">
        <x:f>'Rival Packages'!D12*'Receiver Cases'!D15+'Rival Packages'!E12*'Receiver Cases'!E15+'Rival Packages'!F12*'Receiver Cases'!D15+'Rival Packages'!G12*'Receiver Cases'!F15+'Rival Packages'!H12*'Receiver Cases'!G15+'Rival Packages'!I12*'Receiver Cases'!H15</x:f>
        <x:v>1</x:v>
      </x:c>
      <x:c r="E65" s="31" t="n">
        <x:f>'Rival Packages'!D12*'Receiver Cases'!D15+'Rival Packages'!E12*'Receiver Cases'!E15+'Rival Packages'!G12*'Receiver Cases'!F15+'Rival Packages'!H12*'Receiver Cases'!G15</x:f>
        <x:v>1</x:v>
      </x:c>
      <x:c r="F65" s="31" t="n">
        <x:f>D65-IF(E65&gt;0,1,0)</x:f>
        <x:v>0</x:v>
      </x:c>
      <x:c r="G65" s="31" t="n">
        <x:f>('Rival Packages'!D12+'Rival Packages'!F12)*'Receiver Cases'!D15</x:f>
        <x:v>1</x:v>
      </x:c>
      <x:c r="H65" s="31" t="n">
        <x:f>'Rival Packages'!E12*'Receiver Cases'!E15</x:f>
        <x:v>0</x:v>
      </x:c>
      <x:c r="I65" s="31" t="n">
        <x:f>'Rival Packages'!G12*'Receiver Cases'!F15</x:f>
        <x:v>0</x:v>
      </x:c>
      <x:c r="J65" s="31" t="n">
        <x:f>'Rival Packages'!H12*'Receiver Cases'!G15</x:f>
        <x:v>0</x:v>
      </x:c>
      <x:c r="K65" s="31" t="n">
        <x:f>'Rival Packages'!I12*'Receiver Cases'!H15</x:f>
        <x:v>0</x:v>
      </x:c>
      <x:c r="L65" s="33" t="n">
        <x:f>D65-MAX(G65:K65)</x:f>
        <x:v>0</x:v>
      </x:c>
    </x:row>
    <x:row r="66">
      <x:c r="B66" s="31" t="str">
        <x:v>S5</x:v>
      </x:c>
      <x:c r="C66" s="31" t="str">
        <x:v>C10</x:v>
      </x:c>
      <x:c r="D66" s="31" t="n">
        <x:f>'Rival Packages'!D12*'Receiver Cases'!D16+'Rival Packages'!E12*'Receiver Cases'!E16+'Rival Packages'!F12*'Receiver Cases'!D16+'Rival Packages'!G12*'Receiver Cases'!F16+'Rival Packages'!H12*'Receiver Cases'!G16+'Rival Packages'!I12*'Receiver Cases'!H16</x:f>
        <x:v>2</x:v>
      </x:c>
      <x:c r="E66" s="31" t="n">
        <x:f>'Rival Packages'!D12*'Receiver Cases'!D16+'Rival Packages'!E12*'Receiver Cases'!E16+'Rival Packages'!G12*'Receiver Cases'!F16+'Rival Packages'!H12*'Receiver Cases'!G16</x:f>
        <x:v>1</x:v>
      </x:c>
      <x:c r="F66" s="31" t="n">
        <x:f>D66-IF(E66&gt;0,1,0)</x:f>
        <x:v>1</x:v>
      </x:c>
      <x:c r="G66" s="31" t="n">
        <x:f>('Rival Packages'!D12+'Rival Packages'!F12)*'Receiver Cases'!D16</x:f>
        <x:v>1</x:v>
      </x:c>
      <x:c r="H66" s="31" t="n">
        <x:f>'Rival Packages'!E12*'Receiver Cases'!E16</x:f>
        <x:v>0</x:v>
      </x:c>
      <x:c r="I66" s="31" t="n">
        <x:f>'Rival Packages'!G12*'Receiver Cases'!F16</x:f>
        <x:v>0</x:v>
      </x:c>
      <x:c r="J66" s="31" t="n">
        <x:f>'Rival Packages'!H12*'Receiver Cases'!G16</x:f>
        <x:v>0</x:v>
      </x:c>
      <x:c r="K66" s="31" t="n">
        <x:f>'Rival Packages'!I12*'Receiver Cases'!H16</x:f>
        <x:v>1</x:v>
      </x:c>
      <x:c r="L66" s="33" t="n">
        <x:f>D66-MAX(G66:K66)</x:f>
        <x:v>1</x:v>
      </x:c>
    </x:row>
    <x:row r="67">
      <x:c r="B67" s="31" t="str">
        <x:v>S6</x:v>
      </x:c>
      <x:c r="C67" s="31" t="str">
        <x:v>C01</x:v>
      </x:c>
      <x:c r="D67" s="31" t="n">
        <x:f>'Rival Packages'!D13*'Receiver Cases'!D7+'Rival Packages'!E13*'Receiver Cases'!E7+'Rival Packages'!F13*'Receiver Cases'!D7+'Rival Packages'!G13*'Receiver Cases'!F7+'Rival Packages'!H13*'Receiver Cases'!G7+'Rival Packages'!I13*'Receiver Cases'!H7</x:f>
        <x:v>2</x:v>
      </x:c>
      <x:c r="E67" s="31" t="n">
        <x:f>'Rival Packages'!D13*'Receiver Cases'!D7+'Rival Packages'!E13*'Receiver Cases'!E7+'Rival Packages'!G13*'Receiver Cases'!F7+'Rival Packages'!H13*'Receiver Cases'!G7</x:f>
        <x:v>0</x:v>
      </x:c>
      <x:c r="F67" s="31" t="n">
        <x:f>D67-IF(E67&gt;0,1,0)</x:f>
        <x:v>2</x:v>
      </x:c>
      <x:c r="G67" s="31" t="n">
        <x:f>('Rival Packages'!D13+'Rival Packages'!F13)*'Receiver Cases'!D7</x:f>
        <x:v>2</x:v>
      </x:c>
      <x:c r="H67" s="31" t="n">
        <x:f>'Rival Packages'!E13*'Receiver Cases'!E7</x:f>
        <x:v>0</x:v>
      </x:c>
      <x:c r="I67" s="31" t="n">
        <x:f>'Rival Packages'!G13*'Receiver Cases'!F7</x:f>
        <x:v>0</x:v>
      </x:c>
      <x:c r="J67" s="31" t="n">
        <x:f>'Rival Packages'!H13*'Receiver Cases'!G7</x:f>
        <x:v>0</x:v>
      </x:c>
      <x:c r="K67" s="31" t="n">
        <x:f>'Rival Packages'!I13*'Receiver Cases'!H7</x:f>
        <x:v>0</x:v>
      </x:c>
      <x:c r="L67" s="33" t="n">
        <x:f>D67-MAX(G67:K67)</x:f>
        <x:v>0</x:v>
      </x:c>
    </x:row>
    <x:row r="68">
      <x:c r="B68" s="31" t="str">
        <x:v>S6</x:v>
      </x:c>
      <x:c r="C68" s="31" t="str">
        <x:v>C02</x:v>
      </x:c>
      <x:c r="D68" s="31" t="n">
        <x:f>'Rival Packages'!D13*'Receiver Cases'!D8+'Rival Packages'!E13*'Receiver Cases'!E8+'Rival Packages'!F13*'Receiver Cases'!D8+'Rival Packages'!G13*'Receiver Cases'!F8+'Rival Packages'!H13*'Receiver Cases'!G8+'Rival Packages'!I13*'Receiver Cases'!H8</x:f>
        <x:v>0</x:v>
      </x:c>
      <x:c r="E68" s="31" t="n">
        <x:f>'Rival Packages'!D13*'Receiver Cases'!D8+'Rival Packages'!E13*'Receiver Cases'!E8+'Rival Packages'!G13*'Receiver Cases'!F8+'Rival Packages'!H13*'Receiver Cases'!G8</x:f>
        <x:v>0</x:v>
      </x:c>
      <x:c r="F68" s="31" t="n">
        <x:f>D68-IF(E68&gt;0,1,0)</x:f>
        <x:v>0</x:v>
      </x:c>
      <x:c r="G68" s="31" t="n">
        <x:f>('Rival Packages'!D13+'Rival Packages'!F13)*'Receiver Cases'!D8</x:f>
        <x:v>0</x:v>
      </x:c>
      <x:c r="H68" s="31" t="n">
        <x:f>'Rival Packages'!E13*'Receiver Cases'!E8</x:f>
        <x:v>0</x:v>
      </x:c>
      <x:c r="I68" s="31" t="n">
        <x:f>'Rival Packages'!G13*'Receiver Cases'!F8</x:f>
        <x:v>0</x:v>
      </x:c>
      <x:c r="J68" s="31" t="n">
        <x:f>'Rival Packages'!H13*'Receiver Cases'!G8</x:f>
        <x:v>0</x:v>
      </x:c>
      <x:c r="K68" s="31" t="n">
        <x:f>'Rival Packages'!I13*'Receiver Cases'!H8</x:f>
        <x:v>0</x:v>
      </x:c>
      <x:c r="L68" s="33" t="n">
        <x:f>D68-MAX(G68:K68)</x:f>
        <x:v>0</x:v>
      </x:c>
    </x:row>
    <x:row r="69">
      <x:c r="B69" s="31" t="str">
        <x:v>S6</x:v>
      </x:c>
      <x:c r="C69" s="31" t="str">
        <x:v>C03</x:v>
      </x:c>
      <x:c r="D69" s="31" t="n">
        <x:f>'Rival Packages'!D13*'Receiver Cases'!D9+'Rival Packages'!E13*'Receiver Cases'!E9+'Rival Packages'!F13*'Receiver Cases'!D9+'Rival Packages'!G13*'Receiver Cases'!F9+'Rival Packages'!H13*'Receiver Cases'!G9+'Rival Packages'!I13*'Receiver Cases'!H9</x:f>
        <x:v>2</x:v>
      </x:c>
      <x:c r="E69" s="31" t="n">
        <x:f>'Rival Packages'!D13*'Receiver Cases'!D9+'Rival Packages'!E13*'Receiver Cases'!E9+'Rival Packages'!G13*'Receiver Cases'!F9+'Rival Packages'!H13*'Receiver Cases'!G9</x:f>
        <x:v>0</x:v>
      </x:c>
      <x:c r="F69" s="31" t="n">
        <x:f>D69-IF(E69&gt;0,1,0)</x:f>
        <x:v>2</x:v>
      </x:c>
      <x:c r="G69" s="31" t="n">
        <x:f>('Rival Packages'!D13+'Rival Packages'!F13)*'Receiver Cases'!D9</x:f>
        <x:v>2</x:v>
      </x:c>
      <x:c r="H69" s="31" t="n">
        <x:f>'Rival Packages'!E13*'Receiver Cases'!E9</x:f>
        <x:v>0</x:v>
      </x:c>
      <x:c r="I69" s="31" t="n">
        <x:f>'Rival Packages'!G13*'Receiver Cases'!F9</x:f>
        <x:v>0</x:v>
      </x:c>
      <x:c r="J69" s="31" t="n">
        <x:f>'Rival Packages'!H13*'Receiver Cases'!G9</x:f>
        <x:v>0</x:v>
      </x:c>
      <x:c r="K69" s="31" t="n">
        <x:f>'Rival Packages'!I13*'Receiver Cases'!H9</x:f>
        <x:v>0</x:v>
      </x:c>
      <x:c r="L69" s="33" t="n">
        <x:f>D69-MAX(G69:K69)</x:f>
        <x:v>0</x:v>
      </x:c>
    </x:row>
    <x:row r="70">
      <x:c r="B70" s="31" t="str">
        <x:v>S6</x:v>
      </x:c>
      <x:c r="C70" s="31" t="str">
        <x:v>C04</x:v>
      </x:c>
      <x:c r="D70" s="31" t="n">
        <x:f>'Rival Packages'!D13*'Receiver Cases'!D10+'Rival Packages'!E13*'Receiver Cases'!E10+'Rival Packages'!F13*'Receiver Cases'!D10+'Rival Packages'!G13*'Receiver Cases'!F10+'Rival Packages'!H13*'Receiver Cases'!G10+'Rival Packages'!I13*'Receiver Cases'!H10</x:f>
        <x:v>2</x:v>
      </x:c>
      <x:c r="E70" s="31" t="n">
        <x:f>'Rival Packages'!D13*'Receiver Cases'!D10+'Rival Packages'!E13*'Receiver Cases'!E10+'Rival Packages'!G13*'Receiver Cases'!F10+'Rival Packages'!H13*'Receiver Cases'!G10</x:f>
        <x:v>0</x:v>
      </x:c>
      <x:c r="F70" s="31" t="n">
        <x:f>D70-IF(E70&gt;0,1,0)</x:f>
        <x:v>2</x:v>
      </x:c>
      <x:c r="G70" s="31" t="n">
        <x:f>('Rival Packages'!D13+'Rival Packages'!F13)*'Receiver Cases'!D10</x:f>
        <x:v>2</x:v>
      </x:c>
      <x:c r="H70" s="31" t="n">
        <x:f>'Rival Packages'!E13*'Receiver Cases'!E10</x:f>
        <x:v>0</x:v>
      </x:c>
      <x:c r="I70" s="31" t="n">
        <x:f>'Rival Packages'!G13*'Receiver Cases'!F10</x:f>
        <x:v>0</x:v>
      </x:c>
      <x:c r="J70" s="31" t="n">
        <x:f>'Rival Packages'!H13*'Receiver Cases'!G10</x:f>
        <x:v>0</x:v>
      </x:c>
      <x:c r="K70" s="31" t="n">
        <x:f>'Rival Packages'!I13*'Receiver Cases'!H10</x:f>
        <x:v>0</x:v>
      </x:c>
      <x:c r="L70" s="33" t="n">
        <x:f>D70-MAX(G70:K70)</x:f>
        <x:v>0</x:v>
      </x:c>
    </x:row>
    <x:row r="71">
      <x:c r="B71" s="31" t="str">
        <x:v>S6</x:v>
      </x:c>
      <x:c r="C71" s="31" t="str">
        <x:v>C05</x:v>
      </x:c>
      <x:c r="D71" s="31" t="n">
        <x:f>'Rival Packages'!D13*'Receiver Cases'!D11+'Rival Packages'!E13*'Receiver Cases'!E11+'Rival Packages'!F13*'Receiver Cases'!D11+'Rival Packages'!G13*'Receiver Cases'!F11+'Rival Packages'!H13*'Receiver Cases'!G11+'Rival Packages'!I13*'Receiver Cases'!H11</x:f>
        <x:v>2</x:v>
      </x:c>
      <x:c r="E71" s="31" t="n">
        <x:f>'Rival Packages'!D13*'Receiver Cases'!D11+'Rival Packages'!E13*'Receiver Cases'!E11+'Rival Packages'!G13*'Receiver Cases'!F11+'Rival Packages'!H13*'Receiver Cases'!G11</x:f>
        <x:v>0</x:v>
      </x:c>
      <x:c r="F71" s="31" t="n">
        <x:f>D71-IF(E71&gt;0,1,0)</x:f>
        <x:v>2</x:v>
      </x:c>
      <x:c r="G71" s="31" t="n">
        <x:f>('Rival Packages'!D13+'Rival Packages'!F13)*'Receiver Cases'!D11</x:f>
        <x:v>2</x:v>
      </x:c>
      <x:c r="H71" s="31" t="n">
        <x:f>'Rival Packages'!E13*'Receiver Cases'!E11</x:f>
        <x:v>0</x:v>
      </x:c>
      <x:c r="I71" s="31" t="n">
        <x:f>'Rival Packages'!G13*'Receiver Cases'!F11</x:f>
        <x:v>0</x:v>
      </x:c>
      <x:c r="J71" s="31" t="n">
        <x:f>'Rival Packages'!H13*'Receiver Cases'!G11</x:f>
        <x:v>0</x:v>
      </x:c>
      <x:c r="K71" s="31" t="n">
        <x:f>'Rival Packages'!I13*'Receiver Cases'!H11</x:f>
        <x:v>0</x:v>
      </x:c>
      <x:c r="L71" s="33" t="n">
        <x:f>D71-MAX(G71:K71)</x:f>
        <x:v>0</x:v>
      </x:c>
    </x:row>
    <x:row r="72">
      <x:c r="B72" s="31" t="str">
        <x:v>S6</x:v>
      </x:c>
      <x:c r="C72" s="31" t="str">
        <x:v>C06</x:v>
      </x:c>
      <x:c r="D72" s="31" t="n">
        <x:f>'Rival Packages'!D13*'Receiver Cases'!D12+'Rival Packages'!E13*'Receiver Cases'!E12+'Rival Packages'!F13*'Receiver Cases'!D12+'Rival Packages'!G13*'Receiver Cases'!F12+'Rival Packages'!H13*'Receiver Cases'!G12+'Rival Packages'!I13*'Receiver Cases'!H12</x:f>
        <x:v>2</x:v>
      </x:c>
      <x:c r="E72" s="31" t="n">
        <x:f>'Rival Packages'!D13*'Receiver Cases'!D12+'Rival Packages'!E13*'Receiver Cases'!E12+'Rival Packages'!G13*'Receiver Cases'!F12+'Rival Packages'!H13*'Receiver Cases'!G12</x:f>
        <x:v>0</x:v>
      </x:c>
      <x:c r="F72" s="31" t="n">
        <x:f>D72-IF(E72&gt;0,1,0)</x:f>
        <x:v>2</x:v>
      </x:c>
      <x:c r="G72" s="31" t="n">
        <x:f>('Rival Packages'!D13+'Rival Packages'!F13)*'Receiver Cases'!D12</x:f>
        <x:v>2</x:v>
      </x:c>
      <x:c r="H72" s="31" t="n">
        <x:f>'Rival Packages'!E13*'Receiver Cases'!E12</x:f>
        <x:v>0</x:v>
      </x:c>
      <x:c r="I72" s="31" t="n">
        <x:f>'Rival Packages'!G13*'Receiver Cases'!F12</x:f>
        <x:v>0</x:v>
      </x:c>
      <x:c r="J72" s="31" t="n">
        <x:f>'Rival Packages'!H13*'Receiver Cases'!G12</x:f>
        <x:v>0</x:v>
      </x:c>
      <x:c r="K72" s="31" t="n">
        <x:f>'Rival Packages'!I13*'Receiver Cases'!H12</x:f>
        <x:v>0</x:v>
      </x:c>
      <x:c r="L72" s="33" t="n">
        <x:f>D72-MAX(G72:K72)</x:f>
        <x:v>0</x:v>
      </x:c>
    </x:row>
    <x:row r="73">
      <x:c r="B73" s="31" t="str">
        <x:v>S6</x:v>
      </x:c>
      <x:c r="C73" s="31" t="str">
        <x:v>C07</x:v>
      </x:c>
      <x:c r="D73" s="31" t="n">
        <x:f>'Rival Packages'!D13*'Receiver Cases'!D13+'Rival Packages'!E13*'Receiver Cases'!E13+'Rival Packages'!F13*'Receiver Cases'!D13+'Rival Packages'!G13*'Receiver Cases'!F13+'Rival Packages'!H13*'Receiver Cases'!G13+'Rival Packages'!I13*'Receiver Cases'!H13</x:f>
        <x:v>2</x:v>
      </x:c>
      <x:c r="E73" s="31" t="n">
        <x:f>'Rival Packages'!D13*'Receiver Cases'!D13+'Rival Packages'!E13*'Receiver Cases'!E13+'Rival Packages'!G13*'Receiver Cases'!F13+'Rival Packages'!H13*'Receiver Cases'!G13</x:f>
        <x:v>0</x:v>
      </x:c>
      <x:c r="F73" s="31" t="n">
        <x:f>D73-IF(E73&gt;0,1,0)</x:f>
        <x:v>2</x:v>
      </x:c>
      <x:c r="G73" s="31" t="n">
        <x:f>('Rival Packages'!D13+'Rival Packages'!F13)*'Receiver Cases'!D13</x:f>
        <x:v>2</x:v>
      </x:c>
      <x:c r="H73" s="31" t="n">
        <x:f>'Rival Packages'!E13*'Receiver Cases'!E13</x:f>
        <x:v>0</x:v>
      </x:c>
      <x:c r="I73" s="31" t="n">
        <x:f>'Rival Packages'!G13*'Receiver Cases'!F13</x:f>
        <x:v>0</x:v>
      </x:c>
      <x:c r="J73" s="31" t="n">
        <x:f>'Rival Packages'!H13*'Receiver Cases'!G13</x:f>
        <x:v>0</x:v>
      </x:c>
      <x:c r="K73" s="31" t="n">
        <x:f>'Rival Packages'!I13*'Receiver Cases'!H13</x:f>
        <x:v>0</x:v>
      </x:c>
      <x:c r="L73" s="33" t="n">
        <x:f>D73-MAX(G73:K73)</x:f>
        <x:v>0</x:v>
      </x:c>
    </x:row>
    <x:row r="74">
      <x:c r="B74" s="31" t="str">
        <x:v>S6</x:v>
      </x:c>
      <x:c r="C74" s="31" t="str">
        <x:v>C08</x:v>
      </x:c>
      <x:c r="D74" s="31" t="n">
        <x:f>'Rival Packages'!D13*'Receiver Cases'!D14+'Rival Packages'!E13*'Receiver Cases'!E14+'Rival Packages'!F13*'Receiver Cases'!D14+'Rival Packages'!G13*'Receiver Cases'!F14+'Rival Packages'!H13*'Receiver Cases'!G14+'Rival Packages'!I13*'Receiver Cases'!H14</x:f>
        <x:v>2</x:v>
      </x:c>
      <x:c r="E74" s="31" t="n">
        <x:f>'Rival Packages'!D13*'Receiver Cases'!D14+'Rival Packages'!E13*'Receiver Cases'!E14+'Rival Packages'!G13*'Receiver Cases'!F14+'Rival Packages'!H13*'Receiver Cases'!G14</x:f>
        <x:v>0</x:v>
      </x:c>
      <x:c r="F74" s="31" t="n">
        <x:f>D74-IF(E74&gt;0,1,0)</x:f>
        <x:v>2</x:v>
      </x:c>
      <x:c r="G74" s="31" t="n">
        <x:f>('Rival Packages'!D13+'Rival Packages'!F13)*'Receiver Cases'!D14</x:f>
        <x:v>2</x:v>
      </x:c>
      <x:c r="H74" s="31" t="n">
        <x:f>'Rival Packages'!E13*'Receiver Cases'!E14</x:f>
        <x:v>0</x:v>
      </x:c>
      <x:c r="I74" s="31" t="n">
        <x:f>'Rival Packages'!G13*'Receiver Cases'!F14</x:f>
        <x:v>0</x:v>
      </x:c>
      <x:c r="J74" s="31" t="n">
        <x:f>'Rival Packages'!H13*'Receiver Cases'!G14</x:f>
        <x:v>0</x:v>
      </x:c>
      <x:c r="K74" s="31" t="n">
        <x:f>'Rival Packages'!I13*'Receiver Cases'!H14</x:f>
        <x:v>0</x:v>
      </x:c>
      <x:c r="L74" s="33" t="n">
        <x:f>D74-MAX(G74:K74)</x:f>
        <x:v>0</x:v>
      </x:c>
    </x:row>
    <x:row r="75">
      <x:c r="B75" s="31" t="str">
        <x:v>S6</x:v>
      </x:c>
      <x:c r="C75" s="31" t="str">
        <x:v>C09</x:v>
      </x:c>
      <x:c r="D75" s="31" t="n">
        <x:f>'Rival Packages'!D13*'Receiver Cases'!D15+'Rival Packages'!E13*'Receiver Cases'!E15+'Rival Packages'!F13*'Receiver Cases'!D15+'Rival Packages'!G13*'Receiver Cases'!F15+'Rival Packages'!H13*'Receiver Cases'!G15+'Rival Packages'!I13*'Receiver Cases'!H15</x:f>
        <x:v>2</x:v>
      </x:c>
      <x:c r="E75" s="31" t="n">
        <x:f>'Rival Packages'!D13*'Receiver Cases'!D15+'Rival Packages'!E13*'Receiver Cases'!E15+'Rival Packages'!G13*'Receiver Cases'!F15+'Rival Packages'!H13*'Receiver Cases'!G15</x:f>
        <x:v>0</x:v>
      </x:c>
      <x:c r="F75" s="31" t="n">
        <x:f>D75-IF(E75&gt;0,1,0)</x:f>
        <x:v>2</x:v>
      </x:c>
      <x:c r="G75" s="31" t="n">
        <x:f>('Rival Packages'!D13+'Rival Packages'!F13)*'Receiver Cases'!D15</x:f>
        <x:v>2</x:v>
      </x:c>
      <x:c r="H75" s="31" t="n">
        <x:f>'Rival Packages'!E13*'Receiver Cases'!E15</x:f>
        <x:v>0</x:v>
      </x:c>
      <x:c r="I75" s="31" t="n">
        <x:f>'Rival Packages'!G13*'Receiver Cases'!F15</x:f>
        <x:v>0</x:v>
      </x:c>
      <x:c r="J75" s="31" t="n">
        <x:f>'Rival Packages'!H13*'Receiver Cases'!G15</x:f>
        <x:v>0</x:v>
      </x:c>
      <x:c r="K75" s="31" t="n">
        <x:f>'Rival Packages'!I13*'Receiver Cases'!H15</x:f>
        <x:v>0</x:v>
      </x:c>
      <x:c r="L75" s="33" t="n">
        <x:f>D75-MAX(G75:K75)</x:f>
        <x:v>0</x:v>
      </x:c>
    </x:row>
    <x:row r="76">
      <x:c r="B76" s="38" t="str">
        <x:v>S6</x:v>
      </x:c>
      <x:c r="C76" s="38" t="str">
        <x:v>C10</x:v>
      </x:c>
      <x:c r="D76" s="38" t="n">
        <x:f>'Rival Packages'!D13*'Receiver Cases'!D16+'Rival Packages'!E13*'Receiver Cases'!E16+'Rival Packages'!F13*'Receiver Cases'!D16+'Rival Packages'!G13*'Receiver Cases'!F16+'Rival Packages'!H13*'Receiver Cases'!G16+'Rival Packages'!I13*'Receiver Cases'!H16</x:f>
        <x:v>2</x:v>
      </x:c>
      <x:c r="E76" s="38" t="n">
        <x:f>'Rival Packages'!D13*'Receiver Cases'!D16+'Rival Packages'!E13*'Receiver Cases'!E16+'Rival Packages'!G13*'Receiver Cases'!F16+'Rival Packages'!H13*'Receiver Cases'!G16</x:f>
        <x:v>0</x:v>
      </x:c>
      <x:c r="F76" s="38" t="n">
        <x:f>D76-IF(E76&gt;0,1,0)</x:f>
        <x:v>2</x:v>
      </x:c>
      <x:c r="G76" s="38" t="n">
        <x:f>('Rival Packages'!D13+'Rival Packages'!F13)*'Receiver Cases'!D16</x:f>
        <x:v>2</x:v>
      </x:c>
      <x:c r="H76" s="38" t="n">
        <x:f>'Rival Packages'!E13*'Receiver Cases'!E16</x:f>
        <x:v>0</x:v>
      </x:c>
      <x:c r="I76" s="38" t="n">
        <x:f>'Rival Packages'!G13*'Receiver Cases'!F16</x:f>
        <x:v>0</x:v>
      </x:c>
      <x:c r="J76" s="38" t="n">
        <x:f>'Rival Packages'!H13*'Receiver Cases'!G16</x:f>
        <x:v>0</x:v>
      </x:c>
      <x:c r="K76" s="38" t="n">
        <x:f>'Rival Packages'!I13*'Receiver Cases'!H16</x:f>
        <x:v>0</x:v>
      </x:c>
      <x:c r="L76" s="40" t="n">
        <x:f>D76-MAX(G76:K76)</x:f>
        <x:v>0</x:v>
      </x:c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23" hidden="0" customWidth="1"/>
    <x:col min="4" max="4" width="18" hidden="0" customWidth="1"/>
    <x:col min="5" max="5" width="22" hidden="0" customWidth="1"/>
    <x:col min="6" max="6" width="19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28" hidden="0" customWidth="1"/>
    <x:col min="14" max="14" width="21" hidden="0" customWidth="1"/>
    <x:col min="15" max="15" width="16" hidden="0" customWidth="1"/>
    <x:col min="16" max="16" width="54" hidden="0" customWidth="1"/>
  </x:cols>
  <x:sheetData>
    <x:row r="2">
      <x:c r="B2" s="3" t="str">
        <x:v>Universal and conditional assurance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Universal credit requires two source-independent paths at an unprepared receiver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9" t="str">
        <x:v>Code</x:v>
      </x:c>
      <x:c r="C6" s="30" t="str">
        <x:v>Unprepared nominal paths</x:v>
      </x:c>
      <x:c r="D6" s="30" t="str">
        <x:v>After vehicle loss</x:v>
      </x:c>
      <x:c r="E6" s="30" t="str">
        <x:v>After mode/site loss</x:v>
      </x:c>
      <x:c r="F6" s="30" t="str">
        <x:v>Atmosphere denied</x:v>
      </x:c>
      <x:c r="G6" s="30" t="str">
        <x:v>Terrain denied</x:v>
      </x:c>
      <x:c r="H6" s="30" t="str">
        <x:v>Timing</x:v>
      </x:c>
      <x:c r="I6" s="30" t="str">
        <x:v>Interface defect</x:v>
      </x:c>
      <x:c r="J6" s="30" t="str">
        <x:v>Universal result</x:v>
      </x:c>
      <x:c r="K6" s="30" t="str">
        <x:v>Conditional basis</x:v>
      </x:c>
      <x:c r="L6" s="30" t="str">
        <x:v>Conditional nominal paths</x:v>
      </x:c>
      <x:c r="M6" s="30" t="str">
        <x:v>Conditional after mode/site</x:v>
      </x:c>
      <x:c r="N6" s="30" t="str">
        <x:v>Conditional result</x:v>
      </x:c>
      <x:c r="O6" s="30" t="str">
        <x:v>Strict evidence</x:v>
      </x:c>
      <x:c r="P6" s="30" t="str">
        <x:v>Interpretation</x:v>
      </x:c>
    </x:row>
    <x:row r="7">
      <x:c r="B7" s="31" t="str">
        <x:v>S0</x:v>
      </x:c>
      <x:c r="C7" s="31" t="n">
        <x:f>'Loss Results'!D7</x:f>
        <x:v>2</x:v>
      </x:c>
      <x:c r="D7" s="31" t="n">
        <x:f>'Loss Results'!F7</x:f>
        <x:v>1</x:v>
      </x:c>
      <x:c r="E7" s="31" t="n">
        <x:f>'Loss Results'!L7</x:f>
        <x:v>1</x:v>
      </x:c>
      <x:c r="F7" s="31" t="n">
        <x:f>'Loss Results'!D8</x:f>
        <x:v>1</x:v>
      </x:c>
      <x:c r="G7" s="31" t="n">
        <x:f>'Loss Results'!D9</x:f>
        <x:v>1</x:v>
      </x:c>
      <x:c r="H7" s="45" t="str">
        <x:f>IF(AND(('Rival Packages'!D7*('Effect Paths'!I7&lt;=Assumptions!C8)+'Rival Packages'!E7*('Effect Paths'!I8&lt;=Assumptions!C8)+'Rival Packages'!F7*('Effect Paths'!I9&lt;=Assumptions!C8))&gt;=2,'Receiver Cases'!L15&gt;=MAX('Effect Paths'!J7:J9)),"PASS","FAIL")</x:f>
        <x:v>PASS</x:v>
      </x:c>
      <x:c r="I7" s="45" t="str">
        <x:f>IF('Rival Packages'!P7&gt;=2,"PASS","FAIL")</x:f>
        <x:v>PASS</x:v>
      </x:c>
      <x:c r="J7" s="45" t="str">
        <x:f>IF(AND(C7&gt;=2,D7&gt;=1,E7&gt;=1,F7&gt;=1,G7&gt;=1,H7="PASS",I7="PASS"),"PASS","FAIL")</x:f>
        <x:v>PASS</x:v>
      </x:c>
      <x:c r="K7" s="31" t="str">
        <x:f>'Rival Packages'!Q7</x:f>
        <x:v>NONE</x:v>
      </x:c>
      <x:c r="L7" s="31" t="n">
        <x:f>'Loss Results'!D7</x:f>
        <x:v>2</x:v>
      </x:c>
      <x:c r="M7" s="31" t="n">
        <x:f>'Loss Results'!L7</x:f>
        <x:v>1</x:v>
      </x:c>
      <x:c r="N7" s="45" t="str">
        <x:f>IF(J7="PASS","UNIVERSAL","FAIL")</x:f>
        <x:v>UNIVERSAL</x:v>
      </x:c>
      <x:c r="O7" s="45" t="str">
        <x:v>FAIL</x:v>
      </x:c>
      <x:c r="P7" s="33" t="str">
        <x:v>Exact Pass 80 upper comparator.</x:v>
      </x:c>
    </x:row>
    <x:row r="8">
      <x:c r="B8" s="31" t="str">
        <x:v>S1</x:v>
      </x:c>
      <x:c r="C8" s="31" t="n">
        <x:f>'Loss Results'!D17</x:f>
        <x:v>2</x:v>
      </x:c>
      <x:c r="D8" s="31" t="n">
        <x:f>'Loss Results'!F17</x:f>
        <x:v>1</x:v>
      </x:c>
      <x:c r="E8" s="31" t="n">
        <x:f>'Loss Results'!L17</x:f>
        <x:v>1</x:v>
      </x:c>
      <x:c r="F8" s="31" t="n">
        <x:f>'Loss Results'!D18</x:f>
        <x:v>1</x:v>
      </x:c>
      <x:c r="G8" s="31" t="n">
        <x:f>'Loss Results'!D19</x:f>
        <x:v>1</x:v>
      </x:c>
      <x:c r="H8" s="45" t="str">
        <x:f>IF(AND(('Rival Packages'!D8*('Effect Paths'!I7&lt;=Assumptions!C8)+'Rival Packages'!E8*('Effect Paths'!I8&lt;=Assumptions!C8)+'Rival Packages'!F8*('Effect Paths'!I9&lt;=Assumptions!C8))&gt;=2,'Receiver Cases'!L15&gt;=MAX('Effect Paths'!J7:J9)),"PASS","FAIL")</x:f>
        <x:v>PASS</x:v>
      </x:c>
      <x:c r="I8" s="45" t="str">
        <x:f>IF('Rival Packages'!P8&gt;=2,"PASS","FAIL")</x:f>
        <x:v>PASS</x:v>
      </x:c>
      <x:c r="J8" s="45" t="str">
        <x:f>IF(AND(C8&gt;=2,D8&gt;=1,E8&gt;=1,F8&gt;=1,G8&gt;=1,H8="PASS",I8="PASS"),"PASS","FAIL")</x:f>
        <x:v>PASS</x:v>
      </x:c>
      <x:c r="K8" s="31" t="str">
        <x:f>'Rival Packages'!Q8</x:f>
        <x:v>NONE</x:v>
      </x:c>
      <x:c r="L8" s="31" t="n">
        <x:f>'Loss Results'!D17</x:f>
        <x:v>2</x:v>
      </x:c>
      <x:c r="M8" s="31" t="n">
        <x:f>'Loss Results'!L17</x:f>
        <x:v>1</x:v>
      </x:c>
      <x:c r="N8" s="45" t="str">
        <x:f>IF(J8="PASS","UNIVERSAL","FAIL")</x:f>
        <x:v>UNIVERSAL</x:v>
      </x:c>
      <x:c r="O8" s="45" t="str">
        <x:v>FAIL</x:v>
      </x:c>
      <x:c r="P8" s="33" t="str">
        <x:v>Attains the 1,270-tonne source-independent lower bound.</x:v>
      </x:c>
    </x:row>
    <x:row r="9">
      <x:c r="B9" s="31" t="str">
        <x:v>S2</x:v>
      </x:c>
      <x:c r="C9" s="31" t="n">
        <x:f>'Loss Results'!D27</x:f>
        <x:v>1</x:v>
      </x:c>
      <x:c r="D9" s="31" t="n">
        <x:f>'Loss Results'!F27</x:f>
        <x:v>1</x:v>
      </x:c>
      <x:c r="E9" s="31" t="n">
        <x:f>'Loss Results'!L27</x:f>
        <x:v>0</x:v>
      </x:c>
      <x:c r="F9" s="31" t="n">
        <x:f>'Loss Results'!D28</x:f>
        <x:v>0</x:v>
      </x:c>
      <x:c r="G9" s="31" t="n">
        <x:f>'Loss Results'!D29</x:f>
        <x:v>1</x:v>
      </x:c>
      <x:c r="H9" s="45" t="str">
        <x:f>IF(AND(('Rival Packages'!D9*('Effect Paths'!I7&lt;=Assumptions!C8)+'Rival Packages'!E9*('Effect Paths'!I8&lt;=Assumptions!C8)+'Rival Packages'!F9*('Effect Paths'!I9&lt;=Assumptions!C8))&gt;=2,'Receiver Cases'!L15&gt;=MAX('Effect Paths'!J7:J9)),"PASS","FAIL")</x:f>
        <x:v>FAIL</x:v>
      </x:c>
      <x:c r="I9" s="45" t="str">
        <x:f>IF('Rival Packages'!P9&gt;=2,"PASS","FAIL")</x:f>
        <x:v>PASS</x:v>
      </x:c>
      <x:c r="J9" s="45" t="str">
        <x:f>IF(AND(C9&gt;=2,D9&gt;=1,E9&gt;=1,F9&gt;=1,G9&gt;=1,H9="PASS",I9="PASS"),"PASS","FAIL")</x:f>
        <x:v>FAIL</x:v>
      </x:c>
      <x:c r="K9" s="31" t="str">
        <x:f>'Rival Packages'!Q9</x:f>
        <x:v>STANDOFF</x:v>
      </x:c>
      <x:c r="L9" s="31" t="n">
        <x:f>'Loss Results'!D30</x:f>
        <x:v>2</x:v>
      </x:c>
      <x:c r="M9" s="31" t="n">
        <x:f>'Loss Results'!L30</x:f>
        <x:v>1</x:v>
      </x:c>
      <x:c r="N9" s="45" t="str">
        <x:f>IF(AND(L9&gt;=2,M9&gt;=1,Assumptions!C10&gt;=MAX('Effect Paths'!J7:J12),I9="PASS"),"PASS","FAIL")</x:f>
        <x:v>PASS</x:v>
      </x:c>
      <x:c r="O9" s="45" t="str">
        <x:v>FAIL</x:v>
      </x:c>
      <x:c r="P9" s="33" t="str">
        <x:v>Assured only while a qualified standoff source and route survive.</x:v>
      </x:c>
    </x:row>
    <x:row r="10">
      <x:c r="B10" s="31" t="str">
        <x:v>S3</x:v>
      </x:c>
      <x:c r="C10" s="31" t="n">
        <x:f>'Loss Results'!D37</x:f>
        <x:v>1</x:v>
      </x:c>
      <x:c r="D10" s="31" t="n">
        <x:f>'Loss Results'!F37</x:f>
        <x:v>1</x:v>
      </x:c>
      <x:c r="E10" s="31" t="n">
        <x:f>'Loss Results'!L37</x:f>
        <x:v>0</x:v>
      </x:c>
      <x:c r="F10" s="31" t="n">
        <x:f>'Loss Results'!D38</x:f>
        <x:v>0</x:v>
      </x:c>
      <x:c r="G10" s="31" t="n">
        <x:f>'Loss Results'!D39</x:f>
        <x:v>1</x:v>
      </x:c>
      <x:c r="H10" s="45" t="str">
        <x:f>IF(AND(('Rival Packages'!D10*('Effect Paths'!I7&lt;=Assumptions!C8)+'Rival Packages'!E10*('Effect Paths'!I8&lt;=Assumptions!C8)+'Rival Packages'!F10*('Effect Paths'!I9&lt;=Assumptions!C8))&gt;=2,'Receiver Cases'!L15&gt;=MAX('Effect Paths'!J7:J9)),"PASS","FAIL")</x:f>
        <x:v>FAIL</x:v>
      </x:c>
      <x:c r="I10" s="45" t="str">
        <x:f>IF('Rival Packages'!P10&gt;=2,"PASS","FAIL")</x:f>
        <x:v>PASS</x:v>
      </x:c>
      <x:c r="J10" s="45" t="str">
        <x:f>IF(AND(C10&gt;=2,D10&gt;=1,E10&gt;=1,F10&gt;=1,G10&gt;=1,H10="PASS",I10="PASS"),"PASS","FAIL")</x:f>
        <x:v>FAIL</x:v>
      </x:c>
      <x:c r="K10" s="31" t="str">
        <x:f>'Rival Packages'!Q10</x:f>
        <x:v>LOCAL</x:v>
      </x:c>
      <x:c r="L10" s="31" t="n">
        <x:f>'Loss Results'!D41</x:f>
        <x:v>2</x:v>
      </x:c>
      <x:c r="M10" s="31" t="n">
        <x:f>'Loss Results'!L41</x:f>
        <x:v>1</x:v>
      </x:c>
      <x:c r="N10" s="45" t="str">
        <x:f>IF(AND(L10&gt;=2,M10&gt;=1,Assumptions!C10&gt;=MAX('Effect Paths'!J7:J12),I10="PASS"),"PASS","FAIL")</x:f>
        <x:v>PASS</x:v>
      </x:c>
      <x:c r="O10" s="45" t="str">
        <x:v>FAIL</x:v>
      </x:c>
      <x:c r="P10" s="33" t="str">
        <x:v>Assured only while local matter, energy and certification survive.</x:v>
      </x:c>
    </x:row>
    <x:row r="11">
      <x:c r="B11" s="31" t="str">
        <x:v>S4</x:v>
      </x:c>
      <x:c r="C11" s="31" t="n">
        <x:f>'Loss Results'!D47</x:f>
        <x:v>1</x:v>
      </x:c>
      <x:c r="D11" s="31" t="n">
        <x:f>'Loss Results'!F47</x:f>
        <x:v>0</x:v>
      </x:c>
      <x:c r="E11" s="31" t="n">
        <x:f>'Loss Results'!L47</x:f>
        <x:v>0</x:v>
      </x:c>
      <x:c r="F11" s="31" t="n">
        <x:f>'Loss Results'!D48</x:f>
        <x:v>1</x:v>
      </x:c>
      <x:c r="G11" s="31" t="n">
        <x:f>'Loss Results'!D49</x:f>
        <x:v>0</x:v>
      </x:c>
      <x:c r="H11" s="45" t="str">
        <x:f>IF(AND(('Rival Packages'!D11*('Effect Paths'!I7&lt;=Assumptions!C8)+'Rival Packages'!E11*('Effect Paths'!I8&lt;=Assumptions!C8)+'Rival Packages'!F11*('Effect Paths'!I9&lt;=Assumptions!C8))&gt;=2,'Receiver Cases'!L15&gt;=MAX('Effect Paths'!J7:J9)),"PASS","FAIL")</x:f>
        <x:v>FAIL</x:v>
      </x:c>
      <x:c r="I11" s="45" t="str">
        <x:f>IF('Rival Packages'!P11&gt;=2,"PASS","FAIL")</x:f>
        <x:v>PASS</x:v>
      </x:c>
      <x:c r="J11" s="45" t="str">
        <x:f>IF(AND(C11&gt;=2,D11&gt;=1,E11&gt;=1,F11&gt;=1,G11&gt;=1,H11="PASS",I11="PASS"),"PASS","FAIL")</x:f>
        <x:v>FAIL</x:v>
      </x:c>
      <x:c r="K11" s="31" t="str">
        <x:f>'Rival Packages'!Q11</x:f>
        <x:v>STANDOFF</x:v>
      </x:c>
      <x:c r="L11" s="31" t="n">
        <x:f>'Loss Results'!D50</x:f>
        <x:v>2</x:v>
      </x:c>
      <x:c r="M11" s="31" t="n">
        <x:f>'Loss Results'!L50</x:f>
        <x:v>1</x:v>
      </x:c>
      <x:c r="N11" s="45" t="str">
        <x:f>IF(AND(L11&gt;=2,M11&gt;=1,Assumptions!C10&gt;=MAX('Effect Paths'!J7:J12),I11="PASS"),"PASS","FAIL")</x:f>
        <x:v>PASS</x:v>
      </x:c>
      <x:c r="O11" s="45" t="str">
        <x:v>FAIL</x:v>
      </x:c>
      <x:c r="P11" s="33" t="str">
        <x:v>Lowest-cost conditional rival; no universal source-free fallback.</x:v>
      </x:c>
    </x:row>
    <x:row r="12">
      <x:c r="B12" s="31" t="str">
        <x:v>S5</x:v>
      </x:c>
      <x:c r="C12" s="31" t="n">
        <x:f>'Loss Results'!D57</x:f>
        <x:v>1</x:v>
      </x:c>
      <x:c r="D12" s="31" t="n">
        <x:f>'Loss Results'!F57</x:f>
        <x:v>0</x:v>
      </x:c>
      <x:c r="E12" s="31" t="n">
        <x:f>'Loss Results'!L57</x:f>
        <x:v>0</x:v>
      </x:c>
      <x:c r="F12" s="31" t="n">
        <x:f>'Loss Results'!D58</x:f>
        <x:v>0</x:v>
      </x:c>
      <x:c r="G12" s="31" t="n">
        <x:f>'Loss Results'!D59</x:f>
        <x:v>1</x:v>
      </x:c>
      <x:c r="H12" s="45" t="str">
        <x:f>IF(AND(('Rival Packages'!D12*('Effect Paths'!I7&lt;=Assumptions!C8)+'Rival Packages'!E12*('Effect Paths'!I8&lt;=Assumptions!C8)+'Rival Packages'!F12*('Effect Paths'!I9&lt;=Assumptions!C8))&gt;=2,'Receiver Cases'!L15&gt;=MAX('Effect Paths'!J7:J9)),"PASS","FAIL")</x:f>
        <x:v>FAIL</x:v>
      </x:c>
      <x:c r="I12" s="45" t="str">
        <x:f>IF('Rival Packages'!P12&gt;=2,"PASS","FAIL")</x:f>
        <x:v>PASS</x:v>
      </x:c>
      <x:c r="J12" s="45" t="str">
        <x:f>IF(AND(C12&gt;=2,D12&gt;=1,E12&gt;=1,F12&gt;=1,G12&gt;=1,H12="PASS",I12="PASS"),"PASS","FAIL")</x:f>
        <x:v>FAIL</x:v>
      </x:c>
      <x:c r="K12" s="31" t="str">
        <x:f>'Rival Packages'!Q12</x:f>
        <x:v>PREPARED</x:v>
      </x:c>
      <x:c r="L12" s="31" t="n">
        <x:f>'Loss Results'!D62</x:f>
        <x:v>2</x:v>
      </x:c>
      <x:c r="M12" s="31" t="n">
        <x:f>'Loss Results'!L62</x:f>
        <x:v>1</x:v>
      </x:c>
      <x:c r="N12" s="45" t="str">
        <x:f>IF(AND(L12&gt;=2,M12&gt;=1,Assumptions!C10&gt;=MAX('Effect Paths'!J7:J12),I12="PASS"),"PASS","FAIL")</x:f>
        <x:v>PASS</x:v>
      </x:c>
      <x:c r="O12" s="45" t="str">
        <x:v>FAIL</x:v>
      </x:c>
      <x:c r="P12" s="33" t="str">
        <x:v>Assured only at a prepared receiver with an independent fixed cell.</x:v>
      </x:c>
    </x:row>
    <x:row r="13">
      <x:c r="B13" s="38" t="str">
        <x:v>S6</x:v>
      </x:c>
      <x:c r="C13" s="38" t="n">
        <x:f>'Loss Results'!D67</x:f>
        <x:v>2</x:v>
      </x:c>
      <x:c r="D13" s="38" t="n">
        <x:f>'Loss Results'!F67</x:f>
        <x:v>2</x:v>
      </x:c>
      <x:c r="E13" s="38" t="n">
        <x:f>'Loss Results'!L67</x:f>
        <x:v>0</x:v>
      </x:c>
      <x:c r="F13" s="38" t="n">
        <x:f>'Loss Results'!D68</x:f>
        <x:v>0</x:v>
      </x:c>
      <x:c r="G13" s="38" t="n">
        <x:f>'Loss Results'!D69</x:f>
        <x:v>2</x:v>
      </x:c>
      <x:c r="H13" s="46" t="str">
        <x:f>IF(AND(('Rival Packages'!D13*('Effect Paths'!I7&lt;=Assumptions!C8)+'Rival Packages'!E13*('Effect Paths'!I8&lt;=Assumptions!C8)+'Rival Packages'!F13*('Effect Paths'!I9&lt;=Assumptions!C8))&gt;=2,'Receiver Cases'!L15&gt;=MAX('Effect Paths'!J7:J9)),"PASS","FAIL")</x:f>
        <x:v>PASS</x:v>
      </x:c>
      <x:c r="I13" s="46" t="str">
        <x:f>IF('Rival Packages'!P13&gt;=2,"PASS","FAIL")</x:f>
        <x:v>FAIL</x:v>
      </x:c>
      <x:c r="J13" s="46" t="str">
        <x:f>IF(AND(C13&gt;=2,D13&gt;=1,E13&gt;=1,F13&gt;=1,G13&gt;=1,H13="PASS",I13="PASS"),"PASS","FAIL")</x:f>
        <x:v>FAIL</x:v>
      </x:c>
      <x:c r="K13" s="38" t="str">
        <x:f>'Rival Packages'!Q13</x:f>
        <x:v>NONE</x:v>
      </x:c>
      <x:c r="L13" s="38" t="n">
        <x:f>'Loss Results'!D67</x:f>
        <x:v>2</x:v>
      </x:c>
      <x:c r="M13" s="38" t="n">
        <x:f>'Loss Results'!L67</x:f>
        <x:v>0</x:v>
      </x:c>
      <x:c r="N13" s="46" t="str">
        <x:f>IF(J13="PASS","UNIVERSAL","FAIL")</x:f>
        <x:v>FAIL</x:v>
      </x:c>
      <x:c r="O13" s="46" t="str">
        <x:v>FAIL</x:v>
      </x:c>
      <x:c r="P13" s="40" t="str">
        <x:v>Vehicle redundancy cannot survive loss of the VHL mode.</x:v>
      </x:c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</x:sheetData>
  <x:conditionalFormatting sqref="H7:J13">
    <x:cfRule type="containsText" dxfId="0" priority="1" operator="containsText" text="FAIL"/>
  </x:conditionalFormatting>
  <x:conditionalFormatting sqref="N7:O13"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6" hidden="0" customWidth="1"/>
    <x:col min="4" max="4" width="20" hidden="0" customWidth="1"/>
    <x:col min="5" max="5" width="20" hidden="0" customWidth="1"/>
    <x:col min="6" max="6" width="22" hidden="0" customWidth="1"/>
    <x:col min="7" max="7" width="14" hidden="0" customWidth="1"/>
    <x:col min="8" max="8" width="17" hidden="0" customWidth="1"/>
    <x:col min="9" max="9" width="20" hidden="0" customWidth="1"/>
    <x:col min="10" max="10" width="52" hidden="0" customWidth="1"/>
  </x:cols>
  <x:sheetData>
    <x:row r="2">
      <x:c r="B2" s="3" t="str">
        <x:v>Second-region dispatch clock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No rival receives prelaunch credit before the second region activates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29" t="str">
        <x:v>Path</x:v>
      </x:c>
      <x:c r="C6" s="30" t="str">
        <x:v>Activation h</x:v>
      </x:c>
      <x:c r="D6" s="30" t="str">
        <x:v>Entry relative h</x:v>
      </x:c>
      <x:c r="E6" s="30" t="str">
        <x:v>Entry absolute h</x:v>
      </x:c>
      <x:c r="F6" s="30" t="str">
        <x:v>Absolute deadline h</x:v>
      </x:c>
      <x:c r="G6" s="30" t="str">
        <x:v>Margin h</x:v>
      </x:c>
      <x:c r="H6" s="30" t="str">
        <x:v>Clock status</x:v>
      </x:c>
      <x:c r="I6" s="30" t="str">
        <x:v>Current evidence</x:v>
      </x:c>
      <x:c r="J6" s="30" t="str">
        <x:v>Dispatch condition</x:v>
      </x:c>
    </x:row>
    <x:row r="7">
      <x:c r="B7" s="31" t="str">
        <x:v>M1</x:v>
      </x:c>
      <x:c r="C7" s="31" t="n">
        <x:f>Assumptions!C9</x:f>
        <x:v>6</x:v>
      </x:c>
      <x:c r="D7" s="31" t="n">
        <x:f>'Effect Paths'!I7</x:f>
        <x:v>42</x:v>
      </x:c>
      <x:c r="E7" s="31" t="n">
        <x:f>C7+D7</x:f>
        <x:v>48</x:v>
      </x:c>
      <x:c r="F7" s="31" t="n">
        <x:f>Assumptions!C10</x:f>
        <x:v>54</x:v>
      </x:c>
      <x:c r="G7" s="31" t="n">
        <x:f>F7-E7</x:f>
        <x:v>6</x:v>
      </x:c>
      <x:c r="H7" s="45" t="str">
        <x:f>IF(G7&gt;=0,"PASS","FAIL")</x:f>
        <x:v>PASS</x:v>
      </x:c>
      <x:c r="I7" s="45" t="str">
        <x:v>FAIL</x:v>
      </x:c>
      <x:c r="J7" s="33" t="str">
        <x:v>independent air release and receiver zone</x:v>
      </x:c>
    </x:row>
    <x:row r="8">
      <x:c r="B8" s="31" t="str">
        <x:v>M3</x:v>
      </x:c>
      <x:c r="C8" s="31" t="n">
        <x:f>Assumptions!C9</x:f>
        <x:v>6</x:v>
      </x:c>
      <x:c r="D8" s="31" t="n">
        <x:f>'Effect Paths'!I8</x:f>
        <x:v>45</x:v>
      </x:c>
      <x:c r="E8" s="31" t="n">
        <x:f>C8+D8</x:f>
        <x:v>51</x:v>
      </x:c>
      <x:c r="F8" s="31" t="n">
        <x:f>Assumptions!C10</x:f>
        <x:v>54</x:v>
      </x:c>
      <x:c r="G8" s="31" t="n">
        <x:f>F8-E8</x:f>
        <x:v>3</x:v>
      </x:c>
      <x:c r="H8" s="45" t="str">
        <x:f>IF(G8&gt;=0,"PASS","FAIL")</x:f>
        <x:v>PASS</x:v>
      </x:c>
      <x:c r="I8" s="45" t="str">
        <x:v>FAIL</x:v>
      </x:c>
      <x:c r="J8" s="33" t="str">
        <x:v>independent land release and receiver zone</x:v>
      </x:c>
    </x:row>
    <x:row r="9">
      <x:c r="B9" s="31" t="str">
        <x:v>M4R</x:v>
      </x:c>
      <x:c r="C9" s="31" t="n">
        <x:f>Assumptions!C9</x:f>
        <x:v>6</x:v>
      </x:c>
      <x:c r="D9" s="31" t="n">
        <x:f>'Effect Paths'!I9</x:f>
        <x:v>47</x:v>
      </x:c>
      <x:c r="E9" s="31" t="n">
        <x:f>C9+D9</x:f>
        <x:v>53</x:v>
      </x:c>
      <x:c r="F9" s="31" t="n">
        <x:f>Assumptions!C10</x:f>
        <x:v>54</x:v>
      </x:c>
      <x:c r="G9" s="31" t="n">
        <x:f>F9-E9</x:f>
        <x:v>1</x:v>
      </x:c>
      <x:c r="H9" s="45" t="str">
        <x:f>IF(G9&gt;=0,"PASS","FAIL")</x:f>
        <x:v>PASS</x:v>
      </x:c>
      <x:c r="I9" s="45" t="str">
        <x:v>FAIL</x:v>
      </x:c>
      <x:c r="J9" s="33" t="str">
        <x:v>functional N+1 load allocation</x:v>
      </x:c>
    </x:row>
    <x:row r="10">
      <x:c r="B10" s="31" t="str">
        <x:v>M5</x:v>
      </x:c>
      <x:c r="C10" s="31" t="n">
        <x:f>Assumptions!C9</x:f>
        <x:v>6</x:v>
      </x:c>
      <x:c r="D10" s="31" t="n">
        <x:f>'Effect Paths'!I10</x:f>
        <x:v>46</x:v>
      </x:c>
      <x:c r="E10" s="31" t="n">
        <x:f>C10+D10</x:f>
        <x:v>52</x:v>
      </x:c>
      <x:c r="F10" s="31" t="n">
        <x:f>Assumptions!C10</x:f>
        <x:v>54</x:v>
      </x:c>
      <x:c r="G10" s="31" t="n">
        <x:f>F10-E10</x:f>
        <x:v>2</x:v>
      </x:c>
      <x:c r="H10" s="45" t="str">
        <x:f>IF(G10&gt;=0,"PASS","FAIL")</x:f>
        <x:v>PASS</x:v>
      </x:c>
      <x:c r="I10" s="45" t="str">
        <x:v>FAIL</x:v>
      </x:c>
      <x:c r="J10" s="33" t="str">
        <x:v>qualified source and corridor rights</x:v>
      </x:c>
    </x:row>
    <x:row r="11">
      <x:c r="B11" s="31" t="str">
        <x:v>M6</x:v>
      </x:c>
      <x:c r="C11" s="31" t="n">
        <x:f>Assumptions!C9</x:f>
        <x:v>6</x:v>
      </x:c>
      <x:c r="D11" s="31" t="n">
        <x:f>'Effect Paths'!I11</x:f>
        <x:v>48</x:v>
      </x:c>
      <x:c r="E11" s="31" t="n">
        <x:f>C11+D11</x:f>
        <x:v>54</x:v>
      </x:c>
      <x:c r="F11" s="31" t="n">
        <x:f>Assumptions!C10</x:f>
        <x:v>54</x:v>
      </x:c>
      <x:c r="G11" s="31" t="n">
        <x:f>F11-E11</x:f>
        <x:v>0</x:v>
      </x:c>
      <x:c r="H11" s="45" t="str">
        <x:f>IF(G11&gt;=0,"PASS","FAIL")</x:f>
        <x:v>PASS</x:v>
      </x:c>
      <x:c r="I11" s="45" t="str">
        <x:v>FAIL</x:v>
      </x:c>
      <x:c r="J11" s="33" t="str">
        <x:v>qualified matter, energy and output release</x:v>
      </x:c>
    </x:row>
    <x:row r="12">
      <x:c r="B12" s="38" t="str">
        <x:v>P0</x:v>
      </x:c>
      <x:c r="C12" s="38" t="n">
        <x:f>Assumptions!C9</x:f>
        <x:v>6</x:v>
      </x:c>
      <x:c r="D12" s="38" t="n">
        <x:f>'Effect Paths'!I12</x:f>
        <x:v>12</x:v>
      </x:c>
      <x:c r="E12" s="38" t="n">
        <x:f>C12+D12</x:f>
        <x:v>18</x:v>
      </x:c>
      <x:c r="F12" s="38" t="n">
        <x:f>Assumptions!C10</x:f>
        <x:v>54</x:v>
      </x:c>
      <x:c r="G12" s="38" t="n">
        <x:f>F12-E12</x:f>
        <x:v>36</x:v>
      </x:c>
      <x:c r="H12" s="46" t="str">
        <x:f>IF(G12&gt;=0,"PASS","FAIL")</x:f>
        <x:v>PASS</x:v>
      </x:c>
      <x:c r="I12" s="46" t="str">
        <x:v>FAIL</x:v>
      </x:c>
      <x:c r="J12" s="40" t="str">
        <x:v>prepared cell remains operable and accepted</x:v>
      </x:c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</x:sheetData>
  <x:conditionalFormatting sqref="H7:I12">
    <x:cfRule type="containsText" dxfId="2" priority="1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21" hidden="0" customWidth="1"/>
    <x:col min="4" max="4" width="23" hidden="0" customWidth="1"/>
    <x:col min="5" max="5" width="21" hidden="0" customWidth="1"/>
    <x:col min="6" max="6" width="18" hidden="0" customWidth="1"/>
    <x:col min="7" max="7" width="23" hidden="0" customWidth="1"/>
    <x:col min="8" max="8" width="20" hidden="0" customWidth="1"/>
    <x:col min="9" max="9" width="15" hidden="0" customWidth="1"/>
    <x:col min="10" max="10" width="31" hidden="0" customWidth="1"/>
    <x:col min="11" max="11" width="33" hidden="0" customWidth="1"/>
  </x:cols>
  <x:sheetData>
    <x:row r="2">
      <x:c r="B2" s="3" t="str">
        <x:v>Second-region workforce consequence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Independent reception, release, maintenance and custody remain inside each package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9" t="str">
        <x:v>Code</x:v>
      </x:c>
      <x:c r="C6" s="30" t="str">
        <x:v>Incremental deployed</x:v>
      </x:c>
      <x:c r="D6" s="30" t="str">
        <x:v>Incremental affiliated</x:v>
      </x:c>
      <x:c r="E6" s="30" t="str">
        <x:v>Base F1-C1 deployed</x:v>
      </x:c>
      <x:c r="F6" s="30" t="str">
        <x:v>Combined deployed</x:v>
      </x:c>
      <x:c r="G6" s="30" t="str">
        <x:v>Base F1-C1 affiliated</x:v>
      </x:c>
      <x:c r="H6" s="30" t="str">
        <x:v>Combined affiliated</x:v>
      </x:c>
      <x:c r="I6" s="30" t="str">
        <x:v>Ready groups</x:v>
      </x:c>
      <x:c r="J6" s="30" t="str">
        <x:v>National incremental deployed positions</x:v>
      </x:c>
      <x:c r="K6" s="30" t="str">
        <x:v>National incremental affiliated positions</x:v>
      </x:c>
    </x:row>
    <x:row r="7">
      <x:c r="B7" s="31" t="str">
        <x:v>S0</x:v>
      </x:c>
      <x:c r="C7" s="31" t="n">
        <x:f>'Rival Packages'!N7</x:f>
        <x:v>546</x:v>
      </x:c>
      <x:c r="D7" s="31" t="n">
        <x:f>'Rival Packages'!O7</x:f>
        <x:v>1217</x:v>
      </x:c>
      <x:c r="E7" s="31" t="n">
        <x:v>590</x:v>
      </x:c>
      <x:c r="F7" s="31" t="n">
        <x:f>C7+E7</x:f>
        <x:v>1136</x:v>
      </x:c>
      <x:c r="G7" s="31" t="n">
        <x:v>1312</x:v>
      </x:c>
      <x:c r="H7" s="31" t="n">
        <x:f>D7+G7</x:f>
        <x:v>2529</x:v>
      </x:c>
      <x:c r="I7" s="31" t="n">
        <x:f>Assumptions!C19</x:f>
        <x:v>43</x:v>
      </x:c>
      <x:c r="J7" s="31" t="n">
        <x:f>C7*I7</x:f>
        <x:v>23478</x:v>
      </x:c>
      <x:c r="K7" s="33" t="n">
        <x:f>D7*I7</x:f>
        <x:v>52331</x:v>
      </x:c>
    </x:row>
    <x:row r="8">
      <x:c r="B8" s="31" t="str">
        <x:v>S1</x:v>
      </x:c>
      <x:c r="C8" s="31" t="n">
        <x:f>'Rival Packages'!N8</x:f>
        <x:v>486</x:v>
      </x:c>
      <x:c r="D8" s="31" t="n">
        <x:f>'Rival Packages'!O8</x:f>
        <x:v>1065</x:v>
      </x:c>
      <x:c r="E8" s="31" t="n">
        <x:v>590</x:v>
      </x:c>
      <x:c r="F8" s="31" t="n">
        <x:f>C8+E8</x:f>
        <x:v>1076</x:v>
      </x:c>
      <x:c r="G8" s="31" t="n">
        <x:v>1312</x:v>
      </x:c>
      <x:c r="H8" s="31" t="n">
        <x:f>D8+G8</x:f>
        <x:v>2377</x:v>
      </x:c>
      <x:c r="I8" s="31" t="n">
        <x:f>Assumptions!C19</x:f>
        <x:v>43</x:v>
      </x:c>
      <x:c r="J8" s="31" t="n">
        <x:f>C8*I8</x:f>
        <x:v>20898</x:v>
      </x:c>
      <x:c r="K8" s="33" t="n">
        <x:f>D8*I8</x:f>
        <x:v>45795</x:v>
      </x:c>
    </x:row>
    <x:row r="9">
      <x:c r="B9" s="31" t="str">
        <x:v>S2</x:v>
      </x:c>
      <x:c r="C9" s="31" t="n">
        <x:f>'Rival Packages'!N9</x:f>
        <x:v>408</x:v>
      </x:c>
      <x:c r="D9" s="31" t="n">
        <x:f>'Rival Packages'!O9</x:f>
        <x:v>895</x:v>
      </x:c>
      <x:c r="E9" s="31" t="n">
        <x:v>590</x:v>
      </x:c>
      <x:c r="F9" s="31" t="n">
        <x:f>C9+E9</x:f>
        <x:v>998</x:v>
      </x:c>
      <x:c r="G9" s="31" t="n">
        <x:v>1312</x:v>
      </x:c>
      <x:c r="H9" s="31" t="n">
        <x:f>D9+G9</x:f>
        <x:v>2207</x:v>
      </x:c>
      <x:c r="I9" s="31" t="n">
        <x:f>Assumptions!C19</x:f>
        <x:v>43</x:v>
      </x:c>
      <x:c r="J9" s="31" t="n">
        <x:f>C9*I9</x:f>
        <x:v>17544</x:v>
      </x:c>
      <x:c r="K9" s="33" t="n">
        <x:f>D9*I9</x:f>
        <x:v>38485</x:v>
      </x:c>
    </x:row>
    <x:row r="10">
      <x:c r="B10" s="31" t="str">
        <x:v>S3</x:v>
      </x:c>
      <x:c r="C10" s="31" t="n">
        <x:f>'Rival Packages'!N10</x:f>
        <x:v>430</x:v>
      </x:c>
      <x:c r="D10" s="31" t="n">
        <x:f>'Rival Packages'!O10</x:f>
        <x:v>960</x:v>
      </x:c>
      <x:c r="E10" s="31" t="n">
        <x:v>590</x:v>
      </x:c>
      <x:c r="F10" s="31" t="n">
        <x:f>C10+E10</x:f>
        <x:v>1020</x:v>
      </x:c>
      <x:c r="G10" s="31" t="n">
        <x:v>1312</x:v>
      </x:c>
      <x:c r="H10" s="31" t="n">
        <x:f>D10+G10</x:f>
        <x:v>2272</x:v>
      </x:c>
      <x:c r="I10" s="31" t="n">
        <x:f>Assumptions!C19</x:f>
        <x:v>43</x:v>
      </x:c>
      <x:c r="J10" s="31" t="n">
        <x:f>C10*I10</x:f>
        <x:v>18490</x:v>
      </x:c>
      <x:c r="K10" s="33" t="n">
        <x:f>D10*I10</x:f>
        <x:v>41280</x:v>
      </x:c>
    </x:row>
    <x:row r="11">
      <x:c r="B11" s="31" t="str">
        <x:v>S4</x:v>
      </x:c>
      <x:c r="C11" s="31" t="n">
        <x:f>'Rival Packages'!N11</x:f>
        <x:v>370</x:v>
      </x:c>
      <x:c r="D11" s="31" t="n">
        <x:f>'Rival Packages'!O11</x:f>
        <x:v>820</x:v>
      </x:c>
      <x:c r="E11" s="31" t="n">
        <x:v>590</x:v>
      </x:c>
      <x:c r="F11" s="31" t="n">
        <x:f>C11+E11</x:f>
        <x:v>960</x:v>
      </x:c>
      <x:c r="G11" s="31" t="n">
        <x:v>1312</x:v>
      </x:c>
      <x:c r="H11" s="31" t="n">
        <x:f>D11+G11</x:f>
        <x:v>2132</x:v>
      </x:c>
      <x:c r="I11" s="31" t="n">
        <x:f>Assumptions!C19</x:f>
        <x:v>43</x:v>
      </x:c>
      <x:c r="J11" s="31" t="n">
        <x:f>C11*I11</x:f>
        <x:v>15910</x:v>
      </x:c>
      <x:c r="K11" s="33" t="n">
        <x:f>D11*I11</x:f>
        <x:v>35260</x:v>
      </x:c>
    </x:row>
    <x:row r="12">
      <x:c r="B12" s="31" t="str">
        <x:v>S5</x:v>
      </x:c>
      <x:c r="C12" s="31" t="n">
        <x:f>'Rival Packages'!N12</x:f>
        <x:v>380</x:v>
      </x:c>
      <x:c r="D12" s="31" t="n">
        <x:f>'Rival Packages'!O12</x:f>
        <x:v>840</x:v>
      </x:c>
      <x:c r="E12" s="31" t="n">
        <x:v>590</x:v>
      </x:c>
      <x:c r="F12" s="31" t="n">
        <x:f>C12+E12</x:f>
        <x:v>970</x:v>
      </x:c>
      <x:c r="G12" s="31" t="n">
        <x:v>1312</x:v>
      </x:c>
      <x:c r="H12" s="31" t="n">
        <x:f>D12+G12</x:f>
        <x:v>2152</x:v>
      </x:c>
      <x:c r="I12" s="31" t="n">
        <x:f>Assumptions!C19</x:f>
        <x:v>43</x:v>
      </x:c>
      <x:c r="J12" s="31" t="n">
        <x:f>C12*I12</x:f>
        <x:v>16340</x:v>
      </x:c>
      <x:c r="K12" s="33" t="n">
        <x:f>D12*I12</x:f>
        <x:v>36120</x:v>
      </x:c>
    </x:row>
    <x:row r="13">
      <x:c r="B13" s="38" t="str">
        <x:v>S6</x:v>
      </x:c>
      <x:c r="C13" s="38" t="n">
        <x:f>'Rival Packages'!N13</x:f>
        <x:v>520</x:v>
      </x:c>
      <x:c r="D13" s="38" t="n">
        <x:f>'Rival Packages'!O13</x:f>
        <x:v>1140</x:v>
      </x:c>
      <x:c r="E13" s="38" t="n">
        <x:v>590</x:v>
      </x:c>
      <x:c r="F13" s="38" t="n">
        <x:f>C13+E13</x:f>
        <x:v>1110</x:v>
      </x:c>
      <x:c r="G13" s="38" t="n">
        <x:v>1312</x:v>
      </x:c>
      <x:c r="H13" s="38" t="n">
        <x:f>D13+G13</x:f>
        <x:v>2452</x:v>
      </x:c>
      <x:c r="I13" s="38" t="n">
        <x:f>Assumptions!C19</x:f>
        <x:v>43</x:v>
      </x:c>
      <x:c r="J13" s="38" t="n">
        <x:f>C13*I13</x:f>
        <x:v>22360</x:v>
      </x:c>
      <x:c r="K13" s="40" t="n">
        <x:f>D13*I13</x:f>
        <x:v>49020</x:v>
      </x:c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19" hidden="0" customWidth="1"/>
    <x:col min="4" max="4" width="20" hidden="0" customWidth="1"/>
    <x:col min="5" max="5" width="18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58" hidden="0" customWidth="1"/>
  </x:cols>
  <x:sheetData>
    <x:row r="2">
      <x:c r="B2" s="3" t="str">
        <x:v>National second-region production demand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Quantities are ready-force hypotheses across forty-three package sets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9" t="str">
        <x:v>Code</x:v>
      </x:c>
      <x:c r="C6" s="30" t="str">
        <x:v>HBL-320 liftships</x:v>
      </x:c>
      <x:c r="D6" s="30" t="str">
        <x:v>ATUT-160 vehicles</x:v>
      </x:c>
      <x:c r="E6" s="30" t="str">
        <x:v>VHL-80 aircraft</x:v>
      </x:c>
      <x:c r="F6" s="30" t="str">
        <x:v>RUC-100 projectors</x:v>
      </x:c>
      <x:c r="G6" s="30" t="str">
        <x:v>LCS-150 units</x:v>
      </x:c>
      <x:c r="H6" s="30" t="str">
        <x:v>Prepared cells</x:v>
      </x:c>
      <x:c r="I6" s="30" t="str">
        <x:v>Custody nodes</x:v>
      </x:c>
      <x:c r="J6" s="30" t="str">
        <x:v>Receiver echelons</x:v>
      </x:c>
      <x:c r="K6" s="30" t="str">
        <x:v>Industrial meaning</x:v>
      </x:c>
    </x:row>
    <x:row r="7">
      <x:c r="B7" s="31" t="str">
        <x:v>S0</x:v>
      </x:c>
      <x:c r="C7" s="31" t="n">
        <x:f>'Rival Packages'!D7*2*Assumptions!C19</x:f>
        <x:v>86</x:v>
      </x:c>
      <x:c r="D7" s="31" t="n">
        <x:f>'Rival Packages'!E7*4*Assumptions!C19</x:f>
        <x:v>172</x:v>
      </x:c>
      <x:c r="E7" s="31" t="n">
        <x:f>'Rival Packages'!F7*10*Assumptions!C19</x:f>
        <x:v>0</x:v>
      </x:c>
      <x:c r="F7" s="31" t="n">
        <x:f>'Rival Packages'!G7*4*Assumptions!C19</x:f>
        <x:v>172</x:v>
      </x:c>
      <x:c r="G7" s="31" t="n">
        <x:f>'Rival Packages'!H7*3*Assumptions!C19</x:f>
        <x:v>0</x:v>
      </x:c>
      <x:c r="H7" s="31" t="n">
        <x:f>'Rival Packages'!I7*Assumptions!C19</x:f>
        <x:v>0</x:v>
      </x:c>
      <x:c r="I7" s="31" t="n">
        <x:f>SUM('Rival Packages'!D7:I7)*Assumptions!C19</x:f>
        <x:v>129</x:v>
      </x:c>
      <x:c r="J7" s="31" t="n">
        <x:f>Assumptions!C19</x:f>
        <x:v>43</x:v>
      </x:c>
      <x:c r="K7" s="33" t="str">
        <x:v>Duplicates the complete tri-vector industrial base.</x:v>
      </x:c>
    </x:row>
    <x:row r="8">
      <x:c r="B8" s="31" t="str">
        <x:v>S1</x:v>
      </x:c>
      <x:c r="C8" s="31" t="n">
        <x:f>'Rival Packages'!D8*2*Assumptions!C19</x:f>
        <x:v>86</x:v>
      </x:c>
      <x:c r="D8" s="31" t="n">
        <x:f>'Rival Packages'!E8*4*Assumptions!C19</x:f>
        <x:v>172</x:v>
      </x:c>
      <x:c r="E8" s="31" t="n">
        <x:f>'Rival Packages'!F8*10*Assumptions!C19</x:f>
        <x:v>0</x:v>
      </x:c>
      <x:c r="F8" s="31" t="n">
        <x:f>'Rival Packages'!G8*4*Assumptions!C19</x:f>
        <x:v>0</x:v>
      </x:c>
      <x:c r="G8" s="31" t="n">
        <x:f>'Rival Packages'!H8*3*Assumptions!C19</x:f>
        <x:v>0</x:v>
      </x:c>
      <x:c r="H8" s="31" t="n">
        <x:f>'Rival Packages'!I8*Assumptions!C19</x:f>
        <x:v>0</x:v>
      </x:c>
      <x:c r="I8" s="31" t="n">
        <x:f>SUM('Rival Packages'!D8:I8)*Assumptions!C19</x:f>
        <x:v>86</x:v>
      </x:c>
      <x:c r="J8" s="31" t="n">
        <x:f>Assumptions!C19</x:f>
        <x:v>43</x:v>
      </x:c>
      <x:c r="K8" s="33" t="str">
        <x:v>Adds atmospheric and terrain production without a second corridor fleet.</x:v>
      </x:c>
    </x:row>
    <x:row r="9">
      <x:c r="B9" s="31" t="str">
        <x:v>S2</x:v>
      </x:c>
      <x:c r="C9" s="31" t="n">
        <x:f>'Rival Packages'!D9*2*Assumptions!C19</x:f>
        <x:v>0</x:v>
      </x:c>
      <x:c r="D9" s="31" t="n">
        <x:f>'Rival Packages'!E9*4*Assumptions!C19</x:f>
        <x:v>0</x:v>
      </x:c>
      <x:c r="E9" s="31" t="n">
        <x:f>'Rival Packages'!F9*10*Assumptions!C19</x:f>
        <x:v>430</x:v>
      </x:c>
      <x:c r="F9" s="31" t="n">
        <x:f>'Rival Packages'!G9*4*Assumptions!C19</x:f>
        <x:v>172</x:v>
      </x:c>
      <x:c r="G9" s="31" t="n">
        <x:f>'Rival Packages'!H9*3*Assumptions!C19</x:f>
        <x:v>0</x:v>
      </x:c>
      <x:c r="H9" s="31" t="n">
        <x:f>'Rival Packages'!I9*Assumptions!C19</x:f>
        <x:v>0</x:v>
      </x:c>
      <x:c r="I9" s="31" t="n">
        <x:f>SUM('Rival Packages'!D9:I9)*Assumptions!C19</x:f>
        <x:v>86</x:v>
      </x:c>
      <x:c r="J9" s="31" t="n">
        <x:f>Assumptions!C19</x:f>
        <x:v>43</x:v>
      </x:c>
      <x:c r="K9" s="33" t="str">
        <x:v>Creates a 430-aircraft VHL line and a second corridor fleet.</x:v>
      </x:c>
    </x:row>
    <x:row r="10">
      <x:c r="B10" s="31" t="str">
        <x:v>S3</x:v>
      </x:c>
      <x:c r="C10" s="31" t="n">
        <x:f>'Rival Packages'!D10*2*Assumptions!C19</x:f>
        <x:v>0</x:v>
      </x:c>
      <x:c r="D10" s="31" t="n">
        <x:f>'Rival Packages'!E10*4*Assumptions!C19</x:f>
        <x:v>0</x:v>
      </x:c>
      <x:c r="E10" s="31" t="n">
        <x:f>'Rival Packages'!F10*10*Assumptions!C19</x:f>
        <x:v>430</x:v>
      </x:c>
      <x:c r="F10" s="31" t="n">
        <x:f>'Rival Packages'!G10*4*Assumptions!C19</x:f>
        <x:v>0</x:v>
      </x:c>
      <x:c r="G10" s="31" t="n">
        <x:f>'Rival Packages'!H10*3*Assumptions!C19</x:f>
        <x:v>129</x:v>
      </x:c>
      <x:c r="H10" s="31" t="n">
        <x:f>'Rival Packages'!I10*Assumptions!C19</x:f>
        <x:v>0</x:v>
      </x:c>
      <x:c r="I10" s="31" t="n">
        <x:f>SUM('Rival Packages'!D10:I10)*Assumptions!C19</x:f>
        <x:v>86</x:v>
      </x:c>
      <x:c r="J10" s="31" t="n">
        <x:f>Assumptions!C19</x:f>
        <x:v>43</x:v>
      </x:c>
      <x:c r="K10" s="33" t="str">
        <x:v>Creates VHL scale plus conversion microfactory production.</x:v>
      </x:c>
    </x:row>
    <x:row r="11">
      <x:c r="B11" s="31" t="str">
        <x:v>S4</x:v>
      </x:c>
      <x:c r="C11" s="31" t="n">
        <x:f>'Rival Packages'!D11*2*Assumptions!C19</x:f>
        <x:v>0</x:v>
      </x:c>
      <x:c r="D11" s="31" t="n">
        <x:f>'Rival Packages'!E11*4*Assumptions!C19</x:f>
        <x:v>172</x:v>
      </x:c>
      <x:c r="E11" s="31" t="n">
        <x:f>'Rival Packages'!F11*10*Assumptions!C19</x:f>
        <x:v>0</x:v>
      </x:c>
      <x:c r="F11" s="31" t="n">
        <x:f>'Rival Packages'!G11*4*Assumptions!C19</x:f>
        <x:v>172</x:v>
      </x:c>
      <x:c r="G11" s="31" t="n">
        <x:f>'Rival Packages'!H11*3*Assumptions!C19</x:f>
        <x:v>0</x:v>
      </x:c>
      <x:c r="H11" s="31" t="n">
        <x:f>'Rival Packages'!I11*Assumptions!C19</x:f>
        <x:v>0</x:v>
      </x:c>
      <x:c r="I11" s="31" t="n">
        <x:f>SUM('Rival Packages'!D11:I11)*Assumptions!C19</x:f>
        <x:v>86</x:v>
      </x:c>
      <x:c r="J11" s="31" t="n">
        <x:f>Assumptions!C19</x:f>
        <x:v>43</x:v>
      </x:c>
      <x:c r="K11" s="33" t="str">
        <x:v>Lowest equipment cost but depends on qualified standoff utility service.</x:v>
      </x:c>
    </x:row>
    <x:row r="12">
      <x:c r="B12" s="31" t="str">
        <x:v>S5</x:v>
      </x:c>
      <x:c r="C12" s="31" t="n">
        <x:f>'Rival Packages'!D12*2*Assumptions!C19</x:f>
        <x:v>86</x:v>
      </x:c>
      <x:c r="D12" s="31" t="n">
        <x:f>'Rival Packages'!E12*4*Assumptions!C19</x:f>
        <x:v>0</x:v>
      </x:c>
      <x:c r="E12" s="31" t="n">
        <x:f>'Rival Packages'!F12*10*Assumptions!C19</x:f>
        <x:v>0</x:v>
      </x:c>
      <x:c r="F12" s="31" t="n">
        <x:f>'Rival Packages'!G12*4*Assumptions!C19</x:f>
        <x:v>0</x:v>
      </x:c>
      <x:c r="G12" s="31" t="n">
        <x:f>'Rival Packages'!H12*3*Assumptions!C19</x:f>
        <x:v>0</x:v>
      </x:c>
      <x:c r="H12" s="31" t="n">
        <x:f>'Rival Packages'!I12*Assumptions!C19</x:f>
        <x:v>43</x:v>
      </x:c>
      <x:c r="I12" s="31" t="n">
        <x:f>SUM('Rival Packages'!D12:I12)*Assumptions!C19</x:f>
        <x:v>86</x:v>
      </x:c>
      <x:c r="J12" s="31" t="n">
        <x:f>Assumptions!C19</x:f>
        <x:v>43</x:v>
      </x:c>
      <x:c r="K12" s="33" t="str">
        <x:v>Trades a second mobile mode for forty-three prepared service cells.</x:v>
      </x:c>
    </x:row>
    <x:row r="13">
      <x:c r="B13" s="38" t="str">
        <x:v>S6</x:v>
      </x:c>
      <x:c r="C13" s="38" t="n">
        <x:f>'Rival Packages'!D13*2*Assumptions!C19</x:f>
        <x:v>0</x:v>
      </x:c>
      <x:c r="D13" s="38" t="n">
        <x:f>'Rival Packages'!E13*4*Assumptions!C19</x:f>
        <x:v>0</x:v>
      </x:c>
      <x:c r="E13" s="38" t="n">
        <x:f>'Rival Packages'!F13*10*Assumptions!C19</x:f>
        <x:v>860</x:v>
      </x:c>
      <x:c r="F13" s="38" t="n">
        <x:f>'Rival Packages'!G13*4*Assumptions!C19</x:f>
        <x:v>0</x:v>
      </x:c>
      <x:c r="G13" s="38" t="n">
        <x:f>'Rival Packages'!H13*3*Assumptions!C19</x:f>
        <x:v>0</x:v>
      </x:c>
      <x:c r="H13" s="38" t="n">
        <x:f>'Rival Packages'!I13*Assumptions!C19</x:f>
        <x:v>0</x:v>
      </x:c>
      <x:c r="I13" s="38" t="n">
        <x:f>SUM('Rival Packages'!D13:I13)*Assumptions!C19</x:f>
        <x:v>86</x:v>
      </x:c>
      <x:c r="J13" s="38" t="n">
        <x:f>Assumptions!C19</x:f>
        <x:v>43</x:v>
      </x:c>
      <x:c r="K13" s="40" t="str">
        <x:v>Doubles VHL production while retaining one atmospheric failure domain.</x:v>
      </x:c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19" hidden="0" customWidth="1"/>
    <x:col min="4" max="4" width="14" hidden="0" customWidth="1"/>
    <x:col min="5" max="5" width="24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  <x:col min="10" max="10" width="20" hidden="0" customWidth="1"/>
    <x:col min="11" max="11" width="21" hidden="0" customWidth="1"/>
    <x:col min="12" max="12" width="21" hidden="0" customWidth="1"/>
    <x:col min="13" max="13" width="18" hidden="0" customWidth="1"/>
    <x:col min="14" max="14" width="22" hidden="0" customWidth="1"/>
    <x:col min="15" max="15" width="26" hidden="0" customWidth="1"/>
    <x:col min="16" max="16" width="15" hidden="0" customWidth="1"/>
    <x:col min="17" max="17" width="20" hidden="0" customWidth="1"/>
    <x:col min="18" max="18" width="21" hidden="0" customWidth="1"/>
  </x:cols>
  <x:sheetData>
    <x:row r="2">
      <x:c r="B2" s="3" t="str">
        <x:v>Second-region program comparison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Each package is added to the dynamic F1-C1 one-region boundary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29" t="str">
        <x:v>Code</x:v>
      </x:c>
      <x:c r="C6" s="30" t="str">
        <x:v>Lifecycle/set $B</x:v>
      </x:c>
      <x:c r="D6" s="30" t="str">
        <x:v>Ready groups</x:v>
      </x:c>
      <x:c r="E6" s="30" t="str">
        <x:v>Formation lifecycle $B</x:v>
      </x:c>
      <x:c r="F6" s="30" t="str">
        <x:v>Node capital $B</x:v>
      </x:c>
      <x:c r="G6" s="30" t="str">
        <x:v>Node operations $B</x:v>
      </x:c>
      <x:c r="H6" s="30" t="str">
        <x:v>Custody R&amp;D $B</x:v>
      </x:c>
      <x:c r="I6" s="30" t="str">
        <x:v>Receiver shared $B</x:v>
      </x:c>
      <x:c r="J6" s="30" t="str">
        <x:v>Custody program $B</x:v>
      </x:c>
      <x:c r="K6" s="30" t="str">
        <x:v>Integration R&amp;D $B</x:v>
      </x:c>
      <x:c r="L6" s="30" t="str">
        <x:v>Package increment $B</x:v>
      </x:c>
      <x:c r="M6" s="30" t="str">
        <x:v>F1-C1 base $B</x:v>
      </x:c>
      <x:c r="N6" s="30" t="str">
        <x:v>National boundary $B</x:v>
      </x:c>
      <x:c r="O6" s="30" t="str">
        <x:v>Savings vs full duplicate $B</x:v>
      </x:c>
      <x:c r="P6" s="30" t="str">
        <x:v>Savings %</x:v>
      </x:c>
      <x:c r="Q6" s="30" t="str">
        <x:v>Universal assurance</x:v>
      </x:c>
      <x:c r="R6" s="30" t="str">
        <x:v>Conditional assurance</x:v>
      </x:c>
    </x:row>
    <x:row r="7">
      <x:c r="B7" s="31" t="str">
        <x:v>S0</x:v>
      </x:c>
      <x:c r="C7" s="50" t="n">
        <x:f>'Rival Packages'!L7</x:f>
        <x:v>16.9</x:v>
      </x:c>
      <x:c r="D7" s="51" t="n">
        <x:f>Assumptions!C19</x:f>
        <x:v>43</x:v>
      </x:c>
      <x:c r="E7" s="50" t="n">
        <x:f>C7*D7</x:f>
        <x:v>726.6999999999999</x:v>
      </x:c>
      <x:c r="F7" s="50" t="n">
        <x:f>D7*('Rival Packages'!D7*'Effect Paths'!R7+'Rival Packages'!E7*'Effect Paths'!R8+'Rival Packages'!F7*'Effect Paths'!R9+'Rival Packages'!G7*'Effect Paths'!R10+'Rival Packages'!H7*'Effect Paths'!R11+'Rival Packages'!I7*'Effect Paths'!R12)</x:f>
        <x:v>37.41</x:v>
      </x:c>
      <x:c r="G7" s="50" t="n">
        <x:f>D7*Assumptions!C20*('Rival Packages'!D7*'Effect Paths'!S7+'Rival Packages'!E7*'Effect Paths'!S8+'Rival Packages'!F7*'Effect Paths'!S9+'Rival Packages'!G7*'Effect Paths'!S10+'Rival Packages'!H7*'Effect Paths'!S11+'Rival Packages'!I7*'Effect Paths'!S12)</x:f>
        <x:v>54.3864</x:v>
      </x:c>
      <x:c r="H7" s="50" t="n">
        <x:f>'Rival Packages'!D7*'Effect Paths'!T7+'Rival Packages'!E7*'Effect Paths'!T8+'Rival Packages'!F7*'Effect Paths'!T9+'Rival Packages'!G7*'Effect Paths'!T10+'Rival Packages'!H7*'Effect Paths'!T11+'Rival Packages'!I7*'Effect Paths'!T12</x:f>
        <x:v>35</x:v>
      </x:c>
      <x:c r="I7" s="50" t="n">
        <x:f>Assumptions!C26</x:f>
        <x:v>25</x:v>
      </x:c>
      <x:c r="J7" s="50" t="n">
        <x:f>SUM(F7:I7)</x:f>
        <x:v>151.7964</x:v>
      </x:c>
      <x:c r="K7" s="50" t="n">
        <x:f>'Rival Packages'!M7</x:f>
        <x:v>85</x:v>
      </x:c>
      <x:c r="L7" s="50" t="n">
        <x:f>E7+J7+K7</x:f>
        <x:v>963.4964</x:v>
      </x:c>
      <x:c r="M7" s="50" t="n">
        <x:f>Assumptions!C23</x:f>
        <x:v>7383.14155</x:v>
      </x:c>
      <x:c r="N7" s="50" t="n">
        <x:f>L7+M7</x:f>
        <x:v>8346.63795</x:v>
      </x:c>
      <x:c r="O7" s="50" t="n">
        <x:f>$L$7-L7</x:f>
        <x:v>0</x:v>
      </x:c>
      <x:c r="P7" s="52" t="n">
        <x:f>O7/$L$7</x:f>
        <x:v>0</x:v>
      </x:c>
      <x:c r="Q7" s="45" t="str">
        <x:f>Assurance!J7</x:f>
        <x:v>PASS</x:v>
      </x:c>
      <x:c r="R7" s="53" t="str">
        <x:f>Assurance!N7</x:f>
        <x:v>UNIVERSAL</x:v>
      </x:c>
    </x:row>
    <x:row r="8">
      <x:c r="B8" s="31" t="str">
        <x:v>S1</x:v>
      </x:c>
      <x:c r="C8" s="50" t="n">
        <x:f>'Rival Packages'!L8</x:f>
        <x:v>13.9145</x:v>
      </x:c>
      <x:c r="D8" s="51" t="n">
        <x:f>Assumptions!C19</x:f>
        <x:v>43</x:v>
      </x:c>
      <x:c r="E8" s="50" t="n">
        <x:f>C8*D8</x:f>
        <x:v>598.3235</x:v>
      </x:c>
      <x:c r="F8" s="50" t="n">
        <x:f>D8*('Rival Packages'!D8*'Effect Paths'!R7+'Rival Packages'!E8*'Effect Paths'!R8+'Rival Packages'!F8*'Effect Paths'!R9+'Rival Packages'!G8*'Effect Paths'!R10+'Rival Packages'!H8*'Effect Paths'!R11+'Rival Packages'!I8*'Effect Paths'!R12)</x:f>
        <x:v>27.52</x:v>
      </x:c>
      <x:c r="G8" s="50" t="n">
        <x:f>D8*Assumptions!C20*('Rival Packages'!D8*'Effect Paths'!S7+'Rival Packages'!E8*'Effect Paths'!S8+'Rival Packages'!F8*'Effect Paths'!S9+'Rival Packages'!G8*'Effect Paths'!S10+'Rival Packages'!H8*'Effect Paths'!S11+'Rival Packages'!I8*'Effect Paths'!S12)</x:f>
        <x:v>40.7898</x:v>
      </x:c>
      <x:c r="H8" s="50" t="n">
        <x:f>'Rival Packages'!D8*'Effect Paths'!T7+'Rival Packages'!E8*'Effect Paths'!T8+'Rival Packages'!F8*'Effect Paths'!T9+'Rival Packages'!G8*'Effect Paths'!T10+'Rival Packages'!H8*'Effect Paths'!T11+'Rival Packages'!I8*'Effect Paths'!T12</x:f>
        <x:v>24</x:v>
      </x:c>
      <x:c r="I8" s="50" t="n">
        <x:f>Assumptions!C26</x:f>
        <x:v>25</x:v>
      </x:c>
      <x:c r="J8" s="50" t="n">
        <x:f>SUM(F8:I8)</x:f>
        <x:v>117.3098</x:v>
      </x:c>
      <x:c r="K8" s="50" t="n">
        <x:f>'Rival Packages'!M8</x:f>
        <x:v>55</x:v>
      </x:c>
      <x:c r="L8" s="50" t="n">
        <x:f>E8+J8+K8</x:f>
        <x:v>770.6333</x:v>
      </x:c>
      <x:c r="M8" s="50" t="n">
        <x:f>Assumptions!C23</x:f>
        <x:v>7383.14155</x:v>
      </x:c>
      <x:c r="N8" s="50" t="n">
        <x:f>L8+M8</x:f>
        <x:v>8153.77485</x:v>
      </x:c>
      <x:c r="O8" s="50" t="n">
        <x:f>$L$7-L8</x:f>
        <x:v>192.86310000000003</x:v>
      </x:c>
      <x:c r="P8" s="52" t="n">
        <x:f>O8/$L$7</x:f>
        <x:v>0.20017002658235156</x:v>
      </x:c>
      <x:c r="Q8" s="45" t="str">
        <x:f>Assurance!J8</x:f>
        <x:v>PASS</x:v>
      </x:c>
      <x:c r="R8" s="53" t="str">
        <x:f>Assurance!N8</x:f>
        <x:v>UNIVERSAL</x:v>
      </x:c>
    </x:row>
    <x:row r="9">
      <x:c r="B9" s="31" t="str">
        <x:v>S2</x:v>
      </x:c>
      <x:c r="C9" s="50" t="n">
        <x:f>'Rival Packages'!L9</x:f>
        <x:v>16.3212</x:v>
      </x:c>
      <x:c r="D9" s="51" t="n">
        <x:f>Assumptions!C19</x:f>
        <x:v>43</x:v>
      </x:c>
      <x:c r="E9" s="50" t="n">
        <x:f>C9*D9</x:f>
        <x:v>701.8116</x:v>
      </x:c>
      <x:c r="F9" s="50" t="n">
        <x:f>D9*('Rival Packages'!D9*'Effect Paths'!R7+'Rival Packages'!E9*'Effect Paths'!R8+'Rival Packages'!F9*'Effect Paths'!R9+'Rival Packages'!G9*'Effect Paths'!R10+'Rival Packages'!H9*'Effect Paths'!R11+'Rival Packages'!I9*'Effect Paths'!R12)</x:f>
        <x:v>29.240000000000002</x:v>
      </x:c>
      <x:c r="G9" s="50" t="n">
        <x:f>D9*Assumptions!C20*('Rival Packages'!D9*'Effect Paths'!S7+'Rival Packages'!E9*'Effect Paths'!S8+'Rival Packages'!F9*'Effect Paths'!S9+'Rival Packages'!G9*'Effect Paths'!S10+'Rival Packages'!H9*'Effect Paths'!S11+'Rival Packages'!I9*'Effect Paths'!S12)</x:f>
        <x:v>47.588100000000004</x:v>
      </x:c>
      <x:c r="H9" s="50" t="n">
        <x:f>'Rival Packages'!D9*'Effect Paths'!T7+'Rival Packages'!E9*'Effect Paths'!T8+'Rival Packages'!F9*'Effect Paths'!T9+'Rival Packages'!G9*'Effect Paths'!T10+'Rival Packages'!H9*'Effect Paths'!T11+'Rival Packages'!I9*'Effect Paths'!T12</x:f>
        <x:v>29</x:v>
      </x:c>
      <x:c r="I9" s="50" t="n">
        <x:f>Assumptions!C26</x:f>
        <x:v>25</x:v>
      </x:c>
      <x:c r="J9" s="50" t="n">
        <x:f>SUM(F9:I9)</x:f>
        <x:v>130.8281</x:v>
      </x:c>
      <x:c r="K9" s="50" t="n">
        <x:f>'Rival Packages'!M9</x:f>
        <x:v>90</x:v>
      </x:c>
      <x:c r="L9" s="50" t="n">
        <x:f>E9+J9+K9</x:f>
        <x:v>922.6397</x:v>
      </x:c>
      <x:c r="M9" s="50" t="n">
        <x:f>Assumptions!C23</x:f>
        <x:v>7383.14155</x:v>
      </x:c>
      <x:c r="N9" s="50" t="n">
        <x:f>L9+M9</x:f>
        <x:v>8305.78125</x:v>
      </x:c>
      <x:c r="O9" s="50" t="n">
        <x:f>$L$7-L9</x:f>
        <x:v>40.856700000000046</x:v>
      </x:c>
      <x:c r="P9" s="52" t="n">
        <x:f>O9/$L$7</x:f>
        <x:v>0.04240462133537816</x:v>
      </x:c>
      <x:c r="Q9" s="45" t="str">
        <x:f>Assurance!J9</x:f>
        <x:v>FAIL</x:v>
      </x:c>
      <x:c r="R9" s="53" t="str">
        <x:f>Assurance!N9</x:f>
        <x:v>PASS</x:v>
      </x:c>
    </x:row>
    <x:row r="10">
      <x:c r="B10" s="31" t="str">
        <x:v>S3</x:v>
      </x:c>
      <x:c r="C10" s="50" t="n">
        <x:f>'Rival Packages'!L10</x:f>
        <x:v>15.705</x:v>
      </x:c>
      <x:c r="D10" s="51" t="n">
        <x:f>Assumptions!C19</x:f>
        <x:v>43</x:v>
      </x:c>
      <x:c r="E10" s="50" t="n">
        <x:f>C10*D10</x:f>
        <x:v>675.315</x:v>
      </x:c>
      <x:c r="F10" s="50" t="n">
        <x:f>D10*('Rival Packages'!D10*'Effect Paths'!R7+'Rival Packages'!E10*'Effect Paths'!R8+'Rival Packages'!F10*'Effect Paths'!R9+'Rival Packages'!G10*'Effect Paths'!R10+'Rival Packages'!H10*'Effect Paths'!R11+'Rival Packages'!I10*'Effect Paths'!R12)</x:f>
        <x:v>30.529999999999998</x:v>
      </x:c>
      <x:c r="G10" s="50" t="n">
        <x:f>D10*Assumptions!C20*('Rival Packages'!D10*'Effect Paths'!S7+'Rival Packages'!E10*'Effect Paths'!S8+'Rival Packages'!F10*'Effect Paths'!S9+'Rival Packages'!G10*'Effect Paths'!S10+'Rival Packages'!H10*'Effect Paths'!S11+'Rival Packages'!I10*'Effect Paths'!S12)</x:f>
        <x:v>54.3864</x:v>
      </x:c>
      <x:c r="H10" s="50" t="n">
        <x:f>'Rival Packages'!D10*'Effect Paths'!T7+'Rival Packages'!E10*'Effect Paths'!T8+'Rival Packages'!F10*'Effect Paths'!T9+'Rival Packages'!G10*'Effect Paths'!T10+'Rival Packages'!H10*'Effect Paths'!T11+'Rival Packages'!I10*'Effect Paths'!T12</x:f>
        <x:v>32</x:v>
      </x:c>
      <x:c r="I10" s="50" t="n">
        <x:f>Assumptions!C26</x:f>
        <x:v>25</x:v>
      </x:c>
      <x:c r="J10" s="50" t="n">
        <x:f>SUM(F10:I10)</x:f>
        <x:v>141.9164</x:v>
      </x:c>
      <x:c r="K10" s="50" t="n">
        <x:f>'Rival Packages'!M10</x:f>
        <x:v>105</x:v>
      </x:c>
      <x:c r="L10" s="50" t="n">
        <x:f>E10+J10+K10</x:f>
        <x:v>922.2314000000001</x:v>
      </x:c>
      <x:c r="M10" s="50" t="n">
        <x:f>Assumptions!C23</x:f>
        <x:v>7383.14155</x:v>
      </x:c>
      <x:c r="N10" s="50" t="n">
        <x:f>L10+M10</x:f>
        <x:v>8305.37295</x:v>
      </x:c>
      <x:c r="O10" s="50" t="n">
        <x:f>$L$7-L10</x:f>
        <x:v>41.26499999999987</x:v>
      </x:c>
      <x:c r="P10" s="52" t="n">
        <x:f>O10/$L$7</x:f>
        <x:v>0.04282839043301031</x:v>
      </x:c>
      <x:c r="Q10" s="45" t="str">
        <x:f>Assurance!J10</x:f>
        <x:v>FAIL</x:v>
      </x:c>
      <x:c r="R10" s="53" t="str">
        <x:f>Assurance!N10</x:f>
        <x:v>PASS</x:v>
      </x:c>
    </x:row>
    <x:row r="11">
      <x:c r="B11" s="31" t="str">
        <x:v>S4</x:v>
      </x:c>
      <x:c r="C11" s="50" t="n">
        <x:f>'Rival Packages'!L11</x:f>
        <x:v>9.4592</x:v>
      </x:c>
      <x:c r="D11" s="51" t="n">
        <x:f>Assumptions!C19</x:f>
        <x:v>43</x:v>
      </x:c>
      <x:c r="E11" s="50" t="n">
        <x:f>C11*D11</x:f>
        <x:v>406.74559999999997</x:v>
      </x:c>
      <x:c r="F11" s="50" t="n">
        <x:f>D11*('Rival Packages'!D11*'Effect Paths'!R7+'Rival Packages'!E11*'Effect Paths'!R8+'Rival Packages'!F11*'Effect Paths'!R9+'Rival Packages'!G11*'Effect Paths'!R10+'Rival Packages'!H11*'Effect Paths'!R11+'Rival Packages'!I11*'Effect Paths'!R12)</x:f>
        <x:v>23.650000000000002</x:v>
      </x:c>
      <x:c r="G11" s="50" t="n">
        <x:f>D11*Assumptions!C20*('Rival Packages'!D11*'Effect Paths'!S7+'Rival Packages'!E11*'Effect Paths'!S8+'Rival Packages'!F11*'Effect Paths'!S9+'Rival Packages'!G11*'Effect Paths'!S10+'Rival Packages'!H11*'Effect Paths'!S11+'Rival Packages'!I11*'Effect Paths'!S12)</x:f>
        <x:v>33.9915</x:v>
      </x:c>
      <x:c r="H11" s="50" t="n">
        <x:f>'Rival Packages'!D11*'Effect Paths'!T7+'Rival Packages'!E11*'Effect Paths'!T8+'Rival Packages'!F11*'Effect Paths'!T9+'Rival Packages'!G11*'Effect Paths'!T10+'Rival Packages'!H11*'Effect Paths'!T11+'Rival Packages'!I11*'Effect Paths'!T12</x:f>
        <x:v>23</x:v>
      </x:c>
      <x:c r="I11" s="50" t="n">
        <x:f>Assumptions!C26</x:f>
        <x:v>25</x:v>
      </x:c>
      <x:c r="J11" s="50" t="n">
        <x:f>SUM(F11:I11)</x:f>
        <x:v>105.64150000000001</x:v>
      </x:c>
      <x:c r="K11" s="50" t="n">
        <x:f>'Rival Packages'!M11</x:f>
        <x:v>60</x:v>
      </x:c>
      <x:c r="L11" s="50" t="n">
        <x:f>E11+J11+K11</x:f>
        <x:v>572.3870999999999</x:v>
      </x:c>
      <x:c r="M11" s="50" t="n">
        <x:f>Assumptions!C23</x:f>
        <x:v>7383.14155</x:v>
      </x:c>
      <x:c r="N11" s="50" t="n">
        <x:f>L11+M11</x:f>
        <x:v>7955.52865</x:v>
      </x:c>
      <x:c r="O11" s="50" t="n">
        <x:f>$L$7-L11</x:f>
        <x:v>391.1093000000001</x:v>
      </x:c>
      <x:c r="P11" s="52" t="n">
        <x:f>O11/$L$7</x:f>
        <x:v>0.4059271005060321</x:v>
      </x:c>
      <x:c r="Q11" s="45" t="str">
        <x:f>Assurance!J11</x:f>
        <x:v>FAIL</x:v>
      </x:c>
      <x:c r="R11" s="53" t="str">
        <x:f>Assurance!N11</x:f>
        <x:v>PASS</x:v>
      </x:c>
    </x:row>
    <x:row r="12">
      <x:c r="B12" s="31" t="str">
        <x:v>S5</x:v>
      </x:c>
      <x:c r="C12" s="50" t="n">
        <x:f>'Rival Packages'!L12</x:f>
        <x:v>13.0525</x:v>
      </x:c>
      <x:c r="D12" s="51" t="n">
        <x:f>Assumptions!C19</x:f>
        <x:v>43</x:v>
      </x:c>
      <x:c r="E12" s="50" t="n">
        <x:f>C12*D12</x:f>
        <x:v>561.2575</x:v>
      </x:c>
      <x:c r="F12" s="50" t="n">
        <x:f>D12*('Rival Packages'!D12*'Effect Paths'!R7+'Rival Packages'!E12*'Effect Paths'!R8+'Rival Packages'!F12*'Effect Paths'!R9+'Rival Packages'!G12*'Effect Paths'!R10+'Rival Packages'!H12*'Effect Paths'!R11+'Rival Packages'!I12*'Effect Paths'!R12)</x:f>
        <x:v>35.260000000000005</x:v>
      </x:c>
      <x:c r="G12" s="50" t="n">
        <x:f>D12*Assumptions!C20*('Rival Packages'!D12*'Effect Paths'!S7+'Rival Packages'!E12*'Effect Paths'!S8+'Rival Packages'!F12*'Effect Paths'!S9+'Rival Packages'!G12*'Effect Paths'!S10+'Rival Packages'!H12*'Effect Paths'!S11+'Rival Packages'!I12*'Effect Paths'!S12)</x:f>
        <x:v>47.588100000000004</x:v>
      </x:c>
      <x:c r="H12" s="50" t="n">
        <x:f>'Rival Packages'!D12*'Effect Paths'!T7+'Rival Packages'!E12*'Effect Paths'!T8+'Rival Packages'!F12*'Effect Paths'!T9+'Rival Packages'!G12*'Effect Paths'!T10+'Rival Packages'!H12*'Effect Paths'!T11+'Rival Packages'!I12*'Effect Paths'!T12</x:f>
        <x:v>28</x:v>
      </x:c>
      <x:c r="I12" s="50" t="n">
        <x:f>Assumptions!C26</x:f>
        <x:v>25</x:v>
      </x:c>
      <x:c r="J12" s="50" t="n">
        <x:f>SUM(F12:I12)</x:f>
        <x:v>135.84810000000002</x:v>
      </x:c>
      <x:c r="K12" s="50" t="n">
        <x:f>'Rival Packages'!M12</x:f>
        <x:v>70</x:v>
      </x:c>
      <x:c r="L12" s="50" t="n">
        <x:f>E12+J12+K12</x:f>
        <x:v>767.1056000000001</x:v>
      </x:c>
      <x:c r="M12" s="50" t="n">
        <x:f>Assumptions!C23</x:f>
        <x:v>7383.14155</x:v>
      </x:c>
      <x:c r="N12" s="50" t="n">
        <x:f>L12+M12</x:f>
        <x:v>8150.24715</x:v>
      </x:c>
      <x:c r="O12" s="50" t="n">
        <x:f>$L$7-L12</x:f>
        <x:v>196.3907999999999</x:v>
      </x:c>
      <x:c r="P12" s="52" t="n">
        <x:f>O12/$L$7</x:f>
        <x:v>0.2038313791312556</x:v>
      </x:c>
      <x:c r="Q12" s="45" t="str">
        <x:f>Assurance!J12</x:f>
        <x:v>FAIL</x:v>
      </x:c>
      <x:c r="R12" s="53" t="str">
        <x:f>Assurance!N12</x:f>
        <x:v>PASS</x:v>
      </x:c>
    </x:row>
    <x:row r="13">
      <x:c r="B13" s="38" t="str">
        <x:v>S6</x:v>
      </x:c>
      <x:c r="C13" s="54" t="n">
        <x:f>'Rival Packages'!L13</x:f>
        <x:v>26.448</x:v>
      </x:c>
      <x:c r="D13" s="55" t="n">
        <x:f>Assumptions!C19</x:f>
        <x:v>43</x:v>
      </x:c>
      <x:c r="E13" s="54" t="n">
        <x:f>C13*D13</x:f>
        <x:v>1137.2640000000001</x:v>
      </x:c>
      <x:c r="F13" s="54" t="n">
        <x:f>D13*('Rival Packages'!D13*'Effect Paths'!R7+'Rival Packages'!E13*'Effect Paths'!R8+'Rival Packages'!F13*'Effect Paths'!R9+'Rival Packages'!G13*'Effect Paths'!R10+'Rival Packages'!H13*'Effect Paths'!R11+'Rival Packages'!I13*'Effect Paths'!R12)</x:f>
        <x:v>38.7</x:v>
      </x:c>
      <x:c r="G13" s="54" t="n">
        <x:f>D13*Assumptions!C20*('Rival Packages'!D13*'Effect Paths'!S7+'Rival Packages'!E13*'Effect Paths'!S8+'Rival Packages'!F13*'Effect Paths'!S9+'Rival Packages'!G13*'Effect Paths'!S10+'Rival Packages'!H13*'Effect Paths'!S11+'Rival Packages'!I13*'Effect Paths'!S12)</x:f>
        <x:v>67.983</x:v>
      </x:c>
      <x:c r="H13" s="54" t="n">
        <x:f>'Rival Packages'!D13*'Effect Paths'!T7+'Rival Packages'!E13*'Effect Paths'!T8+'Rival Packages'!F13*'Effect Paths'!T9+'Rival Packages'!G13*'Effect Paths'!T10+'Rival Packages'!H13*'Effect Paths'!T11+'Rival Packages'!I13*'Effect Paths'!T12</x:f>
        <x:v>36</x:v>
      </x:c>
      <x:c r="I13" s="54" t="n">
        <x:f>Assumptions!C26</x:f>
        <x:v>25</x:v>
      </x:c>
      <x:c r="J13" s="54" t="n">
        <x:f>SUM(F13:I13)</x:f>
        <x:v>167.683</x:v>
      </x:c>
      <x:c r="K13" s="54" t="n">
        <x:f>'Rival Packages'!M13</x:f>
        <x:v>95</x:v>
      </x:c>
      <x:c r="L13" s="54" t="n">
        <x:f>E13+J13+K13</x:f>
        <x:v>1399.9470000000001</x:v>
      </x:c>
      <x:c r="M13" s="54" t="n">
        <x:f>Assumptions!C23</x:f>
        <x:v>7383.14155</x:v>
      </x:c>
      <x:c r="N13" s="54" t="n">
        <x:f>L13+M13</x:f>
        <x:v>8783.08855</x:v>
      </x:c>
      <x:c r="O13" s="54" t="n">
        <x:f>$L$7-L13</x:f>
        <x:v>-436.4506000000001</x:v>
      </x:c>
      <x:c r="P13" s="56" t="n">
        <x:f>O13/$L$7</x:f>
        <x:v>-0.4529862280751647</x:v>
      </x:c>
      <x:c r="Q13" s="46" t="str">
        <x:f>Assurance!J13</x:f>
        <x:v>FAIL</x:v>
      </x:c>
      <x:c r="R13" s="57" t="str">
        <x:f>Assurance!N13</x:f>
        <x:v>FAIL</x:v>
      </x:c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</x:sheetData>
  <x:conditionalFormatting sqref="Q7:R13">
    <x:cfRule type="containsText" dxfId="3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5" hidden="0" customWidth="1"/>
    <x:col min="4" max="4" width="16" hidden="0" customWidth="1"/>
    <x:col min="5" max="5" width="45" hidden="0" customWidth="1"/>
    <x:col min="6" max="6" width="34" hidden="0" customWidth="1"/>
    <x:col min="7" max="7" width="36" hidden="0" customWidth="1"/>
    <x:col min="8" max="8" width="34" hidden="0" customWidth="1"/>
    <x:col min="9" max="9" width="24" hidden="0" customWidth="1"/>
    <x:col min="10" max="10" width="14" hidden="0" customWidth="1"/>
    <x:col min="11" max="11" width="14" hidden="0" customWidth="1"/>
  </x:cols>
  <x:sheetData>
    <x:row r="2">
      <x:c r="B2" s="3" t="str">
        <x:v>Second-region technology campaigns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Research changes the assurance coefficient only after full-chain failure testing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9" t="str">
        <x:v>Campaign</x:v>
      </x:c>
      <x:c r="C6" s="30" t="str">
        <x:v>25-year $B</x:v>
      </x:c>
      <x:c r="D6" s="30" t="str">
        <x:v>Relevant rivals</x:v>
      </x:c>
      <x:c r="E6" s="30" t="str">
        <x:v>Required advance</x:v>
      </x:c>
      <x:c r="F6" s="30" t="str">
        <x:v>Representative article</x:v>
      </x:c>
      <x:c r="G6" s="30" t="str">
        <x:v>Decisive failure</x:v>
      </x:c>
      <x:c r="H6" s="30" t="str">
        <x:v>Industrial result</x:v>
      </x:c>
      <x:c r="I6" s="30" t="str">
        <x:v>Program treatment</x:v>
      </x:c>
      <x:c r="J6" s="30" t="str">
        <x:v>Evidence</x:v>
      </x:c>
      <x:c r="K6" s="30" t="str">
        <x:v>Rendering</x:v>
      </x:c>
    </x:row>
    <x:row r="7">
      <x:c r="B7" s="31" t="str">
        <x:v>Dual-carriage formation integration</x:v>
      </x:c>
      <x:c r="C7" s="59" t="n">
        <x:v>14</x:v>
      </x:c>
      <x:c r="D7" s="31" t="str">
        <x:v>S0/S1</x:v>
      </x:c>
      <x:c r="E7" s="31" t="str">
        <x:v>two complete payloads arrive through different physics</x:v>
      </x:c>
      <x:c r="F7" s="31" t="str">
        <x:v>paired region-B mission</x:v>
      </x:c>
      <x:c r="G7" s="31" t="str">
        <x:v>one path, crew or release removed</x:v>
      </x:c>
      <x:c r="H7" s="31" t="str">
        <x:v>integrated HBL and terrain production</x:v>
      </x:c>
      <x:c r="I7" s="31" t="str">
        <x:v>inside integration R&amp;D</x:v>
      </x:c>
      <x:c r="J7" s="31" t="str">
        <x:v>OPEN</x:v>
      </x:c>
      <x:c r="K7" s="33" t="str">
        <x:v>BLOCKED</x:v>
      </x:c>
    </x:row>
    <x:row r="8">
      <x:c r="B8" s="31" t="str">
        <x:v>Plural payload-interface implementations</x:v>
      </x:c>
      <x:c r="C8" s="59" t="n">
        <x:v>8</x:v>
      </x:c>
      <x:c r="D8" s="31" t="str">
        <x:v>all</x:v>
      </x:c>
      <x:c r="E8" s="31" t="str">
        <x:v>interchangeability without common defect</x:v>
      </x:c>
      <x:c r="F8" s="31" t="str">
        <x:v>two full 32-position lots</x:v>
      </x:c>
      <x:c r="G8" s="31" t="str">
        <x:v>one interface family defective</x:v>
      </x:c>
      <x:c r="H8" s="31" t="str">
        <x:v>competitive module suppliers</x:v>
      </x:c>
      <x:c r="I8" s="31" t="str">
        <x:v>inside integration R&amp;D</x:v>
      </x:c>
      <x:c r="J8" s="31" t="str">
        <x:v>OPEN</x:v>
      </x:c>
      <x:c r="K8" s="33" t="str">
        <x:v>BLOCKED</x:v>
      </x:c>
    </x:row>
    <x:row r="9">
      <x:c r="B9" s="31" t="str">
        <x:v>Independent receiver echelon</x:v>
      </x:c>
      <x:c r="C9" s="59" t="n">
        <x:v>7</x:v>
      </x:c>
      <x:c r="D9" s="31" t="str">
        <x:v>all</x:v>
      </x:c>
      <x:c r="E9" s="31" t="str">
        <x:v>accept, connect and release without region A</x:v>
      </x:c>
      <x:c r="F9" s="31" t="str">
        <x:v>occupied-district receiver team</x:v>
      </x:c>
      <x:c r="G9" s="31" t="str">
        <x:v>national network and senior command denied</x:v>
      </x:c>
      <x:c r="H9" s="31" t="str">
        <x:v>regional schools and test sites</x:v>
      </x:c>
      <x:c r="I9" s="31" t="str">
        <x:v>inside receiver shared</x:v>
      </x:c>
      <x:c r="J9" s="31" t="str">
        <x:v>OPEN</x:v>
      </x:c>
      <x:c r="K9" s="33" t="str">
        <x:v>BLOCKED</x:v>
      </x:c>
    </x:row>
    <x:row r="10">
      <x:c r="B10" s="31" t="str">
        <x:v>Cross-physics dispatch compiler</x:v>
      </x:c>
      <x:c r="C10" s="59" t="n">
        <x:v>6</x:v>
      </x:c>
      <x:c r="D10" s="31" t="str">
        <x:v>S0/S1</x:v>
      </x:c>
      <x:c r="E10" s="31" t="str">
        <x:v>auditable mode-specific load and route plans</x:v>
      </x:c>
      <x:c r="F10" s="31" t="str">
        <x:v>arsenal-to-receiver dispatch</x:v>
      </x:c>
      <x:c r="G10" s="31" t="str">
        <x:v>late or incompatible payload</x:v>
      </x:c>
      <x:c r="H10" s="31" t="str">
        <x:v>formal logistics software sector</x:v>
      </x:c>
      <x:c r="I10" s="31" t="str">
        <x:v>inside integration R&amp;D</x:v>
      </x:c>
      <x:c r="J10" s="31" t="str">
        <x:v>OPEN</x:v>
      </x:c>
      <x:c r="K10" s="33" t="str">
        <x:v>BLOCKED</x:v>
      </x:c>
    </x:row>
    <x:row r="11">
      <x:c r="B11" s="31" t="str">
        <x:v>Cross-mode recovery and handoff</x:v>
      </x:c>
      <x:c r="C11" s="59" t="n">
        <x:v>8</x:v>
      </x:c>
      <x:c r="D11" s="31" t="str">
        <x:v>S0/S1</x:v>
      </x:c>
      <x:c r="E11" s="31" t="str">
        <x:v>one mode recovers the other's failed mission</x:v>
      </x:c>
      <x:c r="F11" s="31" t="str">
        <x:v>damaged-vehicle recovery trial</x:v>
      </x:c>
      <x:c r="G11" s="31" t="str">
        <x:v>vehicle loss during unload</x:v>
      </x:c>
      <x:c r="H11" s="31" t="str">
        <x:v>recovery equipment industry</x:v>
      </x:c>
      <x:c r="I11" s="31" t="str">
        <x:v>inside integration R&amp;D</x:v>
      </x:c>
      <x:c r="J11" s="31" t="str">
        <x:v>OPEN</x:v>
      </x:c>
      <x:c r="K11" s="33" t="str">
        <x:v>BLOCKED</x:v>
      </x:c>
    </x:row>
    <x:row r="12">
      <x:c r="B12" s="31" t="str">
        <x:v>Two-region full-mission proving</x:v>
      </x:c>
      <x:c r="C12" s="59" t="n">
        <x:v>12</x:v>
      </x:c>
      <x:c r="D12" s="31" t="str">
        <x:v>all</x:v>
      </x:c>
      <x:c r="E12" s="31" t="str">
        <x:v>repeat loss trials with separate public release</x:v>
      </x:c>
      <x:c r="F12" s="31" t="str">
        <x:v>paired proving campaign</x:v>
      </x:c>
      <x:c r="G12" s="31" t="str">
        <x:v>mode, site, network and casualty loss</x:v>
      </x:c>
      <x:c r="H12" s="31" t="str">
        <x:v>national access ranges</x:v>
      </x:c>
      <x:c r="I12" s="31" t="str">
        <x:v>inside integration R&amp;D</x:v>
      </x:c>
      <x:c r="J12" s="31" t="str">
        <x:v>OPEN</x:v>
      </x:c>
      <x:c r="K12" s="33" t="str">
        <x:v>BLOCKED</x:v>
      </x:c>
    </x:row>
    <x:row r="13">
      <x:c r="B13" s="31" t="str">
        <x:v>Functional N+1 VHL lattice</x:v>
      </x:c>
      <x:c r="C13" s="59" t="n">
        <x:v>22</x:v>
      </x:c>
      <x:c r="D13" s="31" t="str">
        <x:v>S2/S3/S6</x:v>
      </x:c>
      <x:c r="E13" s="31" t="str">
        <x:v>one-aircraft loss preserves every service function</x:v>
      </x:c>
      <x:c r="F13" s="31" t="str">
        <x:v>ten-aircraft 720 t load</x:v>
      </x:c>
      <x:c r="G13" s="31" t="str">
        <x:v>aircraft and position loss</x:v>
      </x:c>
      <x:c r="H13" s="31" t="str">
        <x:v>high-rate heavy-VTOL line</x:v>
      </x:c>
      <x:c r="I13" s="31" t="str">
        <x:v>inside rival R&amp;D</x:v>
      </x:c>
      <x:c r="J13" s="31" t="str">
        <x:v>OPEN</x:v>
      </x:c>
      <x:c r="K13" s="33" t="str">
        <x:v>BLOCKED</x:v>
      </x:c>
    </x:row>
    <x:row r="14">
      <x:c r="B14" s="31" t="str">
        <x:v>Self-isolating utility tissue</x:v>
      </x:c>
      <x:c r="C14" s="59" t="n">
        <x:v>18</x:v>
      </x:c>
      <x:c r="D14" s="31" t="str">
        <x:v>S0/S2/S4</x:v>
      </x:c>
      <x:c r="E14" s="31" t="str">
        <x:v>100 km power, water, thermal and data bridge</x:v>
      </x:c>
      <x:c r="F14" s="31" t="str">
        <x:v>live corridor system</x:v>
      </x:c>
      <x:c r="G14" s="31" t="str">
        <x:v>rupture, contamination and source loss</x:v>
      </x:c>
      <x:c r="H14" s="31" t="str">
        <x:v>cable, hose and robotics sector</x:v>
      </x:c>
      <x:c r="I14" s="31" t="str">
        <x:v>inside rival R&amp;D</x:v>
      </x:c>
      <x:c r="J14" s="31" t="str">
        <x:v>OPEN</x:v>
      </x:c>
      <x:c r="K14" s="33" t="str">
        <x:v>BLOCKED</x:v>
      </x:c>
    </x:row>
    <x:row r="15">
      <x:c r="B15" s="31" t="str">
        <x:v>Assured local-conversion cell</x:v>
      </x:c>
      <x:c r="C15" s="59" t="n">
        <x:v>25</x:v>
      </x:c>
      <x:c r="D15" s="31" t="str">
        <x:v>S3</x:v>
      </x:c>
      <x:c r="E15" s="31" t="str">
        <x:v>certified service from variable local matter</x:v>
      </x:c>
      <x:c r="F15" s="31" t="str">
        <x:v>150 t seed microfactory</x:v>
      </x:c>
      <x:c r="G15" s="31" t="str">
        <x:v>feedstock contamination and bad recipe</x:v>
      </x:c>
      <x:c r="H15" s="31" t="str">
        <x:v>mobile process industry</x:v>
      </x:c>
      <x:c r="I15" s="31" t="str">
        <x:v>inside rival R&amp;D</x:v>
      </x:c>
      <x:c r="J15" s="31" t="str">
        <x:v>OPEN</x:v>
      </x:c>
      <x:c r="K15" s="33" t="str">
        <x:v>BLOCKED</x:v>
      </x:c>
    </x:row>
    <x:row r="16">
      <x:c r="B16" s="38" t="str">
        <x:v>Dormant prepared-cell readiness</x:v>
      </x:c>
      <x:c r="C16" s="60" t="n">
        <x:v>20</x:v>
      </x:c>
      <x:c r="D16" s="38" t="str">
        <x:v>S5</x:v>
      </x:c>
      <x:c r="E16" s="38" t="str">
        <x:v>fixed service survives years between activations</x:v>
      </x:c>
      <x:c r="F16" s="38" t="str">
        <x:v>prepared 580 t cell</x:v>
      </x:c>
      <x:c r="G16" s="38" t="str">
        <x:v>site loss and failed recommissioning</x:v>
      </x:c>
      <x:c r="H16" s="38" t="str">
        <x:v>civic service-island industry</x:v>
      </x:c>
      <x:c r="I16" s="38" t="str">
        <x:v>inside rival R&amp;D</x:v>
      </x:c>
      <x:c r="J16" s="38" t="str">
        <x:v>OPEN</x:v>
      </x:c>
      <x:c r="K16" s="40" t="str">
        <x:v>BLOCKED</x:v>
      </x:c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41" hidden="0" customWidth="1"/>
    <x:col min="4" max="4" width="14" hidden="0" customWidth="1"/>
    <x:col min="5" max="5" width="43" hidden="0" customWidth="1"/>
    <x:col min="6" max="6" width="31" hidden="0" customWidth="1"/>
    <x:col min="7" max="7" width="29" hidden="0" customWidth="1"/>
    <x:col min="8" max="8" width="14" hidden="0" customWidth="1"/>
    <x:col min="9" max="9" width="29" hidden="0" customWidth="1"/>
  </x:cols>
  <x:sheetData>
    <x:row r="2">
      <x:c r="B2" s="3" t="str">
        <x:v>Second-region evidence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Calculated assurance remains a hypothesis until representative trials close every applicable gate</x:v>
      </x:c>
      <x:c r="C3" s="4"/>
      <x:c r="D3" s="4"/>
      <x:c r="E3" s="4"/>
      <x:c r="F3" s="4"/>
      <x:c r="G3" s="4"/>
      <x:c r="H3" s="4"/>
      <x:c r="I3" s="4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9" t="str">
        <x:v>Gate</x:v>
      </x:c>
      <x:c r="C6" s="30" t="str">
        <x:v>Evidence required</x:v>
      </x:c>
      <x:c r="D6" s="30" t="str">
        <x:v>Article</x:v>
      </x:c>
      <x:c r="E6" s="30" t="str">
        <x:v>Failure insertion</x:v>
      </x:c>
      <x:c r="F6" s="30" t="str">
        <x:v>Threshold</x:v>
      </x:c>
      <x:c r="G6" s="30" t="str">
        <x:v>Owner</x:v>
      </x:c>
      <x:c r="H6" s="30" t="str">
        <x:v>State</x:v>
      </x:c>
      <x:c r="I6" s="30" t="str">
        <x:v>Consequence</x:v>
      </x:c>
    </x:row>
    <x:row r="7">
      <x:c r="B7" s="31" t="str">
        <x:v>E01</x:v>
      </x:c>
      <x:c r="C7" s="31" t="str">
        <x:v>M1 complete path</x:v>
      </x:c>
      <x:c r="D7" s="31" t="str">
        <x:v>M1</x:v>
      </x:c>
      <x:c r="E7" s="31" t="str">
        <x:v>remove the named path, dependency or authority</x:v>
      </x:c>
      <x:c r="F7" s="31" t="str">
        <x:v>representative measured pass</x:v>
      </x:c>
      <x:c r="G7" s="31" t="str">
        <x:v>Access Test Directorate</x:v>
      </x:c>
      <x:c r="H7" s="31" t="str">
        <x:v>OPEN</x:v>
      </x:c>
      <x:c r="I7" s="33" t="str">
        <x:v>no current or strict credit</x:v>
      </x:c>
    </x:row>
    <x:row r="8">
      <x:c r="B8" s="31" t="str">
        <x:v>E02</x:v>
      </x:c>
      <x:c r="C8" s="31" t="str">
        <x:v>M3 complete path</x:v>
      </x:c>
      <x:c r="D8" s="31" t="str">
        <x:v>M3</x:v>
      </x:c>
      <x:c r="E8" s="31" t="str">
        <x:v>remove the named path, dependency or authority</x:v>
      </x:c>
      <x:c r="F8" s="31" t="str">
        <x:v>representative measured pass</x:v>
      </x:c>
      <x:c r="G8" s="31" t="str">
        <x:v>Fourth Access Command</x:v>
      </x:c>
      <x:c r="H8" s="31" t="str">
        <x:v>OPEN</x:v>
      </x:c>
      <x:c r="I8" s="33" t="str">
        <x:v>no current or strict credit</x:v>
      </x:c>
    </x:row>
    <x:row r="9">
      <x:c r="B9" s="31" t="str">
        <x:v>E03</x:v>
      </x:c>
      <x:c r="C9" s="31" t="str">
        <x:v>M4R functional N+1 path</x:v>
      </x:c>
      <x:c r="D9" s="31" t="str">
        <x:v>M4R</x:v>
      </x:c>
      <x:c r="E9" s="31" t="str">
        <x:v>remove the named path, dependency or authority</x:v>
      </x:c>
      <x:c r="F9" s="31" t="str">
        <x:v>representative measured pass</x:v>
      </x:c>
      <x:c r="G9" s="31" t="str">
        <x:v>Access Test Directorate</x:v>
      </x:c>
      <x:c r="H9" s="31" t="str">
        <x:v>OPEN</x:v>
      </x:c>
      <x:c r="I9" s="33" t="str">
        <x:v>no current or strict credit</x:v>
      </x:c>
    </x:row>
    <x:row r="10">
      <x:c r="B10" s="31" t="str">
        <x:v>E04</x:v>
      </x:c>
      <x:c r="C10" s="31" t="str">
        <x:v>M5 complete bridge</x:v>
      </x:c>
      <x:c r="D10" s="31" t="str">
        <x:v>M5</x:v>
      </x:c>
      <x:c r="E10" s="31" t="str">
        <x:v>remove the named path, dependency or authority</x:v>
      </x:c>
      <x:c r="F10" s="31" t="str">
        <x:v>representative measured pass</x:v>
      </x:c>
      <x:c r="G10" s="31" t="str">
        <x:v>Fourth Access Command</x:v>
      </x:c>
      <x:c r="H10" s="31" t="str">
        <x:v>OPEN</x:v>
      </x:c>
      <x:c r="I10" s="33" t="str">
        <x:v>no current or strict credit</x:v>
      </x:c>
    </x:row>
    <x:row r="11">
      <x:c r="B11" s="31" t="str">
        <x:v>E05</x:v>
      </x:c>
      <x:c r="C11" s="31" t="str">
        <x:v>M6 complete conversion</x:v>
      </x:c>
      <x:c r="D11" s="31" t="str">
        <x:v>M6</x:v>
      </x:c>
      <x:c r="E11" s="31" t="str">
        <x:v>remove the named path, dependency or authority</x:v>
      </x:c>
      <x:c r="F11" s="31" t="str">
        <x:v>representative measured pass</x:v>
      </x:c>
      <x:c r="G11" s="31" t="str">
        <x:v>Access Test Directorate</x:v>
      </x:c>
      <x:c r="H11" s="31" t="str">
        <x:v>OPEN</x:v>
      </x:c>
      <x:c r="I11" s="33" t="str">
        <x:v>no current or strict credit</x:v>
      </x:c>
    </x:row>
    <x:row r="12">
      <x:c r="B12" s="31" t="str">
        <x:v>E06</x:v>
      </x:c>
      <x:c r="C12" s="31" t="str">
        <x:v>P0 prepared cell</x:v>
      </x:c>
      <x:c r="D12" s="31" t="str">
        <x:v>P0</x:v>
      </x:c>
      <x:c r="E12" s="31" t="str">
        <x:v>remove the named path, dependency or authority</x:v>
      </x:c>
      <x:c r="F12" s="31" t="str">
        <x:v>representative measured pass</x:v>
      </x:c>
      <x:c r="G12" s="31" t="str">
        <x:v>Fourth Access Command</x:v>
      </x:c>
      <x:c r="H12" s="31" t="str">
        <x:v>OPEN</x:v>
      </x:c>
      <x:c r="I12" s="33" t="str">
        <x:v>no current or strict credit</x:v>
      </x:c>
    </x:row>
    <x:row r="13">
      <x:c r="B13" s="31" t="str">
        <x:v>E07</x:v>
      </x:c>
      <x:c r="C13" s="31" t="str">
        <x:v>S0 full duplicate</x:v>
      </x:c>
      <x:c r="D13" s="31" t="str">
        <x:v>S0</x:v>
      </x:c>
      <x:c r="E13" s="31" t="str">
        <x:v>remove the named path, dependency or authority</x:v>
      </x:c>
      <x:c r="F13" s="31" t="str">
        <x:v>representative measured pass</x:v>
      </x:c>
      <x:c r="G13" s="31" t="str">
        <x:v>Access Test Directorate</x:v>
      </x:c>
      <x:c r="H13" s="31" t="str">
        <x:v>OPEN</x:v>
      </x:c>
      <x:c r="I13" s="33" t="str">
        <x:v>no current or strict credit</x:v>
      </x:c>
    </x:row>
    <x:row r="14">
      <x:c r="B14" s="31" t="str">
        <x:v>E08</x:v>
      </x:c>
      <x:c r="C14" s="31" t="str">
        <x:v>S1 dual carriage</x:v>
      </x:c>
      <x:c r="D14" s="31" t="str">
        <x:v>S1</x:v>
      </x:c>
      <x:c r="E14" s="31" t="str">
        <x:v>remove the named path, dependency or authority</x:v>
      </x:c>
      <x:c r="F14" s="31" t="str">
        <x:v>representative measured pass</x:v>
      </x:c>
      <x:c r="G14" s="31" t="str">
        <x:v>Fourth Access Command</x:v>
      </x:c>
      <x:c r="H14" s="31" t="str">
        <x:v>OPEN</x:v>
      </x:c>
      <x:c r="I14" s="33" t="str">
        <x:v>no current or strict credit</x:v>
      </x:c>
    </x:row>
    <x:row r="15">
      <x:c r="B15" s="31" t="str">
        <x:v>E09</x:v>
      </x:c>
      <x:c r="C15" s="31" t="str">
        <x:v>S2 VHL plus bridge</x:v>
      </x:c>
      <x:c r="D15" s="31" t="str">
        <x:v>S2</x:v>
      </x:c>
      <x:c r="E15" s="31" t="str">
        <x:v>remove the named path, dependency or authority</x:v>
      </x:c>
      <x:c r="F15" s="31" t="str">
        <x:v>representative measured pass</x:v>
      </x:c>
      <x:c r="G15" s="31" t="str">
        <x:v>Access Test Directorate</x:v>
      </x:c>
      <x:c r="H15" s="31" t="str">
        <x:v>OPEN</x:v>
      </x:c>
      <x:c r="I15" s="33" t="str">
        <x:v>no current or strict credit</x:v>
      </x:c>
    </x:row>
    <x:row r="16">
      <x:c r="B16" s="31" t="str">
        <x:v>E10</x:v>
      </x:c>
      <x:c r="C16" s="31" t="str">
        <x:v>S3 VHL plus conversion</x:v>
      </x:c>
      <x:c r="D16" s="31" t="str">
        <x:v>S3</x:v>
      </x:c>
      <x:c r="E16" s="31" t="str">
        <x:v>remove the named path, dependency or authority</x:v>
      </x:c>
      <x:c r="F16" s="31" t="str">
        <x:v>representative measured pass</x:v>
      </x:c>
      <x:c r="G16" s="31" t="str">
        <x:v>Fourth Access Command</x:v>
      </x:c>
      <x:c r="H16" s="31" t="str">
        <x:v>OPEN</x:v>
      </x:c>
      <x:c r="I16" s="33" t="str">
        <x:v>no current or strict credit</x:v>
      </x:c>
    </x:row>
    <x:row r="17">
      <x:c r="B17" s="31" t="str">
        <x:v>E11</x:v>
      </x:c>
      <x:c r="C17" s="31" t="str">
        <x:v>S4 terrain plus bridge</x:v>
      </x:c>
      <x:c r="D17" s="31" t="str">
        <x:v>S4</x:v>
      </x:c>
      <x:c r="E17" s="31" t="str">
        <x:v>remove the named path, dependency or authority</x:v>
      </x:c>
      <x:c r="F17" s="31" t="str">
        <x:v>representative measured pass</x:v>
      </x:c>
      <x:c r="G17" s="31" t="str">
        <x:v>Access Test Directorate</x:v>
      </x:c>
      <x:c r="H17" s="31" t="str">
        <x:v>OPEN</x:v>
      </x:c>
      <x:c r="I17" s="33" t="str">
        <x:v>no current or strict credit</x:v>
      </x:c>
    </x:row>
    <x:row r="18">
      <x:c r="B18" s="31" t="str">
        <x:v>E12</x:v>
      </x:c>
      <x:c r="C18" s="31" t="str">
        <x:v>S5 air plus prepared</x:v>
      </x:c>
      <x:c r="D18" s="31" t="str">
        <x:v>S5</x:v>
      </x:c>
      <x:c r="E18" s="31" t="str">
        <x:v>remove the named path, dependency or authority</x:v>
      </x:c>
      <x:c r="F18" s="31" t="str">
        <x:v>representative measured pass</x:v>
      </x:c>
      <x:c r="G18" s="31" t="str">
        <x:v>Fourth Access Command</x:v>
      </x:c>
      <x:c r="H18" s="31" t="str">
        <x:v>OPEN</x:v>
      </x:c>
      <x:c r="I18" s="33" t="str">
        <x:v>no current or strict credit</x:v>
      </x:c>
    </x:row>
    <x:row r="19">
      <x:c r="B19" s="31" t="str">
        <x:v>E13</x:v>
      </x:c>
      <x:c r="C19" s="31" t="str">
        <x:v>S6 dual VHL</x:v>
      </x:c>
      <x:c r="D19" s="31" t="str">
        <x:v>S6</x:v>
      </x:c>
      <x:c r="E19" s="31" t="str">
        <x:v>remove the named path, dependency or authority</x:v>
      </x:c>
      <x:c r="F19" s="31" t="str">
        <x:v>representative measured pass</x:v>
      </x:c>
      <x:c r="G19" s="31" t="str">
        <x:v>Access Test Directorate</x:v>
      </x:c>
      <x:c r="H19" s="31" t="str">
        <x:v>OPEN</x:v>
      </x:c>
      <x:c r="I19" s="33" t="str">
        <x:v>no current or strict credit</x:v>
      </x:c>
    </x:row>
    <x:row r="20">
      <x:c r="B20" s="31" t="str">
        <x:v>E14</x:v>
      </x:c>
      <x:c r="C20" s="31" t="str">
        <x:v>second receiver echelon</x:v>
      </x:c>
      <x:c r="D20" s="31" t="str">
        <x:v>JOINT</x:v>
      </x:c>
      <x:c r="E20" s="31" t="str">
        <x:v>remove the named path, dependency or authority</x:v>
      </x:c>
      <x:c r="F20" s="31" t="str">
        <x:v>representative measured pass</x:v>
      </x:c>
      <x:c r="G20" s="31" t="str">
        <x:v>Fourth Access Command</x:v>
      </x:c>
      <x:c r="H20" s="31" t="str">
        <x:v>OPEN</x:v>
      </x:c>
      <x:c r="I20" s="33" t="str">
        <x:v>no current or strict credit</x:v>
      </x:c>
    </x:row>
    <x:row r="21">
      <x:c r="B21" s="31" t="str">
        <x:v>E15</x:v>
      </x:c>
      <x:c r="C21" s="31" t="str">
        <x:v>separate payload lots</x:v>
      </x:c>
      <x:c r="D21" s="31" t="str">
        <x:v>JOINT</x:v>
      </x:c>
      <x:c r="E21" s="31" t="str">
        <x:v>remove the named path, dependency or authority</x:v>
      </x:c>
      <x:c r="F21" s="31" t="str">
        <x:v>representative measured pass</x:v>
      </x:c>
      <x:c r="G21" s="31" t="str">
        <x:v>Access Test Directorate</x:v>
      </x:c>
      <x:c r="H21" s="31" t="str">
        <x:v>OPEN</x:v>
      </x:c>
      <x:c r="I21" s="33" t="str">
        <x:v>no current or strict credit</x:v>
      </x:c>
    </x:row>
    <x:row r="22">
      <x:c r="B22" s="31" t="str">
        <x:v>E16</x:v>
      </x:c>
      <x:c r="C22" s="31" t="str">
        <x:v>interface implementation B</x:v>
      </x:c>
      <x:c r="D22" s="31" t="str">
        <x:v>JOINT</x:v>
      </x:c>
      <x:c r="E22" s="31" t="str">
        <x:v>remove the named path, dependency or authority</x:v>
      </x:c>
      <x:c r="F22" s="31" t="str">
        <x:v>representative measured pass</x:v>
      </x:c>
      <x:c r="G22" s="31" t="str">
        <x:v>Fourth Access Command</x:v>
      </x:c>
      <x:c r="H22" s="31" t="str">
        <x:v>OPEN</x:v>
      </x:c>
      <x:c r="I22" s="33" t="str">
        <x:v>no current or strict credit</x:v>
      </x:c>
    </x:row>
    <x:row r="23">
      <x:c r="B23" s="31" t="str">
        <x:v>E17</x:v>
      </x:c>
      <x:c r="C23" s="31" t="str">
        <x:v>source-independent 1,270 t lower bound</x:v>
      </x:c>
      <x:c r="D23" s="31" t="str">
        <x:v>JOINT</x:v>
      </x:c>
      <x:c r="E23" s="31" t="str">
        <x:v>remove the named path, dependency or authority</x:v>
      </x:c>
      <x:c r="F23" s="31" t="str">
        <x:v>representative measured pass</x:v>
      </x:c>
      <x:c r="G23" s="31" t="str">
        <x:v>Access Test Directorate</x:v>
      </x:c>
      <x:c r="H23" s="31" t="str">
        <x:v>OPEN</x:v>
      </x:c>
      <x:c r="I23" s="33" t="str">
        <x:v>no current or strict credit</x:v>
      </x:c>
    </x:row>
    <x:row r="24">
      <x:c r="B24" s="31" t="str">
        <x:v>E18</x:v>
      </x:c>
      <x:c r="C24" s="31" t="str">
        <x:v>hour-6 activation custody</x:v>
      </x:c>
      <x:c r="D24" s="31" t="str">
        <x:v>JOINT</x:v>
      </x:c>
      <x:c r="E24" s="31" t="str">
        <x:v>remove the named path, dependency or authority</x:v>
      </x:c>
      <x:c r="F24" s="31" t="str">
        <x:v>representative measured pass</x:v>
      </x:c>
      <x:c r="G24" s="31" t="str">
        <x:v>Fourth Access Command</x:v>
      </x:c>
      <x:c r="H24" s="31" t="str">
        <x:v>OPEN</x:v>
      </x:c>
      <x:c r="I24" s="33" t="str">
        <x:v>no current or strict credit</x:v>
      </x:c>
    </x:row>
    <x:row r="25">
      <x:c r="B25" s="31" t="str">
        <x:v>E19</x:v>
      </x:c>
      <x:c r="C25" s="31" t="str">
        <x:v>hour-54 M1 service</x:v>
      </x:c>
      <x:c r="D25" s="31" t="str">
        <x:v>JOINT</x:v>
      </x:c>
      <x:c r="E25" s="31" t="str">
        <x:v>remove the named path, dependency or authority</x:v>
      </x:c>
      <x:c r="F25" s="31" t="str">
        <x:v>representative measured pass</x:v>
      </x:c>
      <x:c r="G25" s="31" t="str">
        <x:v>Access Test Directorate</x:v>
      </x:c>
      <x:c r="H25" s="31" t="str">
        <x:v>OPEN</x:v>
      </x:c>
      <x:c r="I25" s="33" t="str">
        <x:v>no current or strict credit</x:v>
      </x:c>
    </x:row>
    <x:row r="26">
      <x:c r="B26" s="31" t="str">
        <x:v>E20</x:v>
      </x:c>
      <x:c r="C26" s="31" t="str">
        <x:v>hour-54 M3 service</x:v>
      </x:c>
      <x:c r="D26" s="31" t="str">
        <x:v>JOINT</x:v>
      </x:c>
      <x:c r="E26" s="31" t="str">
        <x:v>remove the named path, dependency or authority</x:v>
      </x:c>
      <x:c r="F26" s="31" t="str">
        <x:v>representative measured pass</x:v>
      </x:c>
      <x:c r="G26" s="31" t="str">
        <x:v>Fourth Access Command</x:v>
      </x:c>
      <x:c r="H26" s="31" t="str">
        <x:v>OPEN</x:v>
      </x:c>
      <x:c r="I26" s="33" t="str">
        <x:v>no current or strict credit</x:v>
      </x:c>
    </x:row>
    <x:row r="27">
      <x:c r="B27" s="31" t="str">
        <x:v>E21</x:v>
      </x:c>
      <x:c r="C27" s="31" t="str">
        <x:v>hour-54 VHL service</x:v>
      </x:c>
      <x:c r="D27" s="31" t="str">
        <x:v>JOINT</x:v>
      </x:c>
      <x:c r="E27" s="31" t="str">
        <x:v>remove the named path, dependency or authority</x:v>
      </x:c>
      <x:c r="F27" s="31" t="str">
        <x:v>representative measured pass</x:v>
      </x:c>
      <x:c r="G27" s="31" t="str">
        <x:v>Access Test Directorate</x:v>
      </x:c>
      <x:c r="H27" s="31" t="str">
        <x:v>OPEN</x:v>
      </x:c>
      <x:c r="I27" s="33" t="str">
        <x:v>no current or strict credit</x:v>
      </x:c>
    </x:row>
    <x:row r="28">
      <x:c r="B28" s="31" t="str">
        <x:v>E22</x:v>
      </x:c>
      <x:c r="C28" s="31" t="str">
        <x:v>hour-54 bridge service</x:v>
      </x:c>
      <x:c r="D28" s="31" t="str">
        <x:v>JOINT</x:v>
      </x:c>
      <x:c r="E28" s="31" t="str">
        <x:v>remove the named path, dependency or authority</x:v>
      </x:c>
      <x:c r="F28" s="31" t="str">
        <x:v>representative measured pass</x:v>
      </x:c>
      <x:c r="G28" s="31" t="str">
        <x:v>Fourth Access Command</x:v>
      </x:c>
      <x:c r="H28" s="31" t="str">
        <x:v>OPEN</x:v>
      </x:c>
      <x:c r="I28" s="33" t="str">
        <x:v>no current or strict credit</x:v>
      </x:c>
    </x:row>
    <x:row r="29">
      <x:c r="B29" s="31" t="str">
        <x:v>E23</x:v>
      </x:c>
      <x:c r="C29" s="31" t="str">
        <x:v>hour-54 conversion service</x:v>
      </x:c>
      <x:c r="D29" s="31" t="str">
        <x:v>JOINT</x:v>
      </x:c>
      <x:c r="E29" s="31" t="str">
        <x:v>remove the named path, dependency or authority</x:v>
      </x:c>
      <x:c r="F29" s="31" t="str">
        <x:v>representative measured pass</x:v>
      </x:c>
      <x:c r="G29" s="31" t="str">
        <x:v>Access Test Directorate</x:v>
      </x:c>
      <x:c r="H29" s="31" t="str">
        <x:v>OPEN</x:v>
      </x:c>
      <x:c r="I29" s="33" t="str">
        <x:v>no current or strict credit</x:v>
      </x:c>
    </x:row>
    <x:row r="30">
      <x:c r="B30" s="31" t="str">
        <x:v>E24</x:v>
      </x:c>
      <x:c r="C30" s="31" t="str">
        <x:v>prepared-cell activation</x:v>
      </x:c>
      <x:c r="D30" s="31" t="str">
        <x:v>JOINT</x:v>
      </x:c>
      <x:c r="E30" s="31" t="str">
        <x:v>remove the named path, dependency or authority</x:v>
      </x:c>
      <x:c r="F30" s="31" t="str">
        <x:v>representative measured pass</x:v>
      </x:c>
      <x:c r="G30" s="31" t="str">
        <x:v>Fourth Access Command</x:v>
      </x:c>
      <x:c r="H30" s="31" t="str">
        <x:v>OPEN</x:v>
      </x:c>
      <x:c r="I30" s="33" t="str">
        <x:v>no current or strict credit</x:v>
      </x:c>
    </x:row>
    <x:row r="31">
      <x:c r="B31" s="31" t="str">
        <x:v>E25</x:v>
      </x:c>
      <x:c r="C31" s="31" t="str">
        <x:v>one liftship loss</x:v>
      </x:c>
      <x:c r="D31" s="31" t="str">
        <x:v>JOINT</x:v>
      </x:c>
      <x:c r="E31" s="31" t="str">
        <x:v>remove the named path, dependency or authority</x:v>
      </x:c>
      <x:c r="F31" s="31" t="str">
        <x:v>representative measured pass</x:v>
      </x:c>
      <x:c r="G31" s="31" t="str">
        <x:v>Access Test Directorate</x:v>
      </x:c>
      <x:c r="H31" s="31" t="str">
        <x:v>OPEN</x:v>
      </x:c>
      <x:c r="I31" s="33" t="str">
        <x:v>no current or strict credit</x:v>
      </x:c>
    </x:row>
    <x:row r="32">
      <x:c r="B32" s="31" t="str">
        <x:v>E26</x:v>
      </x:c>
      <x:c r="C32" s="31" t="str">
        <x:v>one terrain vehicle loss</x:v>
      </x:c>
      <x:c r="D32" s="31" t="str">
        <x:v>JOINT</x:v>
      </x:c>
      <x:c r="E32" s="31" t="str">
        <x:v>remove the named path, dependency or authority</x:v>
      </x:c>
      <x:c r="F32" s="31" t="str">
        <x:v>representative measured pass</x:v>
      </x:c>
      <x:c r="G32" s="31" t="str">
        <x:v>Fourth Access Command</x:v>
      </x:c>
      <x:c r="H32" s="31" t="str">
        <x:v>OPEN</x:v>
      </x:c>
      <x:c r="I32" s="33" t="str">
        <x:v>no current or strict credit</x:v>
      </x:c>
    </x:row>
    <x:row r="33">
      <x:c r="B33" s="31" t="str">
        <x:v>E27</x:v>
      </x:c>
      <x:c r="C33" s="31" t="str">
        <x:v>one VHL aircraft loss</x:v>
      </x:c>
      <x:c r="D33" s="31" t="str">
        <x:v>JOINT</x:v>
      </x:c>
      <x:c r="E33" s="31" t="str">
        <x:v>remove the named path, dependency or authority</x:v>
      </x:c>
      <x:c r="F33" s="31" t="str">
        <x:v>representative measured pass</x:v>
      </x:c>
      <x:c r="G33" s="31" t="str">
        <x:v>Access Test Directorate</x:v>
      </x:c>
      <x:c r="H33" s="31" t="str">
        <x:v>OPEN</x:v>
      </x:c>
      <x:c r="I33" s="33" t="str">
        <x:v>no current or strict credit</x:v>
      </x:c>
    </x:row>
    <x:row r="34">
      <x:c r="B34" s="31" t="str">
        <x:v>E28</x:v>
      </x:c>
      <x:c r="C34" s="31" t="str">
        <x:v>one corridor projector loss</x:v>
      </x:c>
      <x:c r="D34" s="31" t="str">
        <x:v>JOINT</x:v>
      </x:c>
      <x:c r="E34" s="31" t="str">
        <x:v>remove the named path, dependency or authority</x:v>
      </x:c>
      <x:c r="F34" s="31" t="str">
        <x:v>representative measured pass</x:v>
      </x:c>
      <x:c r="G34" s="31" t="str">
        <x:v>Fourth Access Command</x:v>
      </x:c>
      <x:c r="H34" s="31" t="str">
        <x:v>OPEN</x:v>
      </x:c>
      <x:c r="I34" s="33" t="str">
        <x:v>no current or strict credit</x:v>
      </x:c>
    </x:row>
    <x:row r="35">
      <x:c r="B35" s="31" t="str">
        <x:v>E29</x:v>
      </x:c>
      <x:c r="C35" s="31" t="str">
        <x:v>one conversion unit loss</x:v>
      </x:c>
      <x:c r="D35" s="31" t="str">
        <x:v>JOINT</x:v>
      </x:c>
      <x:c r="E35" s="31" t="str">
        <x:v>remove the named path, dependency or authority</x:v>
      </x:c>
      <x:c r="F35" s="31" t="str">
        <x:v>representative measured pass</x:v>
      </x:c>
      <x:c r="G35" s="31" t="str">
        <x:v>Access Test Directorate</x:v>
      </x:c>
      <x:c r="H35" s="31" t="str">
        <x:v>OPEN</x:v>
      </x:c>
      <x:c r="I35" s="33" t="str">
        <x:v>no current or strict credit</x:v>
      </x:c>
    </x:row>
    <x:row r="36">
      <x:c r="B36" s="31" t="str">
        <x:v>E30</x:v>
      </x:c>
      <x:c r="C36" s="31" t="str">
        <x:v>atmospheric mode loss</x:v>
      </x:c>
      <x:c r="D36" s="31" t="str">
        <x:v>JOINT</x:v>
      </x:c>
      <x:c r="E36" s="31" t="str">
        <x:v>remove the named path, dependency or authority</x:v>
      </x:c>
      <x:c r="F36" s="31" t="str">
        <x:v>representative measured pass</x:v>
      </x:c>
      <x:c r="G36" s="31" t="str">
        <x:v>Fourth Access Command</x:v>
      </x:c>
      <x:c r="H36" s="31" t="str">
        <x:v>OPEN</x:v>
      </x:c>
      <x:c r="I36" s="33" t="str">
        <x:v>no current or strict credit</x:v>
      </x:c>
    </x:row>
    <x:row r="37">
      <x:c r="B37" s="31" t="str">
        <x:v>E31</x:v>
      </x:c>
      <x:c r="C37" s="31" t="str">
        <x:v>terrain mode loss</x:v>
      </x:c>
      <x:c r="D37" s="31" t="str">
        <x:v>JOINT</x:v>
      </x:c>
      <x:c r="E37" s="31" t="str">
        <x:v>remove the named path, dependency or authority</x:v>
      </x:c>
      <x:c r="F37" s="31" t="str">
        <x:v>representative measured pass</x:v>
      </x:c>
      <x:c r="G37" s="31" t="str">
        <x:v>Access Test Directorate</x:v>
      </x:c>
      <x:c r="H37" s="31" t="str">
        <x:v>OPEN</x:v>
      </x:c>
      <x:c r="I37" s="33" t="str">
        <x:v>no current or strict credit</x:v>
      </x:c>
    </x:row>
    <x:row r="38">
      <x:c r="B38" s="31" t="str">
        <x:v>E32</x:v>
      </x:c>
      <x:c r="C38" s="31" t="str">
        <x:v>corridor source loss</x:v>
      </x:c>
      <x:c r="D38" s="31" t="str">
        <x:v>JOINT</x:v>
      </x:c>
      <x:c r="E38" s="31" t="str">
        <x:v>remove the named path, dependency or authority</x:v>
      </x:c>
      <x:c r="F38" s="31" t="str">
        <x:v>representative measured pass</x:v>
      </x:c>
      <x:c r="G38" s="31" t="str">
        <x:v>Fourth Access Command</x:v>
      </x:c>
      <x:c r="H38" s="31" t="str">
        <x:v>OPEN</x:v>
      </x:c>
      <x:c r="I38" s="33" t="str">
        <x:v>no current or strict credit</x:v>
      </x:c>
    </x:row>
    <x:row r="39">
      <x:c r="B39" s="31" t="str">
        <x:v>E33</x:v>
      </x:c>
      <x:c r="C39" s="31" t="str">
        <x:v>conversion feed loss</x:v>
      </x:c>
      <x:c r="D39" s="31" t="str">
        <x:v>JOINT</x:v>
      </x:c>
      <x:c r="E39" s="31" t="str">
        <x:v>remove the named path, dependency or authority</x:v>
      </x:c>
      <x:c r="F39" s="31" t="str">
        <x:v>representative measured pass</x:v>
      </x:c>
      <x:c r="G39" s="31" t="str">
        <x:v>Access Test Directorate</x:v>
      </x:c>
      <x:c r="H39" s="31" t="str">
        <x:v>OPEN</x:v>
      </x:c>
      <x:c r="I39" s="33" t="str">
        <x:v>no current or strict credit</x:v>
      </x:c>
    </x:row>
    <x:row r="40">
      <x:c r="B40" s="31" t="str">
        <x:v>E34</x:v>
      </x:c>
      <x:c r="C40" s="31" t="str">
        <x:v>prepared site loss</x:v>
      </x:c>
      <x:c r="D40" s="31" t="str">
        <x:v>JOINT</x:v>
      </x:c>
      <x:c r="E40" s="31" t="str">
        <x:v>remove the named path, dependency or authority</x:v>
      </x:c>
      <x:c r="F40" s="31" t="str">
        <x:v>representative measured pass</x:v>
      </x:c>
      <x:c r="G40" s="31" t="str">
        <x:v>Fourth Access Command</x:v>
      </x:c>
      <x:c r="H40" s="31" t="str">
        <x:v>OPEN</x:v>
      </x:c>
      <x:c r="I40" s="33" t="str">
        <x:v>no current or strict credit</x:v>
      </x:c>
    </x:row>
    <x:row r="41">
      <x:c r="B41" s="31" t="str">
        <x:v>E35</x:v>
      </x:c>
      <x:c r="C41" s="31" t="str">
        <x:v>national network denial</x:v>
      </x:c>
      <x:c r="D41" s="31" t="str">
        <x:v>JOINT</x:v>
      </x:c>
      <x:c r="E41" s="31" t="str">
        <x:v>remove the named path, dependency or authority</x:v>
      </x:c>
      <x:c r="F41" s="31" t="str">
        <x:v>representative measured pass</x:v>
      </x:c>
      <x:c r="G41" s="31" t="str">
        <x:v>Access Test Directorate</x:v>
      </x:c>
      <x:c r="H41" s="31" t="str">
        <x:v>OPEN</x:v>
      </x:c>
      <x:c r="I41" s="33" t="str">
        <x:v>no current or strict credit</x:v>
      </x:c>
    </x:row>
    <x:row r="42">
      <x:c r="B42" s="31" t="str">
        <x:v>E36</x:v>
      </x:c>
      <x:c r="C42" s="31" t="str">
        <x:v>technical release separation</x:v>
      </x:c>
      <x:c r="D42" s="31" t="str">
        <x:v>JOINT</x:v>
      </x:c>
      <x:c r="E42" s="31" t="str">
        <x:v>remove the named path, dependency or authority</x:v>
      </x:c>
      <x:c r="F42" s="31" t="str">
        <x:v>representative measured pass</x:v>
      </x:c>
      <x:c r="G42" s="31" t="str">
        <x:v>Fourth Access Command</x:v>
      </x:c>
      <x:c r="H42" s="31" t="str">
        <x:v>OPEN</x:v>
      </x:c>
      <x:c r="I42" s="33" t="str">
        <x:v>no current or strict credit</x:v>
      </x:c>
    </x:row>
    <x:row r="43">
      <x:c r="B43" s="31" t="str">
        <x:v>E37</x:v>
      </x:c>
      <x:c r="C43" s="31" t="str">
        <x:v>energy-lineage separation</x:v>
      </x:c>
      <x:c r="D43" s="31" t="str">
        <x:v>JOINT</x:v>
      </x:c>
      <x:c r="E43" s="31" t="str">
        <x:v>remove the named path, dependency or authority</x:v>
      </x:c>
      <x:c r="F43" s="31" t="str">
        <x:v>representative measured pass</x:v>
      </x:c>
      <x:c r="G43" s="31" t="str">
        <x:v>Access Test Directorate</x:v>
      </x:c>
      <x:c r="H43" s="31" t="str">
        <x:v>OPEN</x:v>
      </x:c>
      <x:c r="I43" s="33" t="str">
        <x:v>no current or strict credit</x:v>
      </x:c>
    </x:row>
    <x:row r="44">
      <x:c r="B44" s="31" t="str">
        <x:v>E38</x:v>
      </x:c>
      <x:c r="C44" s="31" t="str">
        <x:v>supplier-lineage separation</x:v>
      </x:c>
      <x:c r="D44" s="31" t="str">
        <x:v>JOINT</x:v>
      </x:c>
      <x:c r="E44" s="31" t="str">
        <x:v>remove the named path, dependency or authority</x:v>
      </x:c>
      <x:c r="F44" s="31" t="str">
        <x:v>representative measured pass</x:v>
      </x:c>
      <x:c r="G44" s="31" t="str">
        <x:v>Fourth Access Command</x:v>
      </x:c>
      <x:c r="H44" s="31" t="str">
        <x:v>OPEN</x:v>
      </x:c>
      <x:c r="I44" s="33" t="str">
        <x:v>no current or strict credit</x:v>
      </x:c>
    </x:row>
    <x:row r="45">
      <x:c r="B45" s="31" t="str">
        <x:v>E39</x:v>
      </x:c>
      <x:c r="C45" s="31" t="str">
        <x:v>receiver civil acceptance</x:v>
      </x:c>
      <x:c r="D45" s="31" t="str">
        <x:v>JOINT</x:v>
      </x:c>
      <x:c r="E45" s="31" t="str">
        <x:v>remove the named path, dependency or authority</x:v>
      </x:c>
      <x:c r="F45" s="31" t="str">
        <x:v>representative measured pass</x:v>
      </x:c>
      <x:c r="G45" s="31" t="str">
        <x:v>Access Test Directorate</x:v>
      </x:c>
      <x:c r="H45" s="31" t="str">
        <x:v>OPEN</x:v>
      </x:c>
      <x:c r="I45" s="33" t="str">
        <x:v>no current or strict credit</x:v>
      </x:c>
    </x:row>
    <x:row r="46">
      <x:c r="B46" s="31" t="str">
        <x:v>E40</x:v>
      </x:c>
      <x:c r="C46" s="31" t="str">
        <x:v>abort and casualty</x:v>
      </x:c>
      <x:c r="D46" s="31" t="str">
        <x:v>JOINT</x:v>
      </x:c>
      <x:c r="E46" s="31" t="str">
        <x:v>remove the named path, dependency or authority</x:v>
      </x:c>
      <x:c r="F46" s="31" t="str">
        <x:v>representative measured pass</x:v>
      </x:c>
      <x:c r="G46" s="31" t="str">
        <x:v>Fourth Access Command</x:v>
      </x:c>
      <x:c r="H46" s="31" t="str">
        <x:v>OPEN</x:v>
      </x:c>
      <x:c r="I46" s="33" t="str">
        <x:v>no current or strict credit</x:v>
      </x:c>
    </x:row>
    <x:row r="47">
      <x:c r="B47" s="31" t="str">
        <x:v>E41</x:v>
      </x:c>
      <x:c r="C47" s="31" t="str">
        <x:v>168-hour reset</x:v>
      </x:c>
      <x:c r="D47" s="31" t="str">
        <x:v>JOINT</x:v>
      </x:c>
      <x:c r="E47" s="31" t="str">
        <x:v>remove the named path, dependency or authority</x:v>
      </x:c>
      <x:c r="F47" s="31" t="str">
        <x:v>representative measured pass</x:v>
      </x:c>
      <x:c r="G47" s="31" t="str">
        <x:v>Access Test Directorate</x:v>
      </x:c>
      <x:c r="H47" s="31" t="str">
        <x:v>OPEN</x:v>
      </x:c>
      <x:c r="I47" s="33" t="str">
        <x:v>no current or strict credit</x:v>
      </x:c>
    </x:row>
    <x:row r="48">
      <x:c r="B48" s="31" t="str">
        <x:v>E42</x:v>
      </x:c>
      <x:c r="C48" s="31" t="str">
        <x:v>cost and schedule</x:v>
      </x:c>
      <x:c r="D48" s="31" t="str">
        <x:v>JOINT</x:v>
      </x:c>
      <x:c r="E48" s="31" t="str">
        <x:v>remove the named path, dependency or authority</x:v>
      </x:c>
      <x:c r="F48" s="31" t="str">
        <x:v>representative measured pass</x:v>
      </x:c>
      <x:c r="G48" s="31" t="str">
        <x:v>Fourth Access Command</x:v>
      </x:c>
      <x:c r="H48" s="31" t="str">
        <x:v>OPEN</x:v>
      </x:c>
      <x:c r="I48" s="33" t="str">
        <x:v>no current or strict credit</x:v>
      </x:c>
    </x:row>
    <x:row r="49">
      <x:c r="B49" s="31" t="str">
        <x:v>E43</x:v>
      </x:c>
      <x:c r="C49" s="31" t="str">
        <x:v>independent reconstruction</x:v>
      </x:c>
      <x:c r="D49" s="31" t="str">
        <x:v>JOINT</x:v>
      </x:c>
      <x:c r="E49" s="31" t="str">
        <x:v>remove the named path, dependency or authority</x:v>
      </x:c>
      <x:c r="F49" s="31" t="str">
        <x:v>representative measured pass</x:v>
      </x:c>
      <x:c r="G49" s="31" t="str">
        <x:v>Access Test Directorate</x:v>
      </x:c>
      <x:c r="H49" s="31" t="str">
        <x:v>OPEN</x:v>
      </x:c>
      <x:c r="I49" s="33" t="str">
        <x:v>no current or strict credit</x:v>
      </x:c>
    </x:row>
    <x:row r="50">
      <x:c r="B50" s="38" t="str">
        <x:v>E44</x:v>
      </x:c>
      <x:c r="C50" s="38" t="str">
        <x:v>rendering authorization</x:v>
      </x:c>
      <x:c r="D50" s="38" t="str">
        <x:v>JOINT</x:v>
      </x:c>
      <x:c r="E50" s="38" t="str">
        <x:v>remove the named path, dependency or authority</x:v>
      </x:c>
      <x:c r="F50" s="38" t="str">
        <x:v>representative measured pass</x:v>
      </x:c>
      <x:c r="G50" s="38" t="str">
        <x:v>Fourth Access Command</x:v>
      </x:c>
      <x:c r="H50" s="38" t="str">
        <x:v>OPEN</x:v>
      </x:c>
      <x:c r="I50" s="40" t="str">
        <x:v>no current or strict credit</x:v>
      </x:c>
    </x:row>
    <x:row r="51">
      <x:c r="B51" s="2"/>
      <x:c r="C51" s="2"/>
      <x:c r="D51" s="2"/>
      <x:c r="E51" s="2"/>
      <x:c r="F51" s="2"/>
      <x:c r="G51" s="2"/>
      <x:c r="H51" s="2"/>
      <x:c r="I51" s="2"/>
    </x:row>
    <x:row r="52">
      <x:c r="B52" s="2"/>
      <x:c r="C52" s="2"/>
      <x:c r="D52" s="2"/>
      <x:c r="E52" s="2"/>
      <x:c r="F52" s="2"/>
      <x:c r="G52" s="2"/>
      <x:c r="H52" s="2"/>
      <x:c r="I52" s="2"/>
    </x:row>
    <x:row r="53">
      <x:c r="B53" s="2"/>
      <x:c r="C53" s="2"/>
      <x:c r="D53" s="2"/>
      <x:c r="E53" s="2"/>
      <x:c r="F53" s="2"/>
      <x:c r="G53" s="2"/>
      <x:c r="H53" s="2"/>
      <x:c r="I53" s="2"/>
    </x:row>
    <x:row r="54">
      <x:c r="B54" s="2"/>
      <x:c r="C54" s="2"/>
      <x:c r="D54" s="2"/>
      <x:c r="E54" s="2"/>
      <x:c r="F54" s="2"/>
      <x:c r="G54" s="2"/>
      <x:c r="H54" s="2"/>
      <x:c r="I54" s="2"/>
    </x:row>
    <x:row r="55">
      <x:c r="B55" s="2"/>
      <x:c r="C55" s="2"/>
      <x:c r="D55" s="2"/>
      <x:c r="E55" s="2"/>
      <x:c r="F55" s="2"/>
      <x:c r="G55" s="2"/>
      <x:c r="H55" s="2"/>
      <x:c r="I55" s="2"/>
    </x:row>
    <x:row r="56">
      <x:c r="B56" s="2"/>
      <x:c r="C56" s="2"/>
      <x:c r="D56" s="2"/>
      <x:c r="E56" s="2"/>
      <x:c r="F56" s="2"/>
      <x:c r="G56" s="2"/>
      <x:c r="H56" s="2"/>
      <x:c r="I56" s="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23" hidden="0" customWidth="1"/>
    <x:col min="4" max="4" width="23" hidden="0" customWidth="1"/>
    <x:col min="5" max="5" width="22" hidden="0" customWidth="1"/>
    <x:col min="6" max="6" width="15" hidden="0" customWidth="1"/>
    <x:col min="7" max="7" width="43" hidden="0" customWidth="1"/>
  </x:cols>
  <x:sheetData>
    <x:row r="2">
      <x:c r="B2" s="3" t="str">
        <x:v>Model checks</x:v>
      </x:c>
      <x:c r="C2" s="2"/>
      <x:c r="D2" s="2"/>
      <x:c r="E2" s="2"/>
      <x:c r="F2" s="2"/>
      <x:c r="G2" s="2"/>
    </x:row>
    <x:row r="3">
      <x:c r="B3" s="4" t="str">
        <x:v>Independent terminal controls for configuration, assurance and cost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9" t="str">
        <x:v>Check</x:v>
      </x:c>
      <x:c r="C6" s="30" t="str">
        <x:v>Observed</x:v>
      </x:c>
      <x:c r="D6" s="30" t="str">
        <x:v>Expected</x:v>
      </x:c>
      <x:c r="E6" s="30" t="str">
        <x:v>Difference</x:v>
      </x:c>
      <x:c r="F6" s="30" t="str">
        <x:v>Status</x:v>
      </x:c>
      <x:c r="G6" s="30" t="str">
        <x:v>Meaning</x:v>
      </x:c>
    </x:row>
    <x:row r="7">
      <x:c r="B7" s="31" t="str">
        <x:v>C01 rival packages</x:v>
      </x:c>
      <x:c r="C7" s="31" t="n">
        <x:f>COUNTA('Rival Packages'!B7:B13)</x:f>
        <x:v>7</x:v>
      </x:c>
      <x:c r="D7" s="31" t="n">
        <x:v>7</x:v>
      </x:c>
      <x:c r="E7" s="31" t="n">
        <x:f>C7-D7</x:f>
        <x:v>0</x:v>
      </x:c>
      <x:c r="F7" s="45" t="str">
        <x:f>IF(ABS(E7)&lt;0.000001,"PASS","FAIL")</x:f>
        <x:v>PASS</x:v>
      </x:c>
      <x:c r="G7" s="33" t="str">
        <x:v>registered competitors</x:v>
      </x:c>
    </x:row>
    <x:row r="8">
      <x:c r="B8" s="31" t="str">
        <x:v>C02 effect paths</x:v>
      </x:c>
      <x:c r="C8" s="31" t="n">
        <x:f>COUNTA('Effect Paths'!B7:B12)</x:f>
        <x:v>6</x:v>
      </x:c>
      <x:c r="D8" s="31" t="n">
        <x:v>6</x:v>
      </x:c>
      <x:c r="E8" s="31" t="n">
        <x:f>C8-D8</x:f>
        <x:v>0</x:v>
      </x:c>
      <x:c r="F8" s="45" t="str">
        <x:f>IF(ABS(E8)&lt;0.000001,"PASS","FAIL")</x:f>
        <x:v>PASS</x:v>
      </x:c>
      <x:c r="G8" s="33" t="str">
        <x:v>physical and substitute paths</x:v>
      </x:c>
    </x:row>
    <x:row r="9">
      <x:c r="B9" s="31" t="str">
        <x:v>C03 receiver cases</x:v>
      </x:c>
      <x:c r="C9" s="31" t="n">
        <x:f>COUNTA('Receiver Cases'!B7:B16)</x:f>
        <x:v>10</x:v>
      </x:c>
      <x:c r="D9" s="31" t="n">
        <x:v>10</x:v>
      </x:c>
      <x:c r="E9" s="31" t="n">
        <x:f>C9-D9</x:f>
        <x:v>0</x:v>
      </x:c>
      <x:c r="F9" s="45" t="str">
        <x:f>IF(ABS(E9)&lt;0.000001,"PASS","FAIL")</x:f>
        <x:v>PASS</x:v>
      </x:c>
      <x:c r="G9" s="33" t="str">
        <x:v>named operating conditions</x:v>
      </x:c>
    </x:row>
    <x:row r="10">
      <x:c r="B10" s="31" t="str">
        <x:v>C04 loss-result rows</x:v>
      </x:c>
      <x:c r="C10" s="31" t="n">
        <x:f>COUNTA('Loss Results'!B7:B76)</x:f>
        <x:v>70</x:v>
      </x:c>
      <x:c r="D10" s="31" t="n">
        <x:v>70</x:v>
      </x:c>
      <x:c r="E10" s="31" t="n">
        <x:f>C10-D10</x:f>
        <x:v>0</x:v>
      </x:c>
      <x:c r="F10" s="45" t="str">
        <x:f>IF(ABS(E10)&lt;0.000001,"PASS","FAIL")</x:f>
        <x:v>PASS</x:v>
      </x:c>
      <x:c r="G10" s="33" t="str">
        <x:v>seven by ten long form</x:v>
      </x:c>
    </x:row>
    <x:row r="11">
      <x:c r="B11" s="31" t="str">
        <x:v>C05 ready groups</x:v>
      </x:c>
      <x:c r="C11" s="31" t="n">
        <x:f>Assumptions!C19</x:f>
        <x:v>43</x:v>
      </x:c>
      <x:c r="D11" s="31" t="n">
        <x:v>43</x:v>
      </x:c>
      <x:c r="E11" s="31" t="n">
        <x:f>C11-D11</x:f>
        <x:v>0</x:v>
      </x:c>
      <x:c r="F11" s="45" t="str">
        <x:f>IF(ABS(E11)&lt;0.000001,"PASS","FAIL")</x:f>
        <x:v>PASS</x:v>
      </x:c>
      <x:c r="G11" s="33" t="str">
        <x:v>national force basis</x:v>
      </x:c>
    </x:row>
    <x:row r="12">
      <x:c r="B12" s="31" t="str">
        <x:v>C06 second deadline</x:v>
      </x:c>
      <x:c r="C12" s="31" t="n">
        <x:f>Assumptions!C10</x:f>
        <x:v>54</x:v>
      </x:c>
      <x:c r="D12" s="31" t="n">
        <x:v>54</x:v>
      </x:c>
      <x:c r="E12" s="31" t="n">
        <x:f>C12-D12</x:f>
        <x:v>0</x:v>
      </x:c>
      <x:c r="F12" s="45" t="str">
        <x:f>IF(ABS(E12)&lt;0.000001,"PASS","FAIL")</x:f>
        <x:v>PASS</x:v>
      </x:c>
      <x:c r="G12" s="33" t="str">
        <x:v>hour 6 plus 48</x:v>
      </x:c>
    </x:row>
    <x:row r="13">
      <x:c r="B13" s="31" t="str">
        <x:v>C07 M1 absolute entry</x:v>
      </x:c>
      <x:c r="C13" s="31" t="n">
        <x:f>Dispatch!E7</x:f>
        <x:v>48</x:v>
      </x:c>
      <x:c r="D13" s="31" t="n">
        <x:v>48</x:v>
      </x:c>
      <x:c r="E13" s="31" t="n">
        <x:f>C13-D13</x:f>
        <x:v>0</x:v>
      </x:c>
      <x:c r="F13" s="45" t="str">
        <x:f>IF(ABS(E13)&lt;0.000001,"PASS","FAIL")</x:f>
        <x:v>PASS</x:v>
      </x:c>
      <x:c r="G13" s="33" t="str">
        <x:v>second-region clock</x:v>
      </x:c>
    </x:row>
    <x:row r="14">
      <x:c r="B14" s="31" t="str">
        <x:v>C08 M3 absolute entry</x:v>
      </x:c>
      <x:c r="C14" s="31" t="n">
        <x:f>Dispatch!E8</x:f>
        <x:v>51</x:v>
      </x:c>
      <x:c r="D14" s="31" t="n">
        <x:v>51</x:v>
      </x:c>
      <x:c r="E14" s="31" t="n">
        <x:f>C14-D14</x:f>
        <x:v>0</x:v>
      </x:c>
      <x:c r="F14" s="45" t="str">
        <x:f>IF(ABS(E14)&lt;0.000001,"PASS","FAIL")</x:f>
        <x:v>PASS</x:v>
      </x:c>
      <x:c r="G14" s="33" t="str">
        <x:v>second-region clock</x:v>
      </x:c>
    </x:row>
    <x:row r="15">
      <x:c r="B15" s="31" t="str">
        <x:v>C09 VHL absolute entry</x:v>
      </x:c>
      <x:c r="C15" s="31" t="n">
        <x:f>Dispatch!E9</x:f>
        <x:v>53</x:v>
      </x:c>
      <x:c r="D15" s="31" t="n">
        <x:v>53</x:v>
      </x:c>
      <x:c r="E15" s="31" t="n">
        <x:f>C15-D15</x:f>
        <x:v>0</x:v>
      </x:c>
      <x:c r="F15" s="45" t="str">
        <x:f>IF(ABS(E15)&lt;0.000001,"PASS","FAIL")</x:f>
        <x:v>PASS</x:v>
      </x:c>
      <x:c r="G15" s="33" t="str">
        <x:v>second-region clock</x:v>
      </x:c>
    </x:row>
    <x:row r="16">
      <x:c r="B16" s="31" t="str">
        <x:v>C10 M5 absolute entry</x:v>
      </x:c>
      <x:c r="C16" s="31" t="n">
        <x:f>Dispatch!E10</x:f>
        <x:v>52</x:v>
      </x:c>
      <x:c r="D16" s="31" t="n">
        <x:v>52</x:v>
      </x:c>
      <x:c r="E16" s="31" t="n">
        <x:f>C16-D16</x:f>
        <x:v>0</x:v>
      </x:c>
      <x:c r="F16" s="45" t="str">
        <x:f>IF(ABS(E16)&lt;0.000001,"PASS","FAIL")</x:f>
        <x:v>PASS</x:v>
      </x:c>
      <x:c r="G16" s="33" t="str">
        <x:v>second-region clock</x:v>
      </x:c>
    </x:row>
    <x:row r="17">
      <x:c r="B17" s="31" t="str">
        <x:v>C11 M6 absolute entry</x:v>
      </x:c>
      <x:c r="C17" s="31" t="n">
        <x:f>Dispatch!E11</x:f>
        <x:v>54</x:v>
      </x:c>
      <x:c r="D17" s="31" t="n">
        <x:v>54</x:v>
      </x:c>
      <x:c r="E17" s="31" t="n">
        <x:f>C17-D17</x:f>
        <x:v>0</x:v>
      </x:c>
      <x:c r="F17" s="45" t="str">
        <x:f>IF(ABS(E17)&lt;0.000001,"PASS","FAIL")</x:f>
        <x:v>PASS</x:v>
      </x:c>
      <x:c r="G17" s="33" t="str">
        <x:v>zero deterministic margin</x:v>
      </x:c>
    </x:row>
    <x:row r="18">
      <x:c r="B18" s="31" t="str">
        <x:v>C12 prepared absolute entry</x:v>
      </x:c>
      <x:c r="C18" s="31" t="n">
        <x:f>Dispatch!E12</x:f>
        <x:v>18</x:v>
      </x:c>
      <x:c r="D18" s="31" t="n">
        <x:v>18</x:v>
      </x:c>
      <x:c r="E18" s="31" t="n">
        <x:f>C18-D18</x:f>
        <x:v>0</x:v>
      </x:c>
      <x:c r="F18" s="45" t="str">
        <x:f>IF(ABS(E18)&lt;0.000001,"PASS","FAIL")</x:f>
        <x:v>PASS</x:v>
      </x:c>
      <x:c r="G18" s="33" t="str">
        <x:v>dormant cell activation</x:v>
      </x:c>
    </x:row>
    <x:row r="19">
      <x:c r="B19" s="31" t="str">
        <x:v>C13 S0 payload</x:v>
      </x:c>
      <x:c r="C19" s="31" t="n">
        <x:f>'Rival Packages'!K7</x:f>
        <x:v>1670</x:v>
      </x:c>
      <x:c r="D19" s="31" t="n">
        <x:v>1670</x:v>
      </x:c>
      <x:c r="E19" s="31" t="n">
        <x:f>C19-D19</x:f>
        <x:v>0</x:v>
      </x:c>
      <x:c r="F19" s="45" t="str">
        <x:f>IF(ABS(E19)&lt;0.000001,"PASS","FAIL")</x:f>
        <x:v>PASS</x:v>
      </x:c>
      <x:c r="G19" s="33" t="str">
        <x:v>full tri-vector duplicate</x:v>
      </x:c>
    </x:row>
    <x:row r="20">
      <x:c r="B20" s="31" t="str">
        <x:v>C14 S1 payload lower bound</x:v>
      </x:c>
      <x:c r="C20" s="31" t="n">
        <x:f>'Rival Packages'!K8</x:f>
        <x:v>1270</x:v>
      </x:c>
      <x:c r="D20" s="31" t="n">
        <x:v>1270</x:v>
      </x:c>
      <x:c r="E20" s="31" t="n">
        <x:f>C20-D20</x:f>
        <x:v>0</x:v>
      </x:c>
      <x:c r="F20" s="45" t="str">
        <x:f>IF(ABS(E20)&lt;0.000001,"PASS","FAIL")</x:f>
        <x:v>PASS</x:v>
      </x:c>
      <x:c r="G20" s="33" t="str">
        <x:v>two complete physical cells</x:v>
      </x:c>
    </x:row>
    <x:row r="21">
      <x:c r="B21" s="31" t="str">
        <x:v>C15 S1 vehicles</x:v>
      </x:c>
      <x:c r="C21" s="31" t="n">
        <x:f>'Rival Packages'!J8</x:f>
        <x:v>6</x:v>
      </x:c>
      <x:c r="D21" s="31" t="n">
        <x:v>6</x:v>
      </x:c>
      <x:c r="E21" s="31" t="n">
        <x:f>C21-D21</x:f>
        <x:v>0</x:v>
      </x:c>
      <x:c r="F21" s="45" t="str">
        <x:f>IF(ABS(E21)&lt;0.000001,"PASS","FAIL")</x:f>
        <x:v>PASS</x:v>
      </x:c>
      <x:c r="G21" s="33" t="str">
        <x:v>two liftships plus four terrain vehicles</x:v>
      </x:c>
    </x:row>
    <x:row r="22">
      <x:c r="B22" s="31" t="str">
        <x:v>C16 S0 unprepared paths</x:v>
      </x:c>
      <x:c r="C22" s="31" t="n">
        <x:f>Assurance!C7</x:f>
        <x:v>2</x:v>
      </x:c>
      <x:c r="D22" s="31" t="n">
        <x:v>2</x:v>
      </x:c>
      <x:c r="E22" s="31" t="n">
        <x:f>C22-D22</x:f>
        <x:v>0</x:v>
      </x:c>
      <x:c r="F22" s="45" t="str">
        <x:f>IF(ABS(E22)&lt;0.000001,"PASS","FAIL")</x:f>
        <x:v>PASS</x:v>
      </x:c>
      <x:c r="G22" s="33" t="str">
        <x:v>corridor unavailable without source</x:v>
      </x:c>
    </x:row>
    <x:row r="23">
      <x:c r="B23" s="31" t="str">
        <x:v>C17 S1 unprepared paths</x:v>
      </x:c>
      <x:c r="C23" s="31" t="n">
        <x:f>Assurance!C8</x:f>
        <x:v>2</x:v>
      </x:c>
      <x:c r="D23" s="31" t="n">
        <x:v>2</x:v>
      </x:c>
      <x:c r="E23" s="31" t="n">
        <x:f>C23-D23</x:f>
        <x:v>0</x:v>
      </x:c>
      <x:c r="F23" s="45" t="str">
        <x:f>IF(ABS(E23)&lt;0.000001,"PASS","FAIL")</x:f>
        <x:v>PASS</x:v>
      </x:c>
      <x:c r="G23" s="33" t="str">
        <x:v>two source-independent paths</x:v>
      </x:c>
    </x:row>
    <x:row r="24">
      <x:c r="B24" s="31" t="str">
        <x:v>C18 S2 unprepared paths</x:v>
      </x:c>
      <x:c r="C24" s="31" t="n">
        <x:f>Assurance!C9</x:f>
        <x:v>1</x:v>
      </x:c>
      <x:c r="D24" s="31" t="n">
        <x:v>1</x:v>
      </x:c>
      <x:c r="E24" s="31" t="n">
        <x:f>C24-D24</x:f>
        <x:v>0</x:v>
      </x:c>
      <x:c r="F24" s="45" t="str">
        <x:f>IF(ABS(E24)&lt;0.000001,"PASS","FAIL")</x:f>
        <x:v>PASS</x:v>
      </x:c>
      <x:c r="G24" s="33" t="str">
        <x:v>bridge condition absent</x:v>
      </x:c>
    </x:row>
    <x:row r="25">
      <x:c r="B25" s="31" t="str">
        <x:v>C19 S3 unprepared paths</x:v>
      </x:c>
      <x:c r="C25" s="31" t="n">
        <x:f>Assurance!C10</x:f>
        <x:v>1</x:v>
      </x:c>
      <x:c r="D25" s="31" t="n">
        <x:v>1</x:v>
      </x:c>
      <x:c r="E25" s="31" t="n">
        <x:f>C25-D25</x:f>
        <x:v>0</x:v>
      </x:c>
      <x:c r="F25" s="45" t="str">
        <x:f>IF(ABS(E25)&lt;0.000001,"PASS","FAIL")</x:f>
        <x:v>PASS</x:v>
      </x:c>
      <x:c r="G25" s="33" t="str">
        <x:v>local condition absent</x:v>
      </x:c>
    </x:row>
    <x:row r="26">
      <x:c r="B26" s="31" t="str">
        <x:v>C20 S4 unprepared paths</x:v>
      </x:c>
      <x:c r="C26" s="31" t="n">
        <x:f>Assurance!C11</x:f>
        <x:v>1</x:v>
      </x:c>
      <x:c r="D26" s="31" t="n">
        <x:v>1</x:v>
      </x:c>
      <x:c r="E26" s="31" t="n">
        <x:f>C26-D26</x:f>
        <x:v>0</x:v>
      </x:c>
      <x:c r="F26" s="45" t="str">
        <x:f>IF(ABS(E26)&lt;0.000001,"PASS","FAIL")</x:f>
        <x:v>PASS</x:v>
      </x:c>
      <x:c r="G26" s="33" t="str">
        <x:v>standoff condition absent</x:v>
      </x:c>
    </x:row>
    <x:row r="27">
      <x:c r="B27" s="31" t="str">
        <x:v>C21 S5 unprepared paths</x:v>
      </x:c>
      <x:c r="C27" s="31" t="n">
        <x:f>Assurance!C12</x:f>
        <x:v>1</x:v>
      </x:c>
      <x:c r="D27" s="31" t="n">
        <x:v>1</x:v>
      </x:c>
      <x:c r="E27" s="31" t="n">
        <x:f>C27-D27</x:f>
        <x:v>0</x:v>
      </x:c>
      <x:c r="F27" s="45" t="str">
        <x:f>IF(ABS(E27)&lt;0.000001,"PASS","FAIL")</x:f>
        <x:v>PASS</x:v>
      </x:c>
      <x:c r="G27" s="33" t="str">
        <x:v>prepared condition absent</x:v>
      </x:c>
    </x:row>
    <x:row r="28">
      <x:c r="B28" s="31" t="str">
        <x:v>C22 S6 unprepared paths</x:v>
      </x:c>
      <x:c r="C28" s="31" t="n">
        <x:f>Assurance!C13</x:f>
        <x:v>2</x:v>
      </x:c>
      <x:c r="D28" s="31" t="n">
        <x:v>2</x:v>
      </x:c>
      <x:c r="E28" s="31" t="n">
        <x:f>C28-D28</x:f>
        <x:v>0</x:v>
      </x:c>
      <x:c r="F28" s="45" t="str">
        <x:f>IF(ABS(E28)&lt;0.000001,"PASS","FAIL")</x:f>
        <x:v>PASS</x:v>
      </x:c>
      <x:c r="G28" s="33" t="str">
        <x:v>same-mode duplication</x:v>
      </x:c>
    </x:row>
    <x:row r="29">
      <x:c r="B29" s="31" t="str">
        <x:v>C23 S0 mode survivor</x:v>
      </x:c>
      <x:c r="C29" s="31" t="n">
        <x:f>Assurance!E7</x:f>
        <x:v>1</x:v>
      </x:c>
      <x:c r="D29" s="31" t="n">
        <x:v>1</x:v>
      </x:c>
      <x:c r="E29" s="31" t="n">
        <x:f>C29-D29</x:f>
        <x:v>0</x:v>
      </x:c>
      <x:c r="F29" s="45" t="str">
        <x:f>IF(ABS(E29)&lt;0.000001,"PASS","FAIL")</x:f>
        <x:v>PASS</x:v>
      </x:c>
      <x:c r="G29" s="33" t="str">
        <x:v>universal upper comparator</x:v>
      </x:c>
    </x:row>
    <x:row r="30">
      <x:c r="B30" s="31" t="str">
        <x:v>C24 S1 mode survivor</x:v>
      </x:c>
      <x:c r="C30" s="31" t="n">
        <x:f>Assurance!E8</x:f>
        <x:v>1</x:v>
      </x:c>
      <x:c r="D30" s="31" t="n">
        <x:v>1</x:v>
      </x:c>
      <x:c r="E30" s="31" t="n">
        <x:f>C30-D30</x:f>
        <x:v>0</x:v>
      </x:c>
      <x:c r="F30" s="45" t="str">
        <x:f>IF(ABS(E30)&lt;0.000001,"PASS","FAIL")</x:f>
        <x:v>PASS</x:v>
      </x:c>
      <x:c r="G30" s="33" t="str">
        <x:v>dual physics</x:v>
      </x:c>
    </x:row>
    <x:row r="31">
      <x:c r="B31" s="31" t="str">
        <x:v>C25 S6 mode survivor</x:v>
      </x:c>
      <x:c r="C31" s="31" t="n">
        <x:f>Assurance!E13</x:f>
        <x:v>0</x:v>
      </x:c>
      <x:c r="D31" s="31" t="n">
        <x:v>0</x:v>
      </x:c>
      <x:c r="E31" s="31" t="n">
        <x:f>C31-D31</x:f>
        <x:v>0</x:v>
      </x:c>
      <x:c r="F31" s="45" t="str">
        <x:f>IF(ABS(E31)&lt;0.000001,"PASS","FAIL")</x:f>
        <x:v>PASS</x:v>
      </x:c>
      <x:c r="G31" s="33" t="str">
        <x:v>VHL monoculture fails</x:v>
      </x:c>
    </x:row>
    <x:row r="32">
      <x:c r="B32" s="31" t="str">
        <x:v>C26 universal pass count</x:v>
      </x:c>
      <x:c r="C32" s="31" t="n">
        <x:f>COUNTIF(Assurance!J7:J13,"PASS")</x:f>
        <x:v>2</x:v>
      </x:c>
      <x:c r="D32" s="31" t="n">
        <x:v>2</x:v>
      </x:c>
      <x:c r="E32" s="31" t="n">
        <x:f>C32-D32</x:f>
        <x:v>0</x:v>
      </x:c>
      <x:c r="F32" s="45" t="str">
        <x:f>IF(ABS(E32)&lt;0.000001,"PASS","FAIL")</x:f>
        <x:v>PASS</x:v>
      </x:c>
      <x:c r="G32" s="33" t="str">
        <x:v>S0 and S1 only</x:v>
      </x:c>
    </x:row>
    <x:row r="33">
      <x:c r="B33" s="31" t="str">
        <x:v>C27 S1 universal</x:v>
      </x:c>
      <x:c r="C33" s="31" t="n">
        <x:f>IF(Assurance!J8="PASS",1,0)</x:f>
        <x:v>1</x:v>
      </x:c>
      <x:c r="D33" s="31" t="n">
        <x:v>1</x:v>
      </x:c>
      <x:c r="E33" s="31" t="n">
        <x:f>C33-D33</x:f>
        <x:v>0</x:v>
      </x:c>
      <x:c r="F33" s="45" t="str">
        <x:f>IF(ABS(E33)&lt;0.000001,"PASS","FAIL")</x:f>
        <x:v>PASS</x:v>
      </x:c>
      <x:c r="G33" s="33" t="str">
        <x:v>reference result</x:v>
      </x:c>
    </x:row>
    <x:row r="34">
      <x:c r="B34" s="31" t="str">
        <x:v>C28 S2 conditional</x:v>
      </x:c>
      <x:c r="C34" s="31" t="n">
        <x:f>IF(Assurance!N9="PASS",1,0)</x:f>
        <x:v>1</x:v>
      </x:c>
      <x:c r="D34" s="31" t="n">
        <x:v>1</x:v>
      </x:c>
      <x:c r="E34" s="31" t="n">
        <x:f>C34-D34</x:f>
        <x:v>0</x:v>
      </x:c>
      <x:c r="F34" s="45" t="str">
        <x:f>IF(ABS(E34)&lt;0.000001,"PASS","FAIL")</x:f>
        <x:v>PASS</x:v>
      </x:c>
      <x:c r="G34" s="33" t="str">
        <x:v>standoff source required</x:v>
      </x:c>
    </x:row>
    <x:row r="35">
      <x:c r="B35" s="31" t="str">
        <x:v>C29 S3 conditional</x:v>
      </x:c>
      <x:c r="C35" s="31" t="n">
        <x:f>IF(Assurance!N10="PASS",1,0)</x:f>
        <x:v>1</x:v>
      </x:c>
      <x:c r="D35" s="31" t="n">
        <x:v>1</x:v>
      </x:c>
      <x:c r="E35" s="31" t="n">
        <x:f>C35-D35</x:f>
        <x:v>0</x:v>
      </x:c>
      <x:c r="F35" s="45" t="str">
        <x:f>IF(ABS(E35)&lt;0.000001,"PASS","FAIL")</x:f>
        <x:v>PASS</x:v>
      </x:c>
      <x:c r="G35" s="33" t="str">
        <x:v>local source required</x:v>
      </x:c>
    </x:row>
    <x:row r="36">
      <x:c r="B36" s="31" t="str">
        <x:v>C30 S4 conditional</x:v>
      </x:c>
      <x:c r="C36" s="31" t="n">
        <x:f>IF(Assurance!N11="PASS",1,0)</x:f>
        <x:v>1</x:v>
      </x:c>
      <x:c r="D36" s="31" t="n">
        <x:v>1</x:v>
      </x:c>
      <x:c r="E36" s="31" t="n">
        <x:f>C36-D36</x:f>
        <x:v>0</x:v>
      </x:c>
      <x:c r="F36" s="45" t="str">
        <x:f>IF(ABS(E36)&lt;0.000001,"PASS","FAIL")</x:f>
        <x:v>PASS</x:v>
      </x:c>
      <x:c r="G36" s="33" t="str">
        <x:v>standoff source required</x:v>
      </x:c>
    </x:row>
    <x:row r="37">
      <x:c r="B37" s="31" t="str">
        <x:v>C31 S5 conditional</x:v>
      </x:c>
      <x:c r="C37" s="31" t="n">
        <x:f>IF(Assurance!N12="PASS",1,0)</x:f>
        <x:v>1</x:v>
      </x:c>
      <x:c r="D37" s="31" t="n">
        <x:v>1</x:v>
      </x:c>
      <x:c r="E37" s="31" t="n">
        <x:f>C37-D37</x:f>
        <x:v>0</x:v>
      </x:c>
      <x:c r="F37" s="45" t="str">
        <x:f>IF(ABS(E37)&lt;0.000001,"PASS","FAIL")</x:f>
        <x:v>PASS</x:v>
      </x:c>
      <x:c r="G37" s="33" t="str">
        <x:v>prepared receiver required</x:v>
      </x:c>
    </x:row>
    <x:row r="38">
      <x:c r="B38" s="31" t="str">
        <x:v>C32 S6 universal fail</x:v>
      </x:c>
      <x:c r="C38" s="31" t="n">
        <x:f>IF(Assurance!J13="FAIL",1,0)</x:f>
        <x:v>1</x:v>
      </x:c>
      <x:c r="D38" s="31" t="n">
        <x:v>1</x:v>
      </x:c>
      <x:c r="E38" s="31" t="n">
        <x:f>C38-D38</x:f>
        <x:v>0</x:v>
      </x:c>
      <x:c r="F38" s="45" t="str">
        <x:f>IF(ABS(E38)&lt;0.000001,"PASS","FAIL")</x:f>
        <x:v>PASS</x:v>
      </x:c>
      <x:c r="G38" s="33" t="str">
        <x:v>same mode cannot assure</x:v>
      </x:c>
    </x:row>
    <x:row r="39">
      <x:c r="B39" s="31" t="str">
        <x:v>C33 S0 custody program</x:v>
      </x:c>
      <x:c r="C39" s="31" t="n">
        <x:f>'Program Cost'!J7</x:f>
        <x:v>151.7964</x:v>
      </x:c>
      <x:c r="D39" s="31" t="n">
        <x:v>151.7964</x:v>
      </x:c>
      <x:c r="E39" s="31" t="n">
        <x:f>C39-D39</x:f>
        <x:v>0</x:v>
      </x:c>
      <x:c r="F39" s="45" t="str">
        <x:f>IF(ABS(E39)&lt;0.000001,"PASS","FAIL")</x:f>
        <x:v>PASS</x:v>
      </x:c>
      <x:c r="G39" s="33" t="str">
        <x:v>Pass 80 difference control</x:v>
      </x:c>
    </x:row>
    <x:row r="40">
      <x:c r="B40" s="31" t="str">
        <x:v>C34 S0 package increment</x:v>
      </x:c>
      <x:c r="C40" s="31" t="n">
        <x:f>'Program Cost'!L7</x:f>
        <x:v>963.4964</x:v>
      </x:c>
      <x:c r="D40" s="31" t="n">
        <x:v>963.4964</x:v>
      </x:c>
      <x:c r="E40" s="31" t="n">
        <x:f>C40-D40</x:f>
        <x:v>0</x:v>
      </x:c>
      <x:c r="F40" s="45" t="str">
        <x:f>IF(ABS(E40)&lt;0.000001,"PASS","FAIL")</x:f>
        <x:v>PASS</x:v>
      </x:c>
      <x:c r="G40" s="33" t="str">
        <x:v>Pass 80 upper comparator delta</x:v>
      </x:c>
    </x:row>
    <x:row r="41">
      <x:c r="B41" s="31" t="str">
        <x:v>C35 S0 national</x:v>
      </x:c>
      <x:c r="C41" s="31" t="n">
        <x:f>'Program Cost'!N7</x:f>
        <x:v>8346.63795</x:v>
      </x:c>
      <x:c r="D41" s="31" t="n">
        <x:v>8346.63795</x:v>
      </x:c>
      <x:c r="E41" s="31" t="n">
        <x:f>C41-D41</x:f>
        <x:v>0</x:v>
      </x:c>
      <x:c r="F41" s="45" t="str">
        <x:f>IF(ABS(E41)&lt;0.000001,"PASS","FAIL")</x:f>
        <x:v>PASS</x:v>
      </x:c>
      <x:c r="G41" s="33" t="str">
        <x:v>Pass 80 upper comparator</x:v>
      </x:c>
    </x:row>
    <x:row r="42">
      <x:c r="B42" s="31" t="str">
        <x:v>C36 S1 custody program</x:v>
      </x:c>
      <x:c r="C42" s="31" t="n">
        <x:f>'Program Cost'!J8</x:f>
        <x:v>117.3098</x:v>
      </x:c>
      <x:c r="D42" s="31" t="n">
        <x:v>117.3098</x:v>
      </x:c>
      <x:c r="E42" s="31" t="n">
        <x:f>C42-D42</x:f>
        <x:v>0</x:v>
      </x:c>
      <x:c r="F42" s="45" t="str">
        <x:f>IF(ABS(E42)&lt;0.000001,"PASS","FAIL")</x:f>
        <x:v>PASS</x:v>
      </x:c>
      <x:c r="G42" s="33" t="str">
        <x:v>two independent chains</x:v>
      </x:c>
    </x:row>
    <x:row r="43">
      <x:c r="B43" s="31" t="str">
        <x:v>C37 S1 package increment</x:v>
      </x:c>
      <x:c r="C43" s="31" t="n">
        <x:f>'Program Cost'!L8</x:f>
        <x:v>770.6333</x:v>
      </x:c>
      <x:c r="D43" s="31" t="n">
        <x:v>770.6333</x:v>
      </x:c>
      <x:c r="E43" s="31" t="n">
        <x:f>C43-D43</x:f>
        <x:v>0</x:v>
      </x:c>
      <x:c r="F43" s="45" t="str">
        <x:f>IF(ABS(E43)&lt;0.000001,"PASS","FAIL")</x:f>
        <x:v>PASS</x:v>
      </x:c>
      <x:c r="G43" s="33" t="str">
        <x:v>declared comparator</x:v>
      </x:c>
    </x:row>
    <x:row r="44">
      <x:c r="B44" s="31" t="str">
        <x:v>C38 S1 national</x:v>
      </x:c>
      <x:c r="C44" s="31" t="n">
        <x:f>'Program Cost'!N8</x:f>
        <x:v>8153.77485</x:v>
      </x:c>
      <x:c r="D44" s="31" t="n">
        <x:v>8153.77485</x:v>
      </x:c>
      <x:c r="E44" s="31" t="n">
        <x:f>C44-D44</x:f>
        <x:v>0</x:v>
      </x:c>
      <x:c r="F44" s="45" t="str">
        <x:f>IF(ABS(E44)&lt;0.000001,"PASS","FAIL")</x:f>
        <x:v>PASS</x:v>
      </x:c>
      <x:c r="G44" s="33" t="str">
        <x:v>one-region base plus package</x:v>
      </x:c>
    </x:row>
    <x:row r="45">
      <x:c r="B45" s="31" t="str">
        <x:v>C39 S1 savings</x:v>
      </x:c>
      <x:c r="C45" s="31" t="n">
        <x:f>'Program Cost'!O8</x:f>
        <x:v>192.86310000000003</x:v>
      </x:c>
      <x:c r="D45" s="31" t="n">
        <x:v>192.8631</x:v>
      </x:c>
      <x:c r="E45" s="31" t="n">
        <x:f>C45-D45</x:f>
        <x:v>2.842170943040401e-14</x:v>
      </x:c>
      <x:c r="F45" s="45" t="str">
        <x:f>IF(ABS(E45)&lt;0.000001,"PASS","FAIL")</x:f>
        <x:v>PASS</x:v>
      </x:c>
      <x:c r="G45" s="33" t="str">
        <x:v>versus full duplicate</x:v>
      </x:c>
    </x:row>
    <x:row r="46">
      <x:c r="B46" s="31" t="str">
        <x:v>C40 S4 package increment</x:v>
      </x:c>
      <x:c r="C46" s="31" t="n">
        <x:f>'Program Cost'!L11</x:f>
        <x:v>572.3870999999999</x:v>
      </x:c>
      <x:c r="D46" s="31" t="n">
        <x:v>572.3871</x:v>
      </x:c>
      <x:c r="E46" s="31" t="n">
        <x:f>C46-D46</x:f>
        <x:v>-1.1368683772161603e-13</x:v>
      </x:c>
      <x:c r="F46" s="45" t="str">
        <x:f>IF(ABS(E46)&lt;0.000001,"PASS","FAIL")</x:f>
        <x:v>PASS</x:v>
      </x:c>
      <x:c r="G46" s="33" t="str">
        <x:v>conditional cost floor</x:v>
      </x:c>
    </x:row>
    <x:row r="47">
      <x:c r="B47" s="31" t="str">
        <x:v>C41 S6 package increment</x:v>
      </x:c>
      <x:c r="C47" s="31" t="n">
        <x:f>'Program Cost'!L13</x:f>
        <x:v>1399.9470000000001</x:v>
      </x:c>
      <x:c r="D47" s="31" t="n">
        <x:v>1399.947</x:v>
      </x:c>
      <x:c r="E47" s="31" t="n">
        <x:f>C47-D47</x:f>
        <x:v>2.2737367544323206e-13</x:v>
      </x:c>
      <x:c r="F47" s="45" t="str">
        <x:f>IF(ABS(E47)&lt;0.000001,"PASS","FAIL")</x:f>
        <x:v>PASS</x:v>
      </x:c>
      <x:c r="G47" s="33" t="str">
        <x:v>same-mode cost comparator</x:v>
      </x:c>
    </x:row>
    <x:row r="48">
      <x:c r="B48" s="31" t="str">
        <x:v>C42 S0 industrial liftships</x:v>
      </x:c>
      <x:c r="C48" s="31" t="n">
        <x:f>'Industrial Base'!C7</x:f>
        <x:v>86</x:v>
      </x:c>
      <x:c r="D48" s="31" t="n">
        <x:v>86</x:v>
      </x:c>
      <x:c r="E48" s="31" t="n">
        <x:f>C48-D48</x:f>
        <x:v>0</x:v>
      </x:c>
      <x:c r="F48" s="45" t="str">
        <x:f>IF(ABS(E48)&lt;0.000001,"PASS","FAIL")</x:f>
        <x:v>PASS</x:v>
      </x:c>
      <x:c r="G48" s="33" t="str">
        <x:v>two per ready package</x:v>
      </x:c>
    </x:row>
    <x:row r="49">
      <x:c r="B49" s="31" t="str">
        <x:v>C43 S1 industrial terrain vehicles</x:v>
      </x:c>
      <x:c r="C49" s="31" t="n">
        <x:f>'Industrial Base'!D8</x:f>
        <x:v>172</x:v>
      </x:c>
      <x:c r="D49" s="31" t="n">
        <x:v>172</x:v>
      </x:c>
      <x:c r="E49" s="31" t="n">
        <x:f>C49-D49</x:f>
        <x:v>0</x:v>
      </x:c>
      <x:c r="F49" s="45" t="str">
        <x:f>IF(ABS(E49)&lt;0.000001,"PASS","FAIL")</x:f>
        <x:v>PASS</x:v>
      </x:c>
      <x:c r="G49" s="33" t="str">
        <x:v>four per ready package</x:v>
      </x:c>
    </x:row>
    <x:row r="50">
      <x:c r="B50" s="31" t="str">
        <x:v>C44 S2 industrial VHL</x:v>
      </x:c>
      <x:c r="C50" s="31" t="n">
        <x:f>'Industrial Base'!E9</x:f>
        <x:v>430</x:v>
      </x:c>
      <x:c r="D50" s="31" t="n">
        <x:v>430</x:v>
      </x:c>
      <x:c r="E50" s="31" t="n">
        <x:f>C50-D50</x:f>
        <x:v>0</x:v>
      </x:c>
      <x:c r="F50" s="45" t="str">
        <x:f>IF(ABS(E50)&lt;0.000001,"PASS","FAIL")</x:f>
        <x:v>PASS</x:v>
      </x:c>
      <x:c r="G50" s="33" t="str">
        <x:v>ten per ready package</x:v>
      </x:c>
    </x:row>
    <x:row r="51">
      <x:c r="B51" s="31" t="str">
        <x:v>C45 S5 prepared cells</x:v>
      </x:c>
      <x:c r="C51" s="31" t="n">
        <x:f>'Industrial Base'!H12</x:f>
        <x:v>43</x:v>
      </x:c>
      <x:c r="D51" s="31" t="n">
        <x:v>43</x:v>
      </x:c>
      <x:c r="E51" s="31" t="n">
        <x:f>C51-D51</x:f>
        <x:v>0</x:v>
      </x:c>
      <x:c r="F51" s="45" t="str">
        <x:f>IF(ABS(E51)&lt;0.000001,"PASS","FAIL")</x:f>
        <x:v>PASS</x:v>
      </x:c>
      <x:c r="G51" s="33" t="str">
        <x:v>one per ready package</x:v>
      </x:c>
    </x:row>
    <x:row r="52">
      <x:c r="B52" s="31" t="str">
        <x:v>C46 S1 combined deployed</x:v>
      </x:c>
      <x:c r="C52" s="31" t="n">
        <x:f>Workforce!F8</x:f>
        <x:v>1076</x:v>
      </x:c>
      <x:c r="D52" s="31" t="n">
        <x:v>1076</x:v>
      </x:c>
      <x:c r="E52" s="31" t="n">
        <x:f>C52-D52</x:f>
        <x:v>0</x:v>
      </x:c>
      <x:c r="F52" s="45" t="str">
        <x:f>IF(ABS(E52)&lt;0.000001,"PASS","FAIL")</x:f>
        <x:v>PASS</x:v>
      </x:c>
      <x:c r="G52" s="33" t="str">
        <x:v>base plus second package</x:v>
      </x:c>
    </x:row>
    <x:row r="53">
      <x:c r="B53" s="31" t="str">
        <x:v>C47 S0 combined deployed</x:v>
      </x:c>
      <x:c r="C53" s="31" t="n">
        <x:f>Workforce!F7</x:f>
        <x:v>1136</x:v>
      </x:c>
      <x:c r="D53" s="31" t="n">
        <x:v>1136</x:v>
      </x:c>
      <x:c r="E53" s="31" t="n">
        <x:f>C53-D53</x:f>
        <x:v>0</x:v>
      </x:c>
      <x:c r="F53" s="45" t="str">
        <x:f>IF(ABS(E53)&lt;0.000001,"PASS","FAIL")</x:f>
        <x:v>PASS</x:v>
      </x:c>
      <x:c r="G53" s="33" t="str">
        <x:v>Pass 80 control</x:v>
      </x:c>
    </x:row>
    <x:row r="54">
      <x:c r="B54" s="31" t="str">
        <x:v>C48 evidence gates</x:v>
      </x:c>
      <x:c r="C54" s="31" t="n">
        <x:f>COUNTA('Evidence Gates'!B7:B50)</x:f>
        <x:v>44</x:v>
      </x:c>
      <x:c r="D54" s="31" t="n">
        <x:v>44</x:v>
      </x:c>
      <x:c r="E54" s="31" t="n">
        <x:f>C54-D54</x:f>
        <x:v>0</x:v>
      </x:c>
      <x:c r="F54" s="45" t="str">
        <x:f>IF(ABS(E54)&lt;0.000001,"PASS","FAIL")</x:f>
        <x:v>PASS</x:v>
      </x:c>
      <x:c r="G54" s="33" t="str">
        <x:v>registered evidence burden</x:v>
      </x:c>
    </x:row>
    <x:row r="55">
      <x:c r="B55" s="31" t="str">
        <x:v>C49 open gates</x:v>
      </x:c>
      <x:c r="C55" s="31" t="n">
        <x:f>COUNTIF('Evidence Gates'!H7:H50,"OPEN")</x:f>
        <x:v>44</x:v>
      </x:c>
      <x:c r="D55" s="31" t="n">
        <x:v>44</x:v>
      </x:c>
      <x:c r="E55" s="31" t="n">
        <x:f>C55-D55</x:f>
        <x:v>0</x:v>
      </x:c>
      <x:c r="F55" s="45" t="str">
        <x:f>IF(ABS(E55)&lt;0.000001,"PASS","FAIL")</x:f>
        <x:v>PASS</x:v>
      </x:c>
      <x:c r="G55" s="33" t="str">
        <x:v>no evidence admission</x:v>
      </x:c>
    </x:row>
    <x:row r="56">
      <x:c r="B56" s="31" t="str">
        <x:v>C50 rendering</x:v>
      </x:c>
      <x:c r="C56" s="31" t="n">
        <x:f>Assumptions!C27</x:f>
        <x:v>0</x:v>
      </x:c>
      <x:c r="D56" s="31" t="n">
        <x:v>0</x:v>
      </x:c>
      <x:c r="E56" s="31" t="n">
        <x:f>C56-D56</x:f>
        <x:v>0</x:v>
      </x:c>
      <x:c r="F56" s="45" t="str">
        <x:f>IF(ABS(E56)&lt;0.000001,"PASS","FAIL")</x:f>
        <x:v>PASS</x:v>
      </x:c>
      <x:c r="G56" s="33" t="str">
        <x:v>blocked</x:v>
      </x:c>
    </x:row>
    <x:row r="57">
      <x:c r="B57" s="31" t="str">
        <x:v>C51 strict evidence</x:v>
      </x:c>
      <x:c r="C57" s="31" t="n">
        <x:f>COUNTIF(Assurance!O7:O13,"PASS")</x:f>
        <x:v>0</x:v>
      </x:c>
      <x:c r="D57" s="31" t="n">
        <x:v>0</x:v>
      </x:c>
      <x:c r="E57" s="31" t="n">
        <x:f>C57-D57</x:f>
        <x:v>0</x:v>
      </x:c>
      <x:c r="F57" s="45" t="str">
        <x:f>IF(ABS(E57)&lt;0.000001,"PASS","FAIL")</x:f>
        <x:v>PASS</x:v>
      </x:c>
      <x:c r="G57" s="33" t="str">
        <x:v>no strict credit</x:v>
      </x:c>
    </x:row>
    <x:row r="58">
      <x:c r="B58" s="38" t="str">
        <x:v>C52 no negative costs</x:v>
      </x:c>
      <x:c r="C58" s="38" t="n">
        <x:f>MIN('Program Cost'!N7:N13)</x:f>
        <x:v>7955.52865</x:v>
      </x:c>
      <x:c r="D58" s="46" t="str">
        <x:v>&gt;0</x:v>
      </x:c>
      <x:c r="E58" s="38" t="n">
        <x:f>C58</x:f>
        <x:v>7955.52865</x:v>
      </x:c>
      <x:c r="F58" s="46" t="str">
        <x:f>IF(C58&gt;0,"PASS","FAIL")</x:f>
        <x:v>PASS</x:v>
      </x:c>
      <x:c r="G58" s="40" t="str">
        <x:v>all boundaries active</x:v>
      </x:c>
    </x:row>
    <x:row r="59">
      <x:c r="B59" s="2"/>
      <x:c r="C59" s="2"/>
      <x:c r="D59" s="2"/>
      <x:c r="E59" s="2"/>
      <x:c r="F59" s="2"/>
      <x:c r="G59" s="2"/>
    </x:row>
    <x:row r="60">
      <x:c r="B60" s="2"/>
      <x:c r="C60" s="2"/>
      <x:c r="D60" s="2"/>
      <x:c r="E60" s="2"/>
      <x:c r="F60" s="2"/>
      <x:c r="G60" s="2"/>
    </x:row>
    <x:row r="61">
      <x:c r="B61" s="2"/>
      <x:c r="C61" s="2"/>
      <x:c r="D61" s="2"/>
      <x:c r="E61" s="2"/>
      <x:c r="F61" s="2"/>
      <x:c r="G61" s="2"/>
    </x:row>
    <x:row r="62">
      <x:c r="B62" s="2"/>
      <x:c r="C62" s="2"/>
      <x:c r="D62" s="2"/>
      <x:c r="E62" s="2"/>
      <x:c r="F62" s="2"/>
      <x:c r="G62" s="2"/>
    </x:row>
    <x:row r="63">
      <x:c r="B63" s="2"/>
      <x:c r="C63" s="2"/>
      <x:c r="D63" s="2"/>
      <x:c r="E63" s="2"/>
      <x:c r="F63" s="2"/>
      <x:c r="G63" s="2"/>
    </x:row>
    <x:row r="64">
      <x:c r="B64" s="2"/>
      <x:c r="C64" s="2"/>
      <x:c r="D64" s="2"/>
      <x:c r="E64" s="2"/>
      <x:c r="F64" s="2"/>
      <x:c r="G64" s="2"/>
    </x:row>
    <x:row r="65">
      <x:c r="B65" s="2"/>
      <x:c r="C65" s="2"/>
      <x:c r="D65" s="2"/>
      <x:c r="E65" s="2"/>
      <x:c r="F65" s="2"/>
      <x:c r="G65" s="2"/>
    </x:row>
    <x:row r="66">
      <x:c r="B66" s="2"/>
      <x:c r="C66" s="2"/>
      <x:c r="D66" s="2"/>
      <x:c r="E66" s="2"/>
      <x:c r="F66" s="2"/>
      <x:c r="G66" s="2"/>
    </x:row>
  </x:sheetData>
  <x:conditionalFormatting sqref="F7:F58">
    <x:cfRule type="containsText" dxfId="4" priority="1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4" hidden="0" customWidth="1"/>
    <x:col min="3" max="3" width="116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3" t="str">
        <x:v>How to read this model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workbook compares second-region packages; it does not admit a formation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8" t="str">
        <x:v>Decision boundary</x:v>
      </x:c>
      <x:c r="C6" s="9" t="str">
        <x:v>Decision boundary</x:v>
      </x:c>
      <x:c r="D6" s="9" t="str">
        <x:v>Decision boundary</x:v>
      </x:c>
      <x:c r="E6" s="9" t="str">
        <x:v>Decision boundary</x:v>
      </x:c>
      <x:c r="F6" s="9" t="str">
        <x:v>Decision boundary</x:v>
      </x:c>
      <x:c r="G6" s="9" t="str">
        <x:v>Decision boundary</x:v>
      </x:c>
      <x:c r="H6" s="9" t="str">
        <x:v>Decision boundary</x:v>
      </x:c>
      <x:c r="I6" s="9" t="str">
        <x:v>Decision boundary</x:v>
      </x:c>
      <x:c r="J6" s="10" t="str">
        <x:v>Decision boundary</x:v>
      </x:c>
    </x:row>
    <x:row r="7">
      <x:c r="B7" s="67" t="str">
        <x:v>Question</x:v>
      </x:c>
      <x:c r="C7" s="68" t="str">
        <x:v>What is the least declared package that preserves two regions after a vehicle loss and loss of one whole mode or operating site?</x:v>
      </x:c>
      <x:c r="D7" s="2"/>
      <x:c r="E7" s="2"/>
      <x:c r="F7" s="2"/>
      <x:c r="G7" s="2"/>
      <x:c r="H7" s="2"/>
      <x:c r="I7" s="2"/>
      <x:c r="J7" s="2"/>
    </x:row>
    <x:row r="8">
      <x:c r="B8" s="69" t="str">
        <x:v>Universal rule</x:v>
      </x:c>
      <x:c r="C8" s="31" t="str">
        <x:v>A package must work at an unprepared receiver without standoff service, qualified local matter or a prepared cell.</x:v>
      </x:c>
      <x:c r="D8" s="2"/>
      <x:c r="E8" s="2"/>
      <x:c r="F8" s="2"/>
      <x:c r="G8" s="2"/>
      <x:c r="H8" s="2"/>
      <x:c r="I8" s="2"/>
      <x:c r="J8" s="2"/>
    </x:row>
    <x:row r="9">
      <x:c r="B9" s="69" t="str">
        <x:v>Conditional rule</x:v>
      </x:c>
      <x:c r="C9" s="31" t="str">
        <x:v>A bridge, conversion or prepared-cell path counts only in the case where its enabling condition is independently available.</x:v>
      </x:c>
      <x:c r="D9" s="2"/>
      <x:c r="E9" s="2"/>
      <x:c r="F9" s="2"/>
      <x:c r="G9" s="2"/>
      <x:c r="H9" s="2"/>
      <x:c r="I9" s="2"/>
      <x:c r="J9" s="2"/>
    </x:row>
    <x:row r="10">
      <x:c r="B10" s="69" t="str">
        <x:v>Clock rule</x:v>
      </x:c>
      <x:c r="C10" s="31" t="str">
        <x:v>Region B activates at hour 6 and receives its own 48-hour service clock, creating an absolute hour-54 deadline.</x:v>
      </x:c>
      <x:c r="D10" s="2"/>
      <x:c r="E10" s="2"/>
      <x:c r="F10" s="2"/>
      <x:c r="G10" s="2"/>
      <x:c r="H10" s="2"/>
      <x:c r="I10" s="2"/>
      <x:c r="J10" s="2"/>
    </x:row>
    <x:row r="11">
      <x:c r="B11" s="69" t="str">
        <x:v>Vehicle rule</x:v>
      </x:c>
      <x:c r="C11" s="31" t="str">
        <x:v>One vehicle may remove a vulnerable set. The ten-aircraft VHL path retains a functional N+1 hypothesis.</x:v>
      </x:c>
      <x:c r="D11" s="2"/>
      <x:c r="E11" s="2"/>
      <x:c r="F11" s="2"/>
      <x:c r="G11" s="2"/>
      <x:c r="H11" s="2"/>
      <x:c r="I11" s="2"/>
      <x:c r="J11" s="2"/>
    </x:row>
    <x:row r="12">
      <x:c r="B12" s="69" t="str">
        <x:v>Mode rule</x:v>
      </x:c>
      <x:c r="C12" s="31" t="str">
        <x:v>Loss removes every path in the same physics or site domain. Two VHL lattices therefore remain one atmospheric mode.</x:v>
      </x:c>
      <x:c r="D12" s="2"/>
      <x:c r="E12" s="2"/>
      <x:c r="F12" s="2"/>
      <x:c r="G12" s="2"/>
      <x:c r="H12" s="2"/>
      <x:c r="I12" s="2"/>
      <x:c r="J12" s="2"/>
    </x:row>
    <x:row r="13">
      <x:c r="B13" s="69" t="str">
        <x:v>Lower bound</x:v>
      </x:c>
      <x:c r="C13" s="31" t="str">
        <x:v>Two source-independent complete physical cells require at least 1,270 fielded tonnes in the unprepared case.</x:v>
      </x:c>
      <x:c r="D13" s="2"/>
      <x:c r="E13" s="2"/>
      <x:c r="F13" s="2"/>
      <x:c r="G13" s="2"/>
      <x:c r="H13" s="2"/>
      <x:c r="I13" s="2"/>
      <x:c r="J13" s="2"/>
    </x:row>
    <x:row r="14">
      <x:c r="B14" s="69" t="str">
        <x:v>Cost rule</x:v>
      </x:c>
      <x:c r="C14" s="31" t="str">
        <x:v>Each second-region package is added to the dynamic F1-C1 boundary. S0 exactly reproduces the Pass 80 full-duplication control.</x:v>
      </x:c>
      <x:c r="D14" s="2"/>
      <x:c r="E14" s="2"/>
      <x:c r="F14" s="2"/>
      <x:c r="G14" s="2"/>
      <x:c r="H14" s="2"/>
      <x:c r="I14" s="2"/>
      <x:c r="J14" s="2"/>
    </x:row>
    <x:row r="15">
      <x:c r="B15" s="69" t="str">
        <x:v>Evidence rule</x:v>
      </x:c>
      <x:c r="C15" s="31" t="str">
        <x:v>All forty-four gates are open. Behavior arithmetic gives no current or strict operating credit.</x:v>
      </x:c>
      <x:c r="D15" s="2"/>
      <x:c r="E15" s="2"/>
      <x:c r="F15" s="2"/>
      <x:c r="G15" s="2"/>
      <x:c r="H15" s="2"/>
      <x:c r="I15" s="2"/>
      <x:c r="J15" s="2"/>
    </x:row>
    <x:row r="16">
      <x:c r="B16" s="69" t="str">
        <x:v>Source boundary</x:v>
      </x:c>
      <x:c r="C16" s="31" t="str">
        <x:v>Only repository requirements and declared hypotheses are used. No external-site research is introduced.</x:v>
      </x:c>
      <x:c r="D16" s="2"/>
      <x:c r="E16" s="2"/>
      <x:c r="F16" s="2"/>
      <x:c r="G16" s="2"/>
      <x:c r="H16" s="2"/>
      <x:c r="I16" s="2"/>
      <x:c r="J16" s="2"/>
    </x:row>
    <x:row r="17">
      <x:c r="B17" s="69" t="str">
        <x:v>Rendering</x:v>
      </x:c>
      <x:c r="C17" s="31" t="str">
        <x:v>Blocked until physical envelopes and representative trials determine actual form.</x:v>
      </x:c>
      <x:c r="D17" s="2"/>
      <x:c r="E17" s="2"/>
      <x:c r="F17" s="2"/>
      <x:c r="G17" s="2"/>
      <x:c r="H17" s="2"/>
      <x:c r="I17" s="2"/>
      <x:c r="J17" s="2"/>
    </x:row>
    <x:row r="18">
      <x:c r="B18" s="70" t="str">
        <x:v>Next use</x:v>
      </x:c>
      <x:c r="C18" s="71" t="str">
        <x:v>Configure DCP-2 payload allocation, bases, duty cycle and cross-mode receiver geometry before drawings.</x:v>
      </x:c>
      <x:c r="D18" s="2"/>
      <x:c r="E18" s="2"/>
      <x:c r="F18" s="2"/>
      <x:c r="G18" s="2"/>
      <x:c r="H18" s="2"/>
      <x:c r="I18" s="2"/>
      <x:c r="J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</x:sheetData>
  <x:mergeCells>
    <x:mergeCell ref="B6:J6"/>
  </x:mergeCells>
  <x:pageMargins left="0.7" right="0.7" top="0.75" bottom="0.75" header="0.3" footer="0.3"/>
</x:worksheet>
</file>