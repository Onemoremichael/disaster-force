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f8b5b337424474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ecutive" sheetId="1" r:id="R07862d14405742bd"/>
    <x:sheet xmlns:r="http://schemas.openxmlformats.org/officeDocument/2006/relationships" name="Controls" sheetId="2" r:id="R41a5573f6a594542"/>
    <x:sheet xmlns:r="http://schemas.openxmlformats.org/officeDocument/2006/relationships" name="Service Contract" sheetId="3" r:id="Ra9c0188281034514"/>
    <x:sheet xmlns:r="http://schemas.openxmlformats.org/officeDocument/2006/relationships" name="Site Classes" sheetId="4" r:id="Rbbf8b421fdce4bc2"/>
    <x:sheet xmlns:r="http://schemas.openxmlformats.org/officeDocument/2006/relationships" name="Inventory" sheetId="5" r:id="Rba8265374daf4094"/>
    <x:sheet xmlns:r="http://schemas.openxmlformats.org/officeDocument/2006/relationships" name="Readiness" sheetId="6" r:id="Rf0ecf32b0f144548"/>
    <x:sheet xmlns:r="http://schemas.openxmlformats.org/officeDocument/2006/relationships" name="Assurance Cells" sheetId="7" r:id="Ree4c506225f54903"/>
    <x:sheet xmlns:r="http://schemas.openxmlformats.org/officeDocument/2006/relationships" name="Common Mode" sheetId="8" r:id="Rba7acb8db8374550"/>
    <x:sheet xmlns:r="http://schemas.openxmlformats.org/officeDocument/2006/relationships" name="Regional Distribution" sheetId="9" r:id="Rc1a72e6084c24bf3"/>
    <x:sheet xmlns:r="http://schemas.openxmlformats.org/officeDocument/2006/relationships" name="Spatial Stress" sheetId="10" r:id="R8de57a85b66c4454"/>
    <x:sheet xmlns:r="http://schemas.openxmlformats.org/officeDocument/2006/relationships" name="Fixed Mobile Split" sheetId="11" r:id="R546d3f1e118a48cc"/>
    <x:sheet xmlns:r="http://schemas.openxmlformats.org/officeDocument/2006/relationships" name="Pod Timing" sheetId="12" r:id="R9409287c8c9445d6"/>
    <x:sheet xmlns:r="http://schemas.openxmlformats.org/officeDocument/2006/relationships" name="Partner Layer" sheetId="13" r:id="Rd0b39d7972464405"/>
    <x:sheet xmlns:r="http://schemas.openxmlformats.org/officeDocument/2006/relationships" name="Activation" sheetId="14" r:id="R0572b89fa3894146"/>
    <x:sheet xmlns:r="http://schemas.openxmlformats.org/officeDocument/2006/relationships" name="Inspection" sheetId="15" r:id="R214c03b4070444cc"/>
    <x:sheet xmlns:r="http://schemas.openxmlformats.org/officeDocument/2006/relationships" name="Building Passports" sheetId="16" r:id="R93b38250cb8e43a1"/>
    <x:sheet xmlns:r="http://schemas.openxmlformats.org/officeDocument/2006/relationships" name="Utility Interfaces" sheetId="17" r:id="R01c9ff1f65de47d8"/>
    <x:sheet xmlns:r="http://schemas.openxmlformats.org/officeDocument/2006/relationships" name="Local Stocks" sheetId="18" r:id="Rd92e9466c621417d"/>
    <x:sheet xmlns:r="http://schemas.openxmlformats.org/officeDocument/2006/relationships" name="Workforce" sheetId="19" r:id="R4e2c91785d4d409b"/>
    <x:sheet xmlns:r="http://schemas.openxmlformats.org/officeDocument/2006/relationships" name="Industrial Capacity" sheetId="20" r:id="R9d89b92e983c4afe"/>
    <x:sheet xmlns:r="http://schemas.openxmlformats.org/officeDocument/2006/relationships" name="Capital Build" sheetId="21" r:id="R29226521c3c34a70"/>
    <x:sheet xmlns:r="http://schemas.openxmlformats.org/officeDocument/2006/relationships" name="25-Year Spend" sheetId="22" r:id="R16480d30078d4ef7"/>
    <x:sheet xmlns:r="http://schemas.openxmlformats.org/officeDocument/2006/relationships" name="Alternatives" sheetId="23" r:id="Rf94f874c3c7c4d09"/>
    <x:sheet xmlns:r="http://schemas.openxmlformats.org/officeDocument/2006/relationships" name="Technology Programs" sheetId="24" r:id="R0b700bf42f74443e"/>
    <x:sheet xmlns:r="http://schemas.openxmlformats.org/officeDocument/2006/relationships" name="Evidence Gates" sheetId="25" r:id="R7c48d4bdf94a4607"/>
    <x:sheet xmlns:r="http://schemas.openxmlformats.org/officeDocument/2006/relationships" name="Sources" sheetId="26" r:id="R1c51367429c049e7"/>
    <x:sheet xmlns:r="http://schemas.openxmlformats.org/officeDocument/2006/relationships" name="Checks" sheetId="27" r:id="Rc3690100cc7040b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7">
    <x:numFmt numFmtId="200" formatCode="0.0%"/>
    <x:numFmt numFmtId="201" formatCode="#,##0"/>
    <x:numFmt numFmtId="202" formatCode="#,##0.00"/>
    <x:numFmt numFmtId="203" formatCode="0.0"/>
    <x:numFmt numFmtId="204" formatCode="$#,##0.00"/>
    <x:numFmt numFmtId="205" formatCode="0"/>
    <x:numFmt numFmtId="206" formatCode="#,##0.000"/>
  </x:numFmts>
  <x:fonts count="10">
    <x:font>
      <x:sz val="11"/>
      <x:name val="Carlito"/>
    </x:font>
    <x:font>
      <x:b/>
      <x:sz val="18"/>
      <x:color rgb="FF17242E"/>
      <x:name val="Aptos"/>
    </x:font>
    <x:font>
      <x:i/>
      <x:sz val="10"/>
      <x:color rgb="FF60717D"/>
      <x:name val="Aptos"/>
    </x:font>
    <x:font>
      <x:b/>
      <x:sz val="9"/>
      <x:color rgb="FFFFFFFF"/>
      <x:name val="Aptos"/>
    </x:font>
    <x:font>
      <x:sz val="9"/>
      <x:color rgb="FF17242E"/>
      <x:name val="Aptos"/>
    </x:font>
    <x:font>
      <x:sz val="9"/>
      <x:color rgb="FF0000FF"/>
      <x:name val="Aptos"/>
    </x:font>
    <x:font>
      <x:i/>
      <x:sz val="9"/>
      <x:color rgb="FF17242E"/>
      <x:name val="Aptos"/>
    </x:font>
    <x:font>
      <x:b/>
      <x:sz val="11"/>
      <x:color rgb="FF143B57"/>
      <x:name val="Aptos"/>
    </x:font>
    <x:font>
      <x:sz val="10"/>
      <x:color rgb="FF17242E"/>
      <x:name val="Aptos"/>
    </x:font>
    <x:font>
      <x:sz val="11"/>
      <x:name val="Aptos"/>
    </x:font>
  </x:fonts>
  <x:fills count="7">
    <x:fill>
      <x:patternFill patternType="none"/>
    </x:fill>
    <x:fill>
      <x:patternFill patternType="gray125"/>
    </x:fill>
    <x:fill>
      <x:patternFill patternType="solid">
        <x:fgColor rgb="FF143B57"/>
      </x:patternFill>
    </x:fill>
    <x:fill>
      <x:patternFill patternType="solid">
        <x:fgColor rgb="FFF3F6F8"/>
      </x:patternFill>
    </x:fill>
    <x:fill>
      <x:patternFill patternType="solid">
        <x:fgColor rgb="FFFFF2CC"/>
      </x:patternFill>
    </x:fill>
    <x:fill>
      <x:patternFill patternType="solid">
        <x:fgColor rgb="FFFCE4D6"/>
      </x:patternFill>
    </x:fill>
    <x:fill>
      <x:patternFill patternType="solid">
        <x:fgColor rgb="FFE7EEF2"/>
      </x:patternFill>
    </x:fill>
  </x:fills>
  <x:borders count="7">
    <x:border/>
    <x:border>
      <x:bottom style="thin">
        <x:color rgb="FF143B57"/>
      </x:bottom>
    </x:border>
    <x:border>
      <x:right style="thin">
        <x:color rgb="FFFFFFFF"/>
      </x:right>
      <x:bottom style="thin">
        <x:color rgb="FF143B57"/>
      </x:bottom>
    </x:border>
    <x:border>
      <x:left style="thin">
        <x:color rgb="FFFFFFFF"/>
      </x:left>
      <x:right style="thin">
        <x:color rgb="FFFFFFFF"/>
      </x:right>
      <x:bottom style="thin">
        <x:color rgb="FF143B57"/>
      </x:bottom>
    </x:border>
    <x:border>
      <x:left style="thin">
        <x:color rgb="FFFFFFFF"/>
      </x:left>
      <x:bottom style="thin">
        <x:color rgb="FF143B57"/>
      </x:bottom>
    </x:border>
    <x:border>
      <x:bottom style="thin">
        <x:color rgb="FFD4DEE4"/>
      </x:bottom>
    </x:border>
    <x:border>
      <x:top style="thin">
        <x:color rgb="FFD4DEE4"/>
      </x:top>
      <x:bottom style="thin">
        <x:color rgb="FFD4DEE4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/>
    <x:xf numFmtId="0" fontId="2" fillId="0" borderId="1" xfId="0" applyNumberFormat="1" applyFont="1" applyFill="1" applyBorder="1"/>
    <x:xf numFmtId="0" fontId="2" fillId="0" borderId="1" xfId="0" applyNumberFormat="1" applyFont="1" applyFill="1" applyBorder="1" applyAlignment="1">
      <x:alignment wrapText="1"/>
    </x:xf>
    <x:xf numFmtId="0" fontId="2" fillId="0" borderId="1" xfId="0" applyNumberFormat="1" applyFont="1" applyFill="1" applyBorder="1" applyAlignment="1">
      <x:alignment vertical="center" wrapText="1"/>
    </x:xf>
    <x:xf numFmtId="0" fontId="0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2" xfId="0" applyNumberFormat="1" applyFont="1" applyFill="1" applyBorder="1"/>
    <x:xf numFmtId="0" fontId="3" fillId="2" borderId="3" xfId="0" applyNumberFormat="1" applyFont="1" applyFill="1" applyBorder="1"/>
    <x:xf numFmtId="0" fontId="3" fillId="2" borderId="4" xfId="0" applyNumberFormat="1" applyFont="1" applyFill="1" applyBorder="1"/>
    <x:xf numFmtId="0" fontId="3" fillId="2" borderId="2" xfId="0" applyNumberFormat="1" applyFont="1" applyFill="1" applyBorder="1" applyAlignment="1">
      <x:alignment wrapText="1"/>
    </x:xf>
    <x:xf numFmtId="0" fontId="3" fillId="2" borderId="3" xfId="0" applyNumberFormat="1" applyFont="1" applyFill="1" applyBorder="1" applyAlignment="1">
      <x:alignment wrapText="1"/>
    </x:xf>
    <x:xf numFmtId="0" fontId="3" fillId="2" borderId="4" xfId="0" applyNumberFormat="1" applyFont="1" applyFill="1" applyBorder="1" applyAlignment="1">
      <x:alignment wrapText="1"/>
    </x:xf>
    <x:xf numFmtId="0" fontId="3" fillId="2" borderId="2" xfId="0" applyNumberFormat="1" applyFont="1" applyFill="1" applyBorder="1" applyAlignment="1">
      <x:alignment horizontal="center" wrapText="1"/>
    </x:xf>
    <x:xf numFmtId="0" fontId="3" fillId="2" borderId="3" xfId="0" applyNumberFormat="1" applyFont="1" applyFill="1" applyBorder="1" applyAlignment="1">
      <x:alignment horizontal="center" wrapText="1"/>
    </x:xf>
    <x:xf numFmtId="0" fontId="3" fillId="2" borderId="4" xfId="0" applyNumberFormat="1" applyFont="1" applyFill="1" applyBorder="1" applyAlignment="1">
      <x:alignment horizontal="center" wrapText="1"/>
    </x:xf>
    <x:xf numFmtId="0" fontId="3" fillId="2" borderId="2" xfId="0" applyNumberFormat="1" applyFont="1" applyFill="1" applyBorder="1" applyAlignment="1">
      <x:alignment horizontal="center" vertical="center" wrapText="1"/>
    </x:xf>
    <x:xf numFmtId="0" fontId="3" fillId="2" borderId="3" xfId="0" applyNumberFormat="1" applyFont="1" applyFill="1" applyBorder="1" applyAlignment="1">
      <x:alignment horizontal="center" vertical="center" wrapText="1"/>
    </x:xf>
    <x:xf numFmtId="0" fontId="3" fillId="2" borderId="4" xfId="0" applyNumberFormat="1" applyFont="1" applyFill="1" applyBorder="1" applyAlignment="1">
      <x:alignment horizontal="center" vertical="center" wrapText="1"/>
    </x:xf>
    <x:xf numFmtId="0" fontId="4" fillId="0" borderId="0" xfId="0" applyNumberFormat="1" applyFont="1" applyFill="1" applyBorder="1"/>
    <x:xf numFmtId="0" fontId="4" fillId="0" borderId="5" xfId="0" applyNumberFormat="1" applyFont="1" applyFill="1" applyBorder="1"/>
    <x:xf numFmtId="0" fontId="4" fillId="0" borderId="6" xfId="0" applyNumberFormat="1" applyFont="1" applyFill="1" applyBorder="1"/>
    <x:xf numFmtId="0" fontId="4" fillId="0" borderId="5" xfId="0" applyNumberFormat="1" applyFont="1" applyFill="1" applyBorder="1" applyAlignment="1">
      <x:alignment wrapText="1"/>
    </x:xf>
    <x:xf numFmtId="0" fontId="4" fillId="0" borderId="6" xfId="0" applyNumberFormat="1" applyFont="1" applyFill="1" applyBorder="1" applyAlignment="1">
      <x:alignment wrapText="1"/>
    </x:xf>
    <x:xf numFmtId="0" fontId="4" fillId="0" borderId="5" xfId="0" applyNumberFormat="1" applyFont="1" applyFill="1" applyBorder="1" applyAlignment="1">
      <x:alignment vertical="top" wrapText="1"/>
    </x:xf>
    <x:xf numFmtId="0" fontId="4" fillId="0" borderId="6" xfId="0" applyNumberFormat="1" applyFont="1" applyFill="1" applyBorder="1" applyAlignment="1">
      <x:alignment vertical="top" wrapText="1"/>
    </x:xf>
    <x:xf numFmtId="0" fontId="4" fillId="3" borderId="5" xfId="0" applyNumberFormat="1" applyFont="1" applyFill="1" applyBorder="1" applyAlignment="1">
      <x:alignment vertical="top" wrapText="1"/>
    </x:xf>
    <x:xf numFmtId="0" fontId="4" fillId="3" borderId="6" xfId="0" applyNumberFormat="1" applyFont="1" applyFill="1" applyBorder="1" applyAlignment="1">
      <x:alignment vertical="top" wrapText="1"/>
    </x:xf>
    <x:xf numFmtId="0" fontId="4" fillId="4" borderId="5" xfId="0" applyNumberFormat="1" applyFont="1" applyFill="1" applyBorder="1" applyAlignment="1">
      <x:alignment vertical="top" wrapText="1"/>
    </x:xf>
    <x:xf numFmtId="0" fontId="4" fillId="4" borderId="6" xfId="0" applyNumberFormat="1" applyFont="1" applyFill="1" applyBorder="1" applyAlignment="1">
      <x:alignment vertical="top" wrapText="1"/>
    </x:xf>
    <x:xf numFmtId="0" fontId="5" fillId="4" borderId="5" xfId="0" applyNumberFormat="1" applyFont="1" applyFill="1" applyBorder="1" applyAlignment="1">
      <x:alignment vertical="top" wrapText="1"/>
    </x:xf>
    <x:xf numFmtId="0" fontId="5" fillId="4" borderId="6" xfId="0" applyNumberFormat="1" applyFont="1" applyFill="1" applyBorder="1" applyAlignment="1">
      <x:alignment vertical="top" wrapText="1"/>
    </x:xf>
    <x:xf numFmtId="200" fontId="5" fillId="4" borderId="6" xfId="0" applyNumberFormat="1" applyFont="1" applyFill="1" applyBorder="1" applyAlignment="1">
      <x:alignment vertical="top" wrapText="1"/>
    </x:xf>
    <x:xf numFmtId="0" fontId="0" fillId="5" borderId="0" xfId="0" applyNumberFormat="1" applyFont="1" applyFill="1" applyBorder="1"/>
    <x:xf numFmtId="0" fontId="6" fillId="5" borderId="0" xfId="0" applyNumberFormat="1" applyFont="1" applyFill="1" applyBorder="1"/>
    <x:xf numFmtId="0" fontId="6" fillId="5" borderId="0" xfId="0" applyNumberFormat="1" applyFont="1" applyFill="1" applyBorder="1" applyAlignment="1">
      <x:alignment wrapText="1"/>
    </x:xf>
    <x:xf numFmtId="0" fontId="0" fillId="6" borderId="0" xfId="0" applyNumberFormat="1" applyFont="1" applyFill="1" applyBorder="1"/>
    <x:xf numFmtId="0" fontId="7" fillId="6" borderId="0" xfId="0" applyNumberFormat="1" applyFont="1" applyFill="1" applyBorder="1"/>
    <x:xf numFmtId="0" fontId="7" fillId="6" borderId="1" xfId="0" applyNumberFormat="1" applyFont="1" applyFill="1" applyBorder="1"/>
    <x:xf numFmtId="201" fontId="0" fillId="0" borderId="0" xfId="0" applyNumberFormat="1" applyFont="1" applyFill="1" applyBorder="1"/>
    <x:xf numFmtId="201" fontId="7" fillId="6" borderId="1" xfId="0" applyNumberFormat="1" applyFont="1" applyFill="1" applyBorder="1"/>
    <x:xf numFmtId="201" fontId="4" fillId="0" borderId="5" xfId="0" applyNumberFormat="1" applyFont="1" applyFill="1" applyBorder="1" applyAlignment="1">
      <x:alignment vertical="top" wrapText="1"/>
    </x:xf>
    <x:xf numFmtId="201" fontId="4" fillId="0" borderId="6" xfId="0" applyNumberFormat="1" applyFont="1" applyFill="1" applyBorder="1" applyAlignment="1">
      <x:alignment vertical="top" wrapText="1"/>
    </x:xf>
    <x:xf numFmtId="200" fontId="5" fillId="4" borderId="5" xfId="0" applyNumberFormat="1" applyFont="1" applyFill="1" applyBorder="1" applyAlignment="1">
      <x:alignment vertical="top" wrapText="1"/>
    </x:xf>
    <x:xf numFmtId="200" fontId="4" fillId="3" borderId="5" xfId="0" applyNumberFormat="1" applyFont="1" applyFill="1" applyBorder="1" applyAlignment="1">
      <x:alignment vertical="top" wrapText="1"/>
    </x:xf>
    <x:xf numFmtId="200" fontId="4" fillId="0" borderId="6" xfId="0" applyNumberFormat="1" applyFont="1" applyFill="1" applyBorder="1" applyAlignment="1">
      <x:alignment vertical="top" wrapText="1"/>
    </x:xf>
    <x:xf numFmtId="200" fontId="4" fillId="3" borderId="6" xfId="0" applyNumberFormat="1" applyFont="1" applyFill="1" applyBorder="1" applyAlignment="1">
      <x:alignment vertical="top" wrapText="1"/>
    </x:xf>
    <x:xf numFmtId="201" fontId="5" fillId="4" borderId="5" xfId="0" applyNumberFormat="1" applyFont="1" applyFill="1" applyBorder="1" applyAlignment="1">
      <x:alignment vertical="top" wrapText="1"/>
    </x:xf>
    <x:xf numFmtId="201" fontId="4" fillId="3" borderId="5" xfId="0" applyNumberFormat="1" applyFont="1" applyFill="1" applyBorder="1" applyAlignment="1">
      <x:alignment vertical="top" wrapText="1"/>
    </x:xf>
    <x:xf numFmtId="201" fontId="5" fillId="4" borderId="6" xfId="0" applyNumberFormat="1" applyFont="1" applyFill="1" applyBorder="1" applyAlignment="1">
      <x:alignment vertical="top" wrapText="1"/>
    </x:xf>
    <x:xf numFmtId="201" fontId="4" fillId="3" borderId="6" xfId="0" applyNumberFormat="1" applyFont="1" applyFill="1" applyBorder="1" applyAlignment="1">
      <x:alignment vertical="top" wrapText="1"/>
    </x:xf>
    <x:xf numFmtId="202" fontId="4" fillId="3" borderId="5" xfId="0" applyNumberFormat="1" applyFont="1" applyFill="1" applyBorder="1" applyAlignment="1">
      <x:alignment vertical="top" wrapText="1"/>
    </x:xf>
    <x:xf numFmtId="202" fontId="5" fillId="4" borderId="5" xfId="0" applyNumberFormat="1" applyFont="1" applyFill="1" applyBorder="1" applyAlignment="1">
      <x:alignment vertical="top" wrapText="1"/>
    </x:xf>
    <x:xf numFmtId="202" fontId="4" fillId="0" borderId="6" xfId="0" applyNumberFormat="1" applyFont="1" applyFill="1" applyBorder="1" applyAlignment="1">
      <x:alignment vertical="top" wrapText="1"/>
    </x:xf>
    <x:xf numFmtId="202" fontId="5" fillId="4" borderId="6" xfId="0" applyNumberFormat="1" applyFont="1" applyFill="1" applyBorder="1" applyAlignment="1">
      <x:alignment vertical="top" wrapText="1"/>
    </x:xf>
    <x:xf numFmtId="202" fontId="4" fillId="3" borderId="6" xfId="0" applyNumberFormat="1" applyFont="1" applyFill="1" applyBorder="1" applyAlignment="1">
      <x:alignment vertical="top" wrapText="1"/>
    </x:xf>
    <x:xf numFmtId="202" fontId="0" fillId="0" borderId="0" xfId="0" applyNumberFormat="1" applyFont="1" applyFill="1" applyBorder="1"/>
    <x:xf numFmtId="202" fontId="3" fillId="2" borderId="3" xfId="0" applyNumberFormat="1" applyFont="1" applyFill="1" applyBorder="1" applyAlignment="1">
      <x:alignment horizontal="center" vertical="center" wrapText="1"/>
    </x:xf>
    <x:xf numFmtId="202" fontId="3" fillId="2" borderId="4" xfId="0" applyNumberFormat="1" applyFont="1" applyFill="1" applyBorder="1" applyAlignment="1">
      <x:alignment horizontal="center" vertical="center" wrapText="1"/>
    </x:xf>
    <x:xf numFmtId="200" fontId="4" fillId="0" borderId="5" xfId="0" applyNumberFormat="1" applyFont="1" applyFill="1" applyBorder="1" applyAlignment="1">
      <x:alignment vertical="top" wrapText="1"/>
    </x:xf>
    <x:xf numFmtId="202" fontId="4" fillId="0" borderId="5" xfId="0" applyNumberFormat="1" applyFont="1" applyFill="1" applyBorder="1" applyAlignment="1">
      <x:alignment vertical="top" wrapText="1"/>
    </x:xf>
    <x:xf numFmtId="203" fontId="4" fillId="3" borderId="5" xfId="0" applyNumberFormat="1" applyFont="1" applyFill="1" applyBorder="1" applyAlignment="1">
      <x:alignment vertical="top" wrapText="1"/>
    </x:xf>
    <x:xf numFmtId="203" fontId="4" fillId="0" borderId="6" xfId="0" applyNumberFormat="1" applyFont="1" applyFill="1" applyBorder="1" applyAlignment="1">
      <x:alignment vertical="top" wrapText="1"/>
    </x:xf>
    <x:xf numFmtId="203" fontId="4" fillId="3" borderId="6" xfId="0" applyNumberFormat="1" applyFont="1" applyFill="1" applyBorder="1" applyAlignment="1">
      <x:alignment vertical="top" wrapText="1"/>
    </x:xf>
    <x:xf numFmtId="204" fontId="4" fillId="0" borderId="5" xfId="0" applyNumberFormat="1" applyFont="1" applyFill="1" applyBorder="1" applyAlignment="1">
      <x:alignment vertical="top" wrapText="1"/>
    </x:xf>
    <x:xf numFmtId="204" fontId="4" fillId="0" borderId="6" xfId="0" applyNumberFormat="1" applyFont="1" applyFill="1" applyBorder="1" applyAlignment="1">
      <x:alignment vertical="top" wrapText="1"/>
    </x:xf>
    <x:xf numFmtId="205" fontId="4" fillId="3" borderId="5" xfId="0" applyNumberFormat="1" applyFont="1" applyFill="1" applyBorder="1" applyAlignment="1">
      <x:alignment vertical="top" wrapText="1"/>
    </x:xf>
    <x:xf numFmtId="205" fontId="4" fillId="0" borderId="6" xfId="0" applyNumberFormat="1" applyFont="1" applyFill="1" applyBorder="1" applyAlignment="1">
      <x:alignment vertical="top" wrapText="1"/>
    </x:xf>
    <x:xf numFmtId="205" fontId="4" fillId="3" borderId="6" xfId="0" applyNumberFormat="1" applyFont="1" applyFill="1" applyBorder="1" applyAlignment="1">
      <x:alignment vertical="top" wrapText="1"/>
    </x:xf>
    <x:xf numFmtId="204" fontId="4" fillId="3" borderId="5" xfId="0" applyNumberFormat="1" applyFont="1" applyFill="1" applyBorder="1" applyAlignment="1">
      <x:alignment vertical="top" wrapText="1"/>
    </x:xf>
    <x:xf numFmtId="204" fontId="4" fillId="3" borderId="6" xfId="0" applyNumberFormat="1" applyFont="1" applyFill="1" applyBorder="1" applyAlignment="1">
      <x:alignment vertical="top" wrapText="1"/>
    </x:xf>
    <x:xf numFmtId="206" fontId="4" fillId="3" borderId="5" xfId="0" applyNumberFormat="1" applyFont="1" applyFill="1" applyBorder="1" applyAlignment="1">
      <x:alignment vertical="top" wrapText="1"/>
    </x:xf>
    <x:xf numFmtId="206" fontId="4" fillId="0" borderId="6" xfId="0" applyNumberFormat="1" applyFont="1" applyFill="1" applyBorder="1" applyAlignment="1">
      <x:alignment vertical="top" wrapText="1"/>
    </x:xf>
    <x:xf numFmtId="206" fontId="4" fillId="3" borderId="6" xfId="0" applyNumberFormat="1" applyFont="1" applyFill="1" applyBorder="1" applyAlignment="1">
      <x:alignment vertical="top" wrapText="1"/>
    </x:xf>
    <x:xf numFmtId="0" fontId="8" fillId="0" borderId="0" xfId="0" applyNumberFormat="1" applyFont="1" applyFill="1" applyBorder="1"/>
    <x:xf numFmtId="0" fontId="8" fillId="0" borderId="5" xfId="0" applyNumberFormat="1" applyFont="1" applyFill="1" applyBorder="1"/>
    <x:xf numFmtId="0" fontId="8" fillId="0" borderId="0" xfId="0" applyNumberFormat="1" applyFont="1" applyFill="1" applyBorder="1" applyAlignment="1">
      <x:alignment wrapText="1"/>
    </x:xf>
    <x:xf numFmtId="0" fontId="8" fillId="0" borderId="5" xfId="0" applyNumberFormat="1" applyFont="1" applyFill="1" applyBorder="1" applyAlignment="1">
      <x:alignment wrapText="1"/>
    </x:xf>
    <x:xf numFmtId="0" fontId="9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top"/>
    </x:xf>
    <x:xf numFmtId="0" fontId="2" fillId="0" borderId="1" xfId="0" applyNumberFormat="1" applyFont="1" applyFill="1" applyBorder="1" applyAlignment="1">
      <x:alignment vertical="top" wrapText="1"/>
    </x:xf>
    <x:xf numFmtId="0" fontId="9" fillId="0" borderId="0" xfId="0" applyNumberFormat="1" applyFont="1" applyFill="1" applyBorder="1" applyAlignment="1">
      <x:alignment vertical="top"/>
    </x:xf>
    <x:xf numFmtId="0" fontId="3" fillId="2" borderId="2" xfId="0" applyNumberFormat="1" applyFont="1" applyFill="1" applyBorder="1" applyAlignment="1">
      <x:alignment horizontal="center" vertical="top" wrapText="1"/>
    </x:xf>
    <x:xf numFmtId="0" fontId="3" fillId="2" borderId="3" xfId="0" applyNumberFormat="1" applyFont="1" applyFill="1" applyBorder="1" applyAlignment="1">
      <x:alignment horizontal="center" vertical="top" wrapText="1"/>
    </x:xf>
    <x:xf numFmtId="0" fontId="3" fillId="2" borderId="4" xfId="0" applyNumberFormat="1" applyFont="1" applyFill="1" applyBorder="1" applyAlignment="1">
      <x:alignment horizontal="center" vertical="top" wrapText="1"/>
    </x:xf>
    <x:xf numFmtId="0" fontId="7" fillId="6" borderId="1" xfId="0" applyNumberFormat="1" applyFont="1" applyFill="1" applyBorder="1" applyAlignment="1">
      <x:alignment vertical="top"/>
    </x:xf>
    <x:xf numFmtId="0" fontId="8" fillId="0" borderId="0" xfId="0" applyNumberFormat="1" applyFont="1" applyFill="1" applyBorder="1" applyAlignment="1">
      <x:alignment vertical="top" wrapText="1"/>
    </x:xf>
    <x:xf numFmtId="0" fontId="8" fillId="0" borderId="5" xfId="0" applyNumberFormat="1" applyFont="1" applyFill="1" applyBorder="1" applyAlignment="1">
      <x:alignment vertical="top" wrapText="1"/>
    </x:xf>
    <x:xf numFmtId="0" fontId="6" fillId="5" borderId="0" xfId="0" applyNumberFormat="1" applyFont="1" applyFill="1" applyBorder="1" applyAlignment="1">
      <x:alignment vertical="top" wrapText="1"/>
    </x:xf>
    <x:xf numFmtId="201" fontId="9" fillId="0" borderId="0" xfId="0" applyNumberFormat="1" applyFont="1" applyFill="1" applyBorder="1"/>
    <x:xf numFmtId="201" fontId="9" fillId="0" borderId="0" xfId="0" applyNumberFormat="1" applyFont="1" applyFill="1" applyBorder="1" applyAlignment="1">
      <x:alignment vertical="top"/>
    </x:xf>
    <x:xf numFmtId="201" fontId="7" fillId="6" borderId="1" xfId="0" applyNumberFormat="1" applyFont="1" applyFill="1" applyBorder="1" applyAlignment="1">
      <x:alignment vertical="top"/>
    </x:xf>
    <x:xf numFmtId="202" fontId="9" fillId="0" borderId="0" xfId="0" applyNumberFormat="1" applyFont="1" applyFill="1" applyBorder="1"/>
    <x:xf numFmtId="202" fontId="9" fillId="0" borderId="0" xfId="0" applyNumberFormat="1" applyFont="1" applyFill="1" applyBorder="1" applyAlignment="1">
      <x:alignment vertical="top"/>
    </x:xf>
    <x:xf numFmtId="202" fontId="3" fillId="2" borderId="3" xfId="0" applyNumberFormat="1" applyFont="1" applyFill="1" applyBorder="1" applyAlignment="1">
      <x:alignment horizontal="center" vertical="top" wrapText="1"/>
    </x:xf>
    <x:xf numFmtId="202" fontId="3" fillId="2" borderId="4" xfId="0" applyNumberFormat="1" applyFont="1" applyFill="1" applyBorder="1" applyAlignment="1">
      <x:alignment horizontal="center"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7010afd24da4c88" /><Relationship Type="http://schemas.openxmlformats.org/officeDocument/2006/relationships/theme" Target="/xl/theme/theme1.xml" Id="Rd57ae102855347d8" /><Relationship Type="http://schemas.openxmlformats.org/officeDocument/2006/relationships/sharedStrings" Target="/xl/sharedStrings.xml" Id="R64328970df6b4b1e" /><Relationship Type="http://schemas.openxmlformats.org/officeDocument/2006/relationships/worksheet" Target="/xl/worksheets/sheet1.xml" Id="R07862d14405742bd" /><Relationship Type="http://schemas.openxmlformats.org/officeDocument/2006/relationships/worksheet" Target="/xl/worksheets/sheet2.xml" Id="R41a5573f6a594542" /><Relationship Type="http://schemas.openxmlformats.org/officeDocument/2006/relationships/worksheet" Target="/xl/worksheets/sheet3.xml" Id="Ra9c0188281034514" /><Relationship Type="http://schemas.openxmlformats.org/officeDocument/2006/relationships/worksheet" Target="/xl/worksheets/sheet4.xml" Id="Rbbf8b421fdce4bc2" /><Relationship Type="http://schemas.openxmlformats.org/officeDocument/2006/relationships/worksheet" Target="/xl/worksheets/sheet5.xml" Id="Rba8265374daf4094" /><Relationship Type="http://schemas.openxmlformats.org/officeDocument/2006/relationships/worksheet" Target="/xl/worksheets/sheet6.xml" Id="Rf0ecf32b0f144548" /><Relationship Type="http://schemas.openxmlformats.org/officeDocument/2006/relationships/worksheet" Target="/xl/worksheets/sheet7.xml" Id="Ree4c506225f54903" /><Relationship Type="http://schemas.openxmlformats.org/officeDocument/2006/relationships/worksheet" Target="/xl/worksheets/sheet8.xml" Id="Rba7acb8db8374550" /><Relationship Type="http://schemas.openxmlformats.org/officeDocument/2006/relationships/worksheet" Target="/xl/worksheets/sheet9.xml" Id="Rc1a72e6084c24bf3" /><Relationship Type="http://schemas.openxmlformats.org/officeDocument/2006/relationships/worksheet" Target="/xl/worksheets/sheet10.xml" Id="R8de57a85b66c4454" /><Relationship Type="http://schemas.openxmlformats.org/officeDocument/2006/relationships/worksheet" Target="/xl/worksheets/sheet11.xml" Id="R546d3f1e118a48cc" /><Relationship Type="http://schemas.openxmlformats.org/officeDocument/2006/relationships/worksheet" Target="/xl/worksheets/sheet12.xml" Id="R9409287c8c9445d6" /><Relationship Type="http://schemas.openxmlformats.org/officeDocument/2006/relationships/worksheet" Target="/xl/worksheets/sheet13.xml" Id="Rd0b39d7972464405" /><Relationship Type="http://schemas.openxmlformats.org/officeDocument/2006/relationships/worksheet" Target="/xl/worksheets/sheet14.xml" Id="R0572b89fa3894146" /><Relationship Type="http://schemas.openxmlformats.org/officeDocument/2006/relationships/worksheet" Target="/xl/worksheets/sheet15.xml" Id="R214c03b4070444cc" /><Relationship Type="http://schemas.openxmlformats.org/officeDocument/2006/relationships/worksheet" Target="/xl/worksheets/sheet16.xml" Id="R93b38250cb8e43a1" /><Relationship Type="http://schemas.openxmlformats.org/officeDocument/2006/relationships/worksheet" Target="/xl/worksheets/sheet17.xml" Id="R01c9ff1f65de47d8" /><Relationship Type="http://schemas.openxmlformats.org/officeDocument/2006/relationships/worksheet" Target="/xl/worksheets/sheet18.xml" Id="Rd92e9466c621417d" /><Relationship Type="http://schemas.openxmlformats.org/officeDocument/2006/relationships/worksheet" Target="/xl/worksheets/sheet19.xml" Id="R4e2c91785d4d409b" /><Relationship Type="http://schemas.openxmlformats.org/officeDocument/2006/relationships/worksheet" Target="/xl/worksheets/sheet20.xml" Id="R9d89b92e983c4afe" /><Relationship Type="http://schemas.openxmlformats.org/officeDocument/2006/relationships/worksheet" Target="/xl/worksheets/sheet21.xml" Id="R29226521c3c34a70" /><Relationship Type="http://schemas.openxmlformats.org/officeDocument/2006/relationships/worksheet" Target="/xl/worksheets/sheet22.xml" Id="R16480d30078d4ef7" /><Relationship Type="http://schemas.openxmlformats.org/officeDocument/2006/relationships/worksheet" Target="/xl/worksheets/sheet23.xml" Id="Rf94f874c3c7c4d09" /><Relationship Type="http://schemas.openxmlformats.org/officeDocument/2006/relationships/worksheet" Target="/xl/worksheets/sheet24.xml" Id="R0b700bf42f74443e" /><Relationship Type="http://schemas.openxmlformats.org/officeDocument/2006/relationships/worksheet" Target="/xl/worksheets/sheet25.xml" Id="R7c48d4bdf94a4607" /><Relationship Type="http://schemas.openxmlformats.org/officeDocument/2006/relationships/worksheet" Target="/xl/worksheets/sheet26.xml" Id="R1c51367429c049e7" /><Relationship Type="http://schemas.openxmlformats.org/officeDocument/2006/relationships/worksheet" Target="/xl/worksheets/sheet27.xml" Id="Rc3690100cc7040b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20" hidden="0" customWidth="1"/>
    <x:col min="3" max="3" width="17" hidden="0" customWidth="1"/>
    <x:col min="4" max="4" width="35" hidden="0" customWidth="1"/>
    <x:col min="5" max="5" width="35" hidden="0" customWidth="1"/>
    <x:col min="6" max="6" width="22" hidden="0" customWidth="1"/>
  </x:cols>
  <x:sheetData>
    <x:row r="1" ht="29" customHeight="1">
      <x:c r="A1" s="81" t="str">
        <x:v>National Receiving Lattice</x:v>
      </x:c>
      <x:c r="B1" s="81"/>
      <x:c r="C1" s="81"/>
      <x:c r="D1" s="81"/>
      <x:c r="E1" s="81"/>
      <x:c r="F1" s="81"/>
      <x:c r="G1" s="81"/>
      <x:c r="H1" s="81"/>
    </x:row>
    <x:row r="2" ht="28" customHeight="1">
      <x:c r="A2" s="82" t="str">
        <x:v>Pass 31. Fixed readiness and mobile force projection modeled as one national service-entry system.</x:v>
      </x:c>
      <x:c r="B2" s="82"/>
      <x:c r="C2" s="82"/>
      <x:c r="D2" s="82"/>
      <x:c r="E2" s="82"/>
      <x:c r="F2" s="82"/>
      <x:c r="G2" s="82"/>
      <x:c r="H2" s="82"/>
    </x:row>
    <x:row r="3">
      <x:c r="A3" s="83"/>
      <x:c r="B3" s="83"/>
      <x:c r="C3" s="83"/>
      <x:c r="D3" s="83"/>
      <x:c r="E3" s="83"/>
      <x:c r="F3" s="83"/>
      <x:c r="G3" s="83"/>
      <x:c r="H3" s="83"/>
    </x:row>
    <x:row r="4" ht="31" customHeight="1">
      <x:c r="A4" s="84" t="str">
        <x:v>Decision measure</x:v>
      </x:c>
      <x:c r="B4" s="85" t="str">
        <x:v>Result</x:v>
      </x:c>
      <x:c r="C4" s="85" t="str">
        <x:v>Unit</x:v>
      </x:c>
      <x:c r="D4" s="85" t="str">
        <x:v>Finding</x:v>
      </x:c>
      <x:c r="E4" s="85" t="str">
        <x:v>Consequence</x:v>
      </x:c>
      <x:c r="F4" s="86" t="str">
        <x:v>Evidence state</x:v>
      </x:c>
      <x:c r="G4" s="83"/>
      <x:c r="H4" s="83"/>
    </x:row>
    <x:row r="5" ht="32.400001525878906" hidden="0" customHeight="1">
      <x:c r="A5" s="28" t="str">
        <x:v>Domestic nominal capacity</x:v>
      </x:c>
      <x:c r="B5" s="53" t="n">
        <x:f>'Inventory'!B5</x:f>
        <x:v>7200</x:v>
      </x:c>
      <x:c r="C5" s="28" t="str">
        <x:v>CDE</x:v>
      </x:c>
      <x:c r="D5" s="28" t="str">
        <x:v>7.2 million resident slots</x:v>
      </x:c>
      <x:c r="E5" s="28" t="str">
        <x:v>large installed network</x:v>
      </x:c>
      <x:c r="F5" s="28" t="str">
        <x:v>R2+ arithmetic</x:v>
      </x:c>
      <x:c r="G5" s="83"/>
      <x:c r="H5" s="83"/>
    </x:row>
    <x:row r="6" ht="32.400001525878906" hidden="0" customHeight="1">
      <x:c r="A6" s="27" t="str">
        <x:v>Domestic assured capacity</x:v>
      </x:c>
      <x:c r="B6" s="55" t="n">
        <x:f>'Inventory'!G5</x:f>
        <x:v>3707.2968537599995</x:v>
      </x:c>
      <x:c r="C6" s="27" t="str">
        <x:v>CDE</x:v>
      </x:c>
      <x:c r="D6" s="27" t="str">
        <x:v>after N-2 and common mode</x:v>
      </x:c>
      <x:c r="E6" s="27" t="str">
        <x:v>707 CDE above requirement</x:v>
      </x:c>
      <x:c r="F6" s="27" t="str">
        <x:v>factors unverified</x:v>
      </x:c>
      <x:c r="G6" s="83"/>
      <x:c r="H6" s="83"/>
    </x:row>
    <x:row r="7" ht="32.400001525878906" hidden="0" customHeight="1">
      <x:c r="A7" s="29" t="str">
        <x:v>Domestic requirement</x:v>
      </x:c>
      <x:c r="B7" s="57" t="n">
        <x:f>'Inventory'!H5</x:f>
        <x:v>3000</x:v>
      </x:c>
      <x:c r="C7" s="29" t="str">
        <x:v>CDE</x:v>
      </x:c>
      <x:c r="D7" s="29" t="str">
        <x:v>3C + 5M + 20% reserve</x:v>
      </x:c>
      <x:c r="E7" s="29" t="str">
        <x:v>three million protected residents</x:v>
      </x:c>
      <x:c r="F7" s="29" t="str">
        <x:v>design standard</x:v>
      </x:c>
      <x:c r="G7" s="83"/>
      <x:c r="H7" s="83"/>
    </x:row>
    <x:row r="8" ht="32.400001525878906" hidden="0" customHeight="1">
      <x:c r="A8" s="27" t="str">
        <x:v>Partner assured capacity</x:v>
      </x:c>
      <x:c r="B8" s="55" t="n">
        <x:f>'Inventory'!G6</x:f>
        <x:v>372.82275</x:v>
      </x:c>
      <x:c r="C8" s="27" t="str">
        <x:v>CDE</x:v>
      </x:c>
      <x:c r="D8" s="27" t="str">
        <x:v>after N-1 and common mode</x:v>
      </x:c>
      <x:c r="E8" s="27" t="str">
        <x:v>12.82 CDE margin</x:v>
      </x:c>
      <x:c r="F8" s="27" t="str">
        <x:v>host evidence open</x:v>
      </x:c>
      <x:c r="G8" s="83"/>
      <x:c r="H8" s="83"/>
    </x:row>
    <x:row r="9" ht="43.20000076293945" hidden="0" customHeight="1">
      <x:c r="A9" s="29" t="str">
        <x:v>Weighted fixed district share</x:v>
      </x:c>
      <x:c r="B9" s="48" t="n">
        <x:f>'Fixed Mobile Split'!B10</x:f>
        <x:v>0.7212289042287454</x:v>
      </x:c>
      <x:c r="C9" s="29" t="str">
        <x:v>fraction</x:v>
      </x:c>
      <x:c r="D9" s="29" t="str">
        <x:v>72.1%</x:v>
      </x:c>
      <x:c r="E9" s="29" t="str">
        <x:v>reduces imported occupied-area mass</x:v>
      </x:c>
      <x:c r="F9" s="29" t="str">
        <x:v>configuration trials open</x:v>
      </x:c>
      <x:c r="G9" s="83"/>
      <x:c r="H9" s="83"/>
    </x:row>
    <x:row r="10" ht="32.400001525878906" hidden="0" customHeight="1">
      <x:c r="A10" s="27" t="str">
        <x:v>Balanced pod mass</x:v>
      </x:c>
      <x:c r="B10" s="55" t="n">
        <x:f>'Pod Timing'!E6</x:f>
        <x:v>11612.761238372244</x:v>
      </x:c>
      <x:c r="C10" s="27" t="str">
        <x:v>t</x:v>
      </x:c>
      <x:c r="D10" s="27" t="str">
        <x:v>below air and offshore ceilings</x:v>
      </x:c>
      <x:c r="E10" s="27" t="str">
        <x:v>thin movement margin</x:v>
      </x:c>
      <x:c r="F10" s="27" t="str">
        <x:v>R2+ arithmetic</x:v>
      </x:c>
      <x:c r="G10" s="83"/>
      <x:c r="H10" s="83"/>
    </x:row>
    <x:row r="11" ht="32.400001525878906" hidden="0" customHeight="1">
      <x:c r="A11" s="29" t="str">
        <x:v>Worst tenth cargo completion</x:v>
      </x:c>
      <x:c r="B11" s="57" t="n">
        <x:f>'Pod Timing'!J6</x:f>
        <x:v>70.04598874340502</x:v>
      </x:c>
      <x:c r="C11" s="29" t="str">
        <x:v>hour</x:v>
      </x:c>
      <x:c r="D11" s="29" t="str">
        <x:v>hour 70.05</x:v>
      </x:c>
      <x:c r="E11" s="29" t="str">
        <x:v>cargo only; release separate</x:v>
      </x:c>
      <x:c r="F11" s="29" t="str">
        <x:v>R2+ arithmetic</x:v>
      </x:c>
      <x:c r="G11" s="83"/>
      <x:c r="H11" s="83"/>
    </x:row>
    <x:row r="12" ht="43.20000076293945" hidden="0" customHeight="1">
      <x:c r="A12" s="27" t="str">
        <x:v>Four-region single-catastrophe capacity</x:v>
      </x:c>
      <x:c r="B12" s="55" t="n">
        <x:f>'Spatial Stress'!F6</x:f>
        <x:v>718.2887654159999</x:v>
      </x:c>
      <x:c r="C12" s="27" t="str">
        <x:v>CDE</x:v>
      </x:c>
      <x:c r="D12" s="27" t="str">
        <x:v>closes 500-CDE screen</x:v>
      </x:c>
      <x:c r="E12" s="27" t="str">
        <x:v>four-zone access required</x:v>
      </x:c>
      <x:c r="F12" s="27" t="str">
        <x:v>synthetic geography</x:v>
      </x:c>
      <x:c r="G12" s="83"/>
      <x:c r="H12" s="83"/>
    </x:row>
    <x:row r="13" ht="32.400001525878906" hidden="0" customHeight="1">
      <x:c r="A13" s="29" t="str">
        <x:v>Clustered damaged-region capacity</x:v>
      </x:c>
      <x:c r="B13" s="57" t="n">
        <x:f>'Spatial Stress'!F9</x:f>
        <x:v>1621.9423735199998</x:v>
      </x:c>
      <x:c r="C13" s="29" t="str">
        <x:v>CDE</x:v>
      </x:c>
      <x:c r="D13" s="29" t="str">
        <x:v>fails 2,500-CDE demand</x:v>
      </x:c>
      <x:c r="E13" s="29" t="str">
        <x:v>national total is insufficient</x:v>
      </x:c>
      <x:c r="F13" s="29" t="str">
        <x:v>allocation proof open</x:v>
      </x:c>
      <x:c r="G13" s="83"/>
      <x:c r="H13" s="83"/>
    </x:row>
    <x:row r="14" ht="43.20000076293945" hidden="0" customHeight="1">
      <x:c r="A14" s="27" t="str">
        <x:v>Capital authority</x:v>
      </x:c>
      <x:c r="B14" s="55" t="n">
        <x:f>'Capital Build'!B20</x:f>
        <x:v>563.808</x:v>
      </x:c>
      <x:c r="C14" s="27" t="str">
        <x:v>$B</x:v>
      </x:c>
      <x:c r="D14" s="27" t="str">
        <x:v>includes 20% reserve</x:v>
      </x:c>
      <x:c r="E14" s="27" t="str">
        <x:v>major national infrastructure program</x:v>
      </x:c>
      <x:c r="F14" s="27" t="str">
        <x:v>cost assumption</x:v>
      </x:c>
      <x:c r="G14" s="83"/>
      <x:c r="H14" s="83"/>
    </x:row>
    <x:row r="15" ht="32.400001525878906" hidden="0" customHeight="1">
      <x:c r="A15" s="29" t="str">
        <x:v>Mature annual operations</x:v>
      </x:c>
      <x:c r="B15" s="57" t="n">
        <x:f>'25-Year Spend'!B35</x:f>
        <x:v>36.32</x:v>
      </x:c>
      <x:c r="C15" s="29" t="str">
        <x:v>$B/year</x:v>
      </x:c>
      <x:c r="D15" s="29" t="str">
        <x:v>readiness, stocks and exercises</x:v>
      </x:c>
      <x:c r="E15" s="29" t="str">
        <x:v>not free prepositioning</x:v>
      </x:c>
      <x:c r="F15" s="29" t="str">
        <x:v>cost assumption</x:v>
      </x:c>
      <x:c r="G15" s="83"/>
      <x:c r="H15" s="83"/>
    </x:row>
    <x:row r="16" ht="32.400001525878906" hidden="0" customHeight="1">
      <x:c r="A16" s="27" t="str">
        <x:v>Twenty-five-year expenditure</x:v>
      </x:c>
      <x:c r="B16" s="55" t="n">
        <x:f>'25-Year Spend'!B34</x:f>
        <x:v>1138.0272</x:v>
      </x:c>
      <x:c r="C16" s="27" t="str">
        <x:v>$B</x:v>
      </x:c>
      <x:c r="D16" s="27" t="str">
        <x:v>capital plus ramped operations</x:v>
      </x:c>
      <x:c r="E16" s="27" t="str">
        <x:v>roughly $1.14T</x:v>
      </x:c>
      <x:c r="F16" s="27" t="str">
        <x:v>cost assumption</x:v>
      </x:c>
      <x:c r="G16" s="83"/>
      <x:c r="H16" s="83"/>
    </x:row>
    <x:row r="17" ht="32.400001525878906" hidden="0" customHeight="1">
      <x:c r="A17" s="29" t="str">
        <x:v>Permanent workforce</x:v>
      </x:c>
      <x:c r="B17" s="57" t="n">
        <x:f>'Workforce'!B16</x:f>
        <x:v>59832</x:v>
      </x:c>
      <x:c r="C17" s="29" t="str">
        <x:v>people</x:v>
      </x:c>
      <x:c r="D17" s="29" t="str">
        <x:v>standing readiness labor</x:v>
      </x:c>
      <x:c r="E17" s="29" t="str">
        <x:v>separate from PCC operators</x:v>
      </x:c>
      <x:c r="F17" s="29" t="str">
        <x:v>workforce assumption</x:v>
      </x:c>
      <x:c r="G17" s="83"/>
      <x:c r="H17" s="83"/>
    </x:row>
    <x:row r="18" ht="32.400001525878906" hidden="0" customHeight="1">
      <x:c r="A18" s="27" t="str">
        <x:v>Affiliated billets</x:v>
      </x:c>
      <x:c r="B18" s="55" t="n">
        <x:f>'Workforce'!B19</x:f>
        <x:v>163020.47999999998</x:v>
      </x:c>
      <x:c r="C18" s="27" t="str">
        <x:v>billets</x:v>
      </x:c>
      <x:c r="D18" s="27" t="str">
        <x:v>generation depth plus overhead</x:v>
      </x:c>
      <x:c r="E18" s="27" t="str">
        <x:v>national profession</x:v>
      </x:c>
      <x:c r="F18" s="27" t="str">
        <x:v>workforce assumption</x:v>
      </x:c>
      <x:c r="G18" s="83"/>
      <x:c r="H18" s="83"/>
    </x:row>
    <x:row r="19" ht="43.20000076293945" hidden="0" customHeight="1">
      <x:c r="A19" s="29" t="str">
        <x:v>Open evidence gates</x:v>
      </x:c>
      <x:c r="B19" s="57" t="n">
        <x:f>COUNTIF('Evidence Gates'!F5:F22,"OPEN")</x:f>
        <x:v>18</x:v>
      </x:c>
      <x:c r="C19" s="29" t="str">
        <x:v>count</x:v>
      </x:c>
      <x:c r="D19" s="29" t="str">
        <x:v>all open</x:v>
      </x:c>
      <x:c r="E19" s="29" t="str">
        <x:v>no capability/rendering credit</x:v>
      </x:c>
      <x:c r="F19" s="29" t="str">
        <x:v>governance</x:v>
      </x:c>
      <x:c r="G19" s="83"/>
      <x:c r="H19" s="83"/>
    </x:row>
    <x:row r="20">
      <x:c r="A20" s="83"/>
      <x:c r="B20" s="83"/>
      <x:c r="C20" s="83"/>
      <x:c r="D20" s="83"/>
      <x:c r="E20" s="83"/>
      <x:c r="F20" s="83"/>
      <x:c r="G20" s="83"/>
      <x:c r="H20" s="83"/>
    </x:row>
    <x:row r="21" ht="23" customHeight="1">
      <x:c r="A21" s="87" t="str">
        <x:v>Decision</x:v>
      </x:c>
      <x:c r="B21" s="87"/>
      <x:c r="C21" s="87"/>
      <x:c r="D21" s="87"/>
      <x:c r="E21" s="87"/>
      <x:c r="F21" s="87"/>
      <x:c r="G21" s="87"/>
      <x:c r="H21" s="87"/>
    </x:row>
    <x:row r="22" ht="40" customHeight="1">
      <x:c r="A22" s="88" t="str">
        <x:v>The balanced lattice closes the national domestic and partner capacity arithmetic, and it reduces the district import enough for the tenth pod cargo to screen below hour 72.</x:v>
      </x:c>
      <x:c r="B22" s="88"/>
      <x:c r="C22" s="88"/>
      <x:c r="D22" s="88"/>
      <x:c r="E22" s="88"/>
      <x:c r="F22" s="88"/>
      <x:c r="G22" s="83"/>
      <x:c r="H22" s="83"/>
    </x:row>
    <x:row r="23" ht="40" customHeight="1">
      <x:c r="A23" s="88" t="str">
        <x:v>It does not close the clustered damaged-region case. A national inventory is not a time-feasible allocation proof.</x:v>
      </x:c>
      <x:c r="B23" s="88"/>
      <x:c r="C23" s="88"/>
      <x:c r="D23" s="88"/>
      <x:c r="E23" s="88"/>
      <x:c r="F23" s="88"/>
      <x:c r="G23" s="83"/>
      <x:c r="H23" s="83"/>
    </x:row>
    <x:row r="24" ht="40" customHeight="1">
      <x:c r="A24" s="88" t="str">
        <x:v>The force must choose among greater local density, interregional receiver transfer, wider mobility, demand relocation, or a narrower early service contract—and test the resulting dependencies.</x:v>
      </x:c>
      <x:c r="B24" s="88"/>
      <x:c r="C24" s="88"/>
      <x:c r="D24" s="88"/>
      <x:c r="E24" s="88"/>
      <x:c r="F24" s="88"/>
      <x:c r="G24" s="83"/>
      <x:c r="H24" s="83"/>
    </x:row>
    <x:row r="25" ht="40" customHeight="1">
      <x:c r="A25" s="89" t="str">
        <x:v>The selected scale is a $563.81B capital program, $36.32B mature annual operations and about $1.14T across twenty-five years. It is a first-principles planning hypothesis, not an estimate.</x:v>
      </x:c>
      <x:c r="B25" s="89"/>
      <x:c r="C25" s="89"/>
      <x:c r="D25" s="89"/>
      <x:c r="E25" s="89"/>
      <x:c r="F25" s="89"/>
      <x:c r="G25" s="83"/>
      <x:c r="H25" s="83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1" hidden="0" customWidth="1"/>
    <x:col min="2" max="2" width="43" hidden="0" customWidth="1"/>
    <x:col min="3" max="3" width="18" hidden="0" customWidth="1"/>
    <x:col min="4" max="4" width="17" hidden="0" customWidth="1"/>
    <x:col min="5" max="5" width="17" hidden="0" customWidth="1"/>
    <x:col min="6" max="6" width="45" hidden="0" customWidth="1"/>
  </x:cols>
  <x:sheetData>
    <x:row r="1" ht="29" customHeight="1">
      <x:c r="A1" s="81" t="str">
        <x:v>Receiving lattice controls</x:v>
      </x:c>
      <x:c r="B1" s="81"/>
      <x:c r="C1" s="81"/>
      <x:c r="D1" s="81"/>
      <x:c r="E1" s="81"/>
      <x:c r="F1" s="81"/>
    </x:row>
    <x:row r="2" ht="28" customHeight="1">
      <x:c r="A2" s="82" t="str">
        <x:v>Pass 31 planning assumptions. Yellow cells are editable; all rates and costs are hypotheses until independently evidenced.</x:v>
      </x:c>
      <x:c r="B2" s="82"/>
      <x:c r="C2" s="82"/>
      <x:c r="D2" s="82"/>
      <x:c r="E2" s="82"/>
      <x:c r="F2" s="82"/>
    </x:row>
    <x:row r="3">
      <x:c r="A3" s="83"/>
      <x:c r="B3" s="83"/>
      <x:c r="C3" s="83"/>
      <x:c r="D3" s="83"/>
      <x:c r="E3" s="83"/>
      <x:c r="F3" s="83"/>
    </x:row>
    <x:row r="4" ht="31" customHeight="1">
      <x:c r="A4" s="84" t="str">
        <x:v>ID</x:v>
      </x:c>
      <x:c r="B4" s="85" t="str">
        <x:v>Control</x:v>
      </x:c>
      <x:c r="C4" s="85" t="str">
        <x:v>Value</x:v>
      </x:c>
      <x:c r="D4" s="85" t="str">
        <x:v>Unit</x:v>
      </x:c>
      <x:c r="E4" s="85" t="str">
        <x:v>Class</x:v>
      </x:c>
      <x:c r="F4" s="86" t="str">
        <x:v>Use</x:v>
      </x:c>
    </x:row>
    <x:row r="5" ht="21.600000381469727" hidden="0" customHeight="1">
      <x:c r="A5" s="28" t="str">
        <x:v>C01</x:v>
      </x:c>
      <x:c r="B5" s="28" t="str">
        <x:v>Catastrophic campaigns</x:v>
      </x:c>
      <x:c r="C5" s="32" t="n">
        <x:v>3</x:v>
      </x:c>
      <x:c r="D5" s="28" t="str">
        <x:v>campaigns</x:v>
      </x:c>
      <x:c r="E5" s="28" t="str">
        <x:v>force standard</x:v>
      </x:c>
      <x:c r="F5" s="28" t="str">
        <x:v>domestic concurrency</x:v>
      </x:c>
    </x:row>
    <x:row r="6" ht="54" hidden="0" customHeight="1">
      <x:c r="A6" s="27" t="str">
        <x:v>C02</x:v>
      </x:c>
      <x:c r="B6" s="27" t="str">
        <x:v>District equivalents per catastrophic campaign</x:v>
      </x:c>
      <x:c r="C6" s="33" t="n">
        <x:v>500</x:v>
      </x:c>
      <x:c r="D6" s="27" t="str">
        <x:v>CDE</x:v>
      </x:c>
      <x:c r="E6" s="27" t="str">
        <x:v>design assumption</x:v>
      </x:c>
      <x:c r="F6" s="27" t="str">
        <x:v>500,000 protected residents</x:v>
      </x:c>
    </x:row>
    <x:row r="7" ht="21.600000381469727" hidden="0" customHeight="1">
      <x:c r="A7" s="29" t="str">
        <x:v>C03</x:v>
      </x:c>
      <x:c r="B7" s="29" t="str">
        <x:v>Major campaigns</x:v>
      </x:c>
      <x:c r="C7" s="33" t="n">
        <x:v>5</x:v>
      </x:c>
      <x:c r="D7" s="29" t="str">
        <x:v>campaigns</x:v>
      </x:c>
      <x:c r="E7" s="29" t="str">
        <x:v>force standard</x:v>
      </x:c>
      <x:c r="F7" s="29" t="str">
        <x:v>domestic concurrency</x:v>
      </x:c>
    </x:row>
    <x:row r="8" ht="43.20000076293945" hidden="0" customHeight="1">
      <x:c r="A8" s="27" t="str">
        <x:v>C04</x:v>
      </x:c>
      <x:c r="B8" s="27" t="str">
        <x:v>District equivalents per major campaign</x:v>
      </x:c>
      <x:c r="C8" s="33" t="n">
        <x:v>200</x:v>
      </x:c>
      <x:c r="D8" s="27" t="str">
        <x:v>CDE</x:v>
      </x:c>
      <x:c r="E8" s="27" t="str">
        <x:v>design assumption</x:v>
      </x:c>
      <x:c r="F8" s="27" t="str">
        <x:v>200,000 protected residents</x:v>
      </x:c>
    </x:row>
    <x:row r="9" ht="21.600000381469727" hidden="0" customHeight="1">
      <x:c r="A9" s="29" t="str">
        <x:v>C05</x:v>
      </x:c>
      <x:c r="B9" s="29" t="str">
        <x:v>Invited global campaigns</x:v>
      </x:c>
      <x:c r="C9" s="33" t="n">
        <x:v>2</x:v>
      </x:c>
      <x:c r="D9" s="29" t="str">
        <x:v>campaigns</x:v>
      </x:c>
      <x:c r="E9" s="29" t="str">
        <x:v>force standard</x:v>
      </x:c>
      <x:c r="F9" s="29" t="str">
        <x:v>partner layer</x:v>
      </x:c>
    </x:row>
    <x:row r="10" ht="43.20000076293945" hidden="0" customHeight="1">
      <x:c r="A10" s="27" t="str">
        <x:v>C06</x:v>
      </x:c>
      <x:c r="B10" s="27" t="str">
        <x:v>District equivalents per global campaign</x:v>
      </x:c>
      <x:c r="C10" s="33" t="n">
        <x:v>150</x:v>
      </x:c>
      <x:c r="D10" s="27" t="str">
        <x:v>CDE</x:v>
      </x:c>
      <x:c r="E10" s="27" t="str">
        <x:v>design assumption</x:v>
      </x:c>
      <x:c r="F10" s="27" t="str">
        <x:v>150,000 protected residents</x:v>
      </x:c>
    </x:row>
    <x:row r="11" ht="32.400001525878906" hidden="0" customHeight="1">
      <x:c r="A11" s="29" t="str">
        <x:v>C07</x:v>
      </x:c>
      <x:c r="B11" s="29" t="str">
        <x:v>Immediate capacity reserve</x:v>
      </x:c>
      <x:c r="C11" s="34" t="n">
        <x:v>0.2</x:v>
      </x:c>
      <x:c r="D11" s="29" t="str">
        <x:v>fraction</x:v>
      </x:c>
      <x:c r="E11" s="29" t="str">
        <x:v>force standard</x:v>
      </x:c>
      <x:c r="F11" s="29" t="str">
        <x:v>applied to service demand</x:v>
      </x:c>
    </x:row>
    <x:row r="12" ht="32.400001525878906" hidden="0" customHeight="1">
      <x:c r="A12" s="27" t="str">
        <x:v>C08</x:v>
      </x:c>
      <x:c r="B12" s="27" t="str">
        <x:v>Residents per district equivalent</x:v>
      </x:c>
      <x:c r="C12" s="33" t="n">
        <x:v>1000</x:v>
      </x:c>
      <x:c r="D12" s="27" t="str">
        <x:v>people</x:v>
      </x:c>
      <x:c r="E12" s="27" t="str">
        <x:v>PCC-D1</x:v>
      </x:c>
      <x:c r="F12" s="27" t="str">
        <x:v>protected population</x:v>
      </x:c>
    </x:row>
    <x:row r="13" ht="43.20000076293945" hidden="0" customHeight="1">
      <x:c r="A13" s="29" t="str">
        <x:v>C09</x:v>
      </x:c>
      <x:c r="B13" s="29" t="str">
        <x:v>Domestic assurance cells</x:v>
      </x:c>
      <x:c r="C13" s="33" t="n">
        <x:v>8</x:v>
      </x:c>
      <x:c r="D13" s="29" t="str">
        <x:v>cells</x:v>
      </x:c>
      <x:c r="E13" s="29" t="str">
        <x:v>architecture</x:v>
      </x:c>
      <x:c r="F13" s="29" t="str">
        <x:v>independent ownership/implementation</x:v>
      </x:c>
    </x:row>
    <x:row r="14" ht="21.600000381469727" hidden="0" customHeight="1">
      <x:c r="A14" s="27" t="str">
        <x:v>C10</x:v>
      </x:c>
      <x:c r="B14" s="27" t="str">
        <x:v>Domestic cell losses</x:v>
      </x:c>
      <x:c r="C14" s="33" t="n">
        <x:v>2</x:v>
      </x:c>
      <x:c r="D14" s="27" t="str">
        <x:v>cells</x:v>
      </x:c>
      <x:c r="E14" s="27" t="str">
        <x:v>assurance case</x:v>
      </x:c>
      <x:c r="F14" s="27" t="str">
        <x:v>N-2</x:v>
      </x:c>
    </x:row>
    <x:row r="15" ht="32.400001525878906" hidden="0" customHeight="1">
      <x:c r="A15" s="29" t="str">
        <x:v>C11</x:v>
      </x:c>
      <x:c r="B15" s="29" t="str">
        <x:v>Partner assurance cells</x:v>
      </x:c>
      <x:c r="C15" s="33" t="n">
        <x:v>6</x:v>
      </x:c>
      <x:c r="D15" s="29" t="str">
        <x:v>cells</x:v>
      </x:c>
      <x:c r="E15" s="29" t="str">
        <x:v>architecture</x:v>
      </x:c>
      <x:c r="F15" s="29" t="str">
        <x:v>international/territorial</x:v>
      </x:c>
    </x:row>
    <x:row r="16" ht="21.600000381469727" hidden="0" customHeight="1">
      <x:c r="A16" s="27" t="str">
        <x:v>C12</x:v>
      </x:c>
      <x:c r="B16" s="27" t="str">
        <x:v>Partner cell losses</x:v>
      </x:c>
      <x:c r="C16" s="33" t="n">
        <x:v>1</x:v>
      </x:c>
      <x:c r="D16" s="27" t="str">
        <x:v>cells</x:v>
      </x:c>
      <x:c r="E16" s="27" t="str">
        <x:v>assurance case</x:v>
      </x:c>
      <x:c r="F16" s="27" t="str">
        <x:v>N-1</x:v>
      </x:c>
    </x:row>
    <x:row r="17" ht="21.600000381469727" hidden="0" customHeight="1">
      <x:c r="A17" s="29" t="str">
        <x:v>C13</x:v>
      </x:c>
      <x:c r="B17" s="29" t="str">
        <x:v>Common-mode haircut</x:v>
      </x:c>
      <x:c r="C17" s="34" t="n">
        <x:v>0.05</x:v>
      </x:c>
      <x:c r="D17" s="29" t="str">
        <x:v>fraction</x:v>
      </x:c>
      <x:c r="E17" s="29" t="str">
        <x:v>design assumption</x:v>
      </x:c>
      <x:c r="F17" s="29" t="str">
        <x:v>after cell loss</x:v>
      </x:c>
    </x:row>
    <x:row r="18" ht="32.400001525878906" hidden="0" customHeight="1">
      <x:c r="A18" s="27" t="str">
        <x:v>C14</x:v>
      </x:c>
      <x:c r="B18" s="27" t="str">
        <x:v>Domestic receiving regions</x:v>
      </x:c>
      <x:c r="C18" s="33" t="n">
        <x:v>16</x:v>
      </x:c>
      <x:c r="D18" s="27" t="str">
        <x:v>regions</x:v>
      </x:c>
      <x:c r="E18" s="27" t="str">
        <x:v>synthetic model</x:v>
      </x:c>
      <x:c r="F18" s="27" t="str">
        <x:v>not administrative boundaries</x:v>
      </x:c>
    </x:row>
    <x:row r="19" ht="32.400001525878906" hidden="0" customHeight="1">
      <x:c r="A19" s="29" t="str">
        <x:v>C15</x:v>
      </x:c>
      <x:c r="B19" s="29" t="str">
        <x:v>Catastrophic catchment width</x:v>
      </x:c>
      <x:c r="C19" s="33" t="n">
        <x:v>4</x:v>
      </x:c>
      <x:c r="D19" s="29" t="str">
        <x:v>regions</x:v>
      </x:c>
      <x:c r="E19" s="29" t="str">
        <x:v>design assumption</x:v>
      </x:c>
      <x:c r="F19" s="29" t="str">
        <x:v>accessible receiving zones</x:v>
      </x:c>
    </x:row>
    <x:row r="20" ht="21.600000381469727" hidden="0" customHeight="1">
      <x:c r="A20" s="27" t="str">
        <x:v>C16</x:v>
      </x:c>
      <x:c r="B20" s="27" t="str">
        <x:v>Home-region survival</x:v>
      </x:c>
      <x:c r="C20" s="34" t="n">
        <x:v>0.5</x:v>
      </x:c>
      <x:c r="D20" s="27" t="str">
        <x:v>fraction</x:v>
      </x:c>
      <x:c r="E20" s="27" t="str">
        <x:v>stress assumption</x:v>
      </x:c>
      <x:c r="F20" s="27" t="str">
        <x:v>affected region</x:v>
      </x:c>
    </x:row>
    <x:row r="21" ht="21.600000381469727" hidden="0" customHeight="1">
      <x:c r="A21" s="29" t="str">
        <x:v>C17</x:v>
      </x:c>
      <x:c r="B21" s="29" t="str">
        <x:v>Near-region survival</x:v>
      </x:c>
      <x:c r="C21" s="34" t="n">
        <x:v>0.8</x:v>
      </x:c>
      <x:c r="D21" s="29" t="str">
        <x:v>fraction</x:v>
      </x:c>
      <x:c r="E21" s="29" t="str">
        <x:v>stress assumption</x:v>
      </x:c>
      <x:c r="F21" s="29" t="str">
        <x:v>adjacent region</x:v>
      </x:c>
    </x:row>
    <x:row r="22" ht="21.600000381469727" hidden="0" customHeight="1">
      <x:c r="A22" s="27" t="str">
        <x:v>C18</x:v>
      </x:c>
      <x:c r="B22" s="27" t="str">
        <x:v>Outer-region survival 1</x:v>
      </x:c>
      <x:c r="C22" s="34" t="n">
        <x:v>0.9</x:v>
      </x:c>
      <x:c r="D22" s="27" t="str">
        <x:v>fraction</x:v>
      </x:c>
      <x:c r="E22" s="27" t="str">
        <x:v>stress assumption</x:v>
      </x:c>
      <x:c r="F22" s="27" t="str">
        <x:v>outer catchment</x:v>
      </x:c>
    </x:row>
    <x:row r="23" ht="21.600000381469727" hidden="0" customHeight="1">
      <x:c r="A23" s="29" t="str">
        <x:v>C19</x:v>
      </x:c>
      <x:c r="B23" s="29" t="str">
        <x:v>Outer-region survival 2</x:v>
      </x:c>
      <x:c r="C23" s="34" t="n">
        <x:v>0.9</x:v>
      </x:c>
      <x:c r="D23" s="29" t="str">
        <x:v>fraction</x:v>
      </x:c>
      <x:c r="E23" s="29" t="str">
        <x:v>stress assumption</x:v>
      </x:c>
      <x:c r="F23" s="29" t="str">
        <x:v>outer catchment</x:v>
      </x:c>
    </x:row>
    <x:row r="24" ht="32.400001525878906" hidden="0" customHeight="1">
      <x:c r="A24" s="27" t="str">
        <x:v>C20</x:v>
      </x:c>
      <x:c r="B24" s="27" t="str">
        <x:v>Pass 29 transform pod</x:v>
      </x:c>
      <x:c r="C24" s="33" t="n">
        <x:v>11818.2043</x:v>
      </x:c>
      <x:c r="D24" s="27" t="str">
        <x:v>t</x:v>
      </x:c>
      <x:c r="E24" s="27" t="str">
        <x:v>prior model</x:v>
      </x:c>
      <x:c r="F24" s="27" t="str">
        <x:v>before district replacement</x:v>
      </x:c>
    </x:row>
    <x:row r="25" ht="32.400001525878906" hidden="0" customHeight="1">
      <x:c r="A25" s="29" t="str">
        <x:v>C21</x:v>
      </x:c>
      <x:c r="B25" s="29" t="str">
        <x:v>Pass 29 transform shelter total</x:v>
      </x:c>
      <x:c r="C25" s="33" t="n">
        <x:v>1302.5143</x:v>
      </x:c>
      <x:c r="D25" s="29" t="str">
        <x:v>t</x:v>
      </x:c>
      <x:c r="E25" s="29" t="str">
        <x:v>prior model</x:v>
      </x:c>
      <x:c r="F25" s="29" t="str">
        <x:v>removed before replacement</x:v>
      </x:c>
    </x:row>
    <x:row r="26" ht="32.400001525878906" hidden="0" customHeight="1">
      <x:c r="A26" s="27" t="str">
        <x:v>C22</x:v>
      </x:c>
      <x:c r="B26" s="27" t="str">
        <x:v>PCC-D1 transform district</x:v>
      </x:c>
      <x:c r="C26" s="33" t="n">
        <x:v>78.707674864</x:v>
      </x:c>
      <x:c r="D26" s="27" t="str">
        <x:v>t</x:v>
      </x:c>
      <x:c r="E26" s="27" t="str">
        <x:v>Pass 30</x:v>
      </x:c>
      <x:c r="F26" s="27" t="str">
        <x:v>complete occupied system</x:v>
      </x:c>
    </x:row>
    <x:row r="27" ht="21.600000381469727" hidden="0" customHeight="1">
      <x:c r="A27" s="29" t="str">
        <x:v>C23</x:v>
      </x:c>
      <x:c r="B27" s="29" t="str">
        <x:v>Air pod ceiling</x:v>
      </x:c>
      <x:c r="C27" s="33" t="n">
        <x:v>12048.75</x:v>
      </x:c>
      <x:c r="D27" s="29" t="str">
        <x:v>t</x:v>
      </x:c>
      <x:c r="E27" s="29" t="str">
        <x:v>Pass 29</x:v>
      </x:c>
      <x:c r="F27" s="29" t="str">
        <x:v>third pod by hour 72</x:v>
      </x:c>
    </x:row>
    <x:row r="28" ht="21.600000381469727" hidden="0" customHeight="1">
      <x:c r="A28" s="27" t="str">
        <x:v>C24</x:v>
      </x:c>
      <x:c r="B28" s="27" t="str">
        <x:v>Offshore pod ceiling</x:v>
      </x:c>
      <x:c r="C28" s="33" t="n">
        <x:v>11781</x:v>
      </x:c>
      <x:c r="D28" s="27" t="str">
        <x:v>t</x:v>
      </x:c>
      <x:c r="E28" s="27" t="str">
        <x:v>Pass 29</x:v>
      </x:c>
      <x:c r="F28" s="27" t="str">
        <x:v>third pod by hour 72</x:v>
      </x:c>
    </x:row>
    <x:row r="29" ht="21.600000381469727" hidden="0" customHeight="1">
      <x:c r="A29" s="29" t="str">
        <x:v>C25</x:v>
      </x:c>
      <x:c r="B29" s="29" t="str">
        <x:v>Air cell net throughput</x:v>
      </x:c>
      <x:c r="C29" s="33" t="n">
        <x:v>669.375</x:v>
      </x:c>
      <x:c r="D29" s="29" t="str">
        <x:v>t/h</x:v>
      </x:c>
      <x:c r="E29" s="29" t="str">
        <x:v>Pass 27</x:v>
      </x:c>
      <x:c r="F29" s="29" t="str">
        <x:v>timing screen</x:v>
      </x:c>
    </x:row>
    <x:row r="30" ht="32.400001525878906" hidden="0" customHeight="1">
      <x:c r="A30" s="27" t="str">
        <x:v>C26</x:v>
      </x:c>
      <x:c r="B30" s="27" t="str">
        <x:v>Offshore cell net throughput</x:v>
      </x:c>
      <x:c r="C30" s="33" t="n">
        <x:v>841.5</x:v>
      </x:c>
      <x:c r="D30" s="27" t="str">
        <x:v>t/h</x:v>
      </x:c>
      <x:c r="E30" s="27" t="str">
        <x:v>Pass 27</x:v>
      </x:c>
      <x:c r="F30" s="27" t="str">
        <x:v>timing screen</x:v>
      </x:c>
    </x:row>
    <x:row r="31" ht="21.600000381469727" hidden="0" customHeight="1">
      <x:c r="A31" s="29" t="str">
        <x:v>C27</x:v>
      </x:c>
      <x:c r="B31" s="29" t="str">
        <x:v>Air activation</x:v>
      </x:c>
      <x:c r="C31" s="33" t="n">
        <x:v>18</x:v>
      </x:c>
      <x:c r="D31" s="29" t="str">
        <x:v>hour</x:v>
      </x:c>
      <x:c r="E31" s="29" t="str">
        <x:v>Pass 27</x:v>
      </x:c>
      <x:c r="F31" s="29" t="str">
        <x:v>timing screen</x:v>
      </x:c>
    </x:row>
    <x:row r="32" ht="21.600000381469727" hidden="0" customHeight="1">
      <x:c r="A32" s="27" t="str">
        <x:v>C28</x:v>
      </x:c>
      <x:c r="B32" s="27" t="str">
        <x:v>Offshore activation</x:v>
      </x:c>
      <x:c r="C32" s="33" t="n">
        <x:v>30</x:v>
      </x:c>
      <x:c r="D32" s="27" t="str">
        <x:v>hour</x:v>
      </x:c>
      <x:c r="E32" s="27" t="str">
        <x:v>Pass 27</x:v>
      </x:c>
      <x:c r="F32" s="27" t="str">
        <x:v>timing screen</x:v>
      </x:c>
    </x:row>
    <x:row r="33" ht="21.600000381469727" hidden="0" customHeight="1">
      <x:c r="A33" s="29" t="str">
        <x:v>C29</x:v>
      </x:c>
      <x:c r="B33" s="29" t="str">
        <x:v>Program start year</x:v>
      </x:c>
      <x:c r="C33" s="33" t="n">
        <x:v>2027</x:v>
      </x:c>
      <x:c r="D33" s="29" t="str">
        <x:v>year</x:v>
      </x:c>
      <x:c r="E33" s="29" t="str">
        <x:v>planning</x:v>
      </x:c>
      <x:c r="F33" s="29" t="str">
        <x:v>25-year profile</x:v>
      </x:c>
    </x:row>
    <x:row r="34" ht="21.600000381469727" hidden="0" customHeight="1">
      <x:c r="A34" s="27" t="str">
        <x:v>C30</x:v>
      </x:c>
      <x:c r="B34" s="27" t="str">
        <x:v>Program horizon</x:v>
      </x:c>
      <x:c r="C34" s="33" t="n">
        <x:v>25</x:v>
      </x:c>
      <x:c r="D34" s="27" t="str">
        <x:v>years</x:v>
      </x:c>
      <x:c r="E34" s="27" t="str">
        <x:v>planning</x:v>
      </x:c>
      <x:c r="F34" s="27" t="str">
        <x:v>investment frame</x:v>
      </x:c>
    </x:row>
    <x:row r="35" ht="21.600000381469727" hidden="0" customHeight="1">
      <x:c r="A35" s="29" t="str">
        <x:v>C31</x:v>
      </x:c>
      <x:c r="B35" s="29" t="str">
        <x:v>Capital reserve</x:v>
      </x:c>
      <x:c r="C35" s="34" t="n">
        <x:v>0.2</x:v>
      </x:c>
      <x:c r="D35" s="29" t="str">
        <x:v>fraction</x:v>
      </x:c>
      <x:c r="E35" s="29" t="str">
        <x:v>planning</x:v>
      </x:c>
      <x:c r="F35" s="29" t="str">
        <x:v>program uncertainty</x:v>
      </x:c>
    </x:row>
    <x:row r="36" ht="21.600000381469727" hidden="0" customHeight="1">
      <x:c r="A36" s="27" t="str">
        <x:v>C32</x:v>
      </x:c>
      <x:c r="B36" s="27" t="str">
        <x:v>Rendering authorization</x:v>
      </x:c>
      <x:c r="C36" s="33" t="n">
        <x:v>0</x:v>
      </x:c>
      <x:c r="D36" s="27" t="str">
        <x:v>binary</x:v>
      </x:c>
      <x:c r="E36" s="27" t="str">
        <x:v>governance</x:v>
      </x:c>
      <x:c r="F36" s="27" t="str">
        <x:v>all evidence gates open</x:v>
      </x:c>
    </x:row>
    <x:row r="37">
      <x:c r="A37" s="83"/>
      <x:c r="B37" s="83"/>
      <x:c r="C37" s="83"/>
      <x:c r="D37" s="83"/>
      <x:c r="E37" s="83"/>
      <x:c r="F37" s="83"/>
    </x:row>
    <x:row r="38" ht="34" customHeight="1">
      <x:c r="A38" s="90" t="str">
        <x:v>A certified district equivalent is 1,000-person receiving capacity that has passed every required readiness dimension. Multiplicative factors are planning arithmetic, not event-level partial credit.</x:v>
      </x:c>
      <x:c r="B38" s="90"/>
      <x:c r="C38" s="90"/>
      <x:c r="D38" s="90"/>
      <x:c r="E38" s="90"/>
      <x:c r="F38" s="90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5" hidden="0" customWidth="1"/>
    <x:col min="2" max="2" width="25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</x:cols>
  <x:sheetData>
    <x:row r="1" ht="29" customHeight="1">
      <x:c r="A1" s="81" t="str">
        <x:v>Receiving capacity contract</x:v>
      </x:c>
      <x:c r="B1" s="81"/>
      <x:c r="C1" s="81"/>
      <x:c r="D1" s="81"/>
      <x:c r="E1" s="81"/>
      <x:c r="F1" s="81"/>
      <x:c r="G1" s="81"/>
      <x:c r="H1" s="81"/>
    </x:row>
    <x:row r="2" ht="28" customHeight="1">
      <x:c r="A2" s="82" t="str">
        <x:v>The lattice supports the domestic 3C + 5M demand and two invited global campaigns while preserving immediate reserve.</x:v>
      </x:c>
      <x:c r="B2" s="82"/>
      <x:c r="C2" s="82"/>
      <x:c r="D2" s="82"/>
      <x:c r="E2" s="82"/>
      <x:c r="F2" s="82"/>
      <x:c r="G2" s="82"/>
      <x:c r="H2" s="82"/>
    </x:row>
    <x:row r="3">
      <x:c r="A3" s="83"/>
      <x:c r="B3" s="83"/>
      <x:c r="C3" s="83"/>
      <x:c r="D3" s="83"/>
      <x:c r="E3" s="83"/>
      <x:c r="F3" s="83"/>
      <x:c r="G3" s="83"/>
      <x:c r="H3" s="83"/>
    </x:row>
    <x:row r="4" ht="31" customHeight="1">
      <x:c r="A4" s="84" t="str">
        <x:v>Scope</x:v>
      </x:c>
      <x:c r="B4" s="85" t="str">
        <x:v>Campaign class</x:v>
      </x:c>
      <x:c r="C4" s="85" t="str">
        <x:v>Campaigns</x:v>
      </x:c>
      <x:c r="D4" s="85" t="str">
        <x:v>CDE per campaign</x:v>
      </x:c>
      <x:c r="E4" s="85" t="str">
        <x:v>Base CDE</x:v>
      </x:c>
      <x:c r="F4" s="85" t="str">
        <x:v>Reserve</x:v>
      </x:c>
      <x:c r="G4" s="85" t="str">
        <x:v>Required CDE</x:v>
      </x:c>
      <x:c r="H4" s="86" t="str">
        <x:v>Protected people</x:v>
      </x:c>
    </x:row>
    <x:row r="5">
      <x:c r="A5" s="83" t="str">
        <x:v>Domestic</x:v>
      </x:c>
      <x:c r="B5" s="83" t="str">
        <x:v>Catastrophic</x:v>
      </x:c>
      <x:c r="C5" s="92" t="n">
        <x:f>'Controls'!C5</x:f>
        <x:v>3</x:v>
      </x:c>
      <x:c r="D5" s="92" t="n">
        <x:f>'Controls'!C6</x:f>
        <x:v>500</x:v>
      </x:c>
      <x:c r="E5" s="92" t="n">
        <x:f>C5*D5</x:f>
        <x:v>1500</x:v>
      </x:c>
      <x:c r="F5" s="92" t="n">
        <x:f>E5*'Controls'!C11</x:f>
        <x:v>300</x:v>
      </x:c>
      <x:c r="G5" s="92" t="n">
        <x:f>E5+F5</x:f>
        <x:v>1800</x:v>
      </x:c>
      <x:c r="H5" s="92" t="n">
        <x:f>G5*'Controls'!C12</x:f>
        <x:v>1800000</x:v>
      </x:c>
    </x:row>
    <x:row r="6">
      <x:c r="A6" s="83" t="str">
        <x:v>Domestic</x:v>
      </x:c>
      <x:c r="B6" s="83" t="str">
        <x:v>Major</x:v>
      </x:c>
      <x:c r="C6" s="92" t="n">
        <x:f>'Controls'!C7</x:f>
        <x:v>5</x:v>
      </x:c>
      <x:c r="D6" s="92" t="n">
        <x:f>'Controls'!C8</x:f>
        <x:v>200</x:v>
      </x:c>
      <x:c r="E6" s="92" t="n">
        <x:f>C6*D6</x:f>
        <x:v>1000</x:v>
      </x:c>
      <x:c r="F6" s="92" t="n">
        <x:f>E6*'Controls'!C11</x:f>
        <x:v>200</x:v>
      </x:c>
      <x:c r="G6" s="92" t="n">
        <x:f>E6+F6</x:f>
        <x:v>1200</x:v>
      </x:c>
      <x:c r="H6" s="92" t="n">
        <x:f>G6*'Controls'!C12</x:f>
        <x:v>1200000</x:v>
      </x:c>
    </x:row>
    <x:row r="7">
      <x:c r="A7" s="83" t="str">
        <x:v>Partner</x:v>
      </x:c>
      <x:c r="B7" s="83" t="str">
        <x:v>Invited global</x:v>
      </x:c>
      <x:c r="C7" s="92" t="n">
        <x:f>'Controls'!C9</x:f>
        <x:v>2</x:v>
      </x:c>
      <x:c r="D7" s="92" t="n">
        <x:f>'Controls'!C10</x:f>
        <x:v>150</x:v>
      </x:c>
      <x:c r="E7" s="92" t="n">
        <x:f>C7*D7</x:f>
        <x:v>300</x:v>
      </x:c>
      <x:c r="F7" s="92" t="n">
        <x:f>E7*'Controls'!C11</x:f>
        <x:v>60</x:v>
      </x:c>
      <x:c r="G7" s="92" t="n">
        <x:f>E7+F7</x:f>
        <x:v>360</x:v>
      </x:c>
      <x:c r="H7" s="92" t="n">
        <x:f>G7*'Controls'!C12</x:f>
        <x:v>360000</x:v>
      </x:c>
    </x:row>
    <x:row r="8">
      <x:c r="A8" s="83"/>
      <x:c r="B8" s="83"/>
      <x:c r="C8" s="92"/>
      <x:c r="D8" s="92"/>
      <x:c r="E8" s="92"/>
      <x:c r="F8" s="92"/>
      <x:c r="G8" s="92"/>
      <x:c r="H8" s="92"/>
    </x:row>
    <x:row r="9" ht="23" customHeight="1">
      <x:c r="A9" s="87" t="str">
        <x:v>Scope totals</x:v>
      </x:c>
      <x:c r="B9" s="87"/>
      <x:c r="C9" s="93"/>
      <x:c r="D9" s="93"/>
      <x:c r="E9" s="93"/>
      <x:c r="F9" s="93"/>
      <x:c r="G9" s="93"/>
      <x:c r="H9" s="93"/>
    </x:row>
    <x:row r="10" ht="21.600000381469727" hidden="0" customHeight="1">
      <x:c r="A10" s="26" t="str">
        <x:v>Domestic base</x:v>
      </x:c>
      <x:c r="B10" s="26" t="n">
        <x:f>SUM(E5:E6)</x:f>
        <x:v>2500</x:v>
      </x:c>
      <x:c r="C10" s="43" t="str">
        <x:v>CDE</x:v>
      </x:c>
      <x:c r="D10" s="92"/>
      <x:c r="E10" s="92"/>
      <x:c r="F10" s="92"/>
      <x:c r="G10" s="92"/>
      <x:c r="H10" s="92"/>
    </x:row>
    <x:row r="11" ht="43.20000076293945" hidden="0" customHeight="1">
      <x:c r="A11" s="27" t="str">
        <x:v>Domestic reserve-inclusive requirement</x:v>
      </x:c>
      <x:c r="B11" s="27" t="n">
        <x:f>SUM(G5:G6)</x:f>
        <x:v>3000</x:v>
      </x:c>
      <x:c r="C11" s="44" t="str">
        <x:v>CDE</x:v>
      </x:c>
      <x:c r="D11" s="92"/>
      <x:c r="E11" s="92"/>
      <x:c r="F11" s="92"/>
      <x:c r="G11" s="92"/>
      <x:c r="H11" s="92"/>
    </x:row>
    <x:row r="12" ht="15" hidden="0" customHeight="1">
      <x:c r="A12" s="27" t="str">
        <x:v>Partner base</x:v>
      </x:c>
      <x:c r="B12" s="27" t="n">
        <x:f>E7</x:f>
        <x:v>300</x:v>
      </x:c>
      <x:c r="C12" s="44" t="str">
        <x:v>CDE</x:v>
      </x:c>
      <x:c r="D12" s="92"/>
      <x:c r="E12" s="92"/>
      <x:c r="F12" s="92"/>
      <x:c r="G12" s="92"/>
      <x:c r="H12" s="92"/>
    </x:row>
    <x:row r="13" ht="43.20000076293945" hidden="0" customHeight="1">
      <x:c r="A13" s="27" t="str">
        <x:v>Partner reserve-inclusive requirement</x:v>
      </x:c>
      <x:c r="B13" s="27" t="n">
        <x:f>G7</x:f>
        <x:v>360</x:v>
      </x:c>
      <x:c r="C13" s="44" t="str">
        <x:v>CDE</x:v>
      </x:c>
      <x:c r="D13" s="92"/>
      <x:c r="E13" s="92"/>
      <x:c r="F13" s="92"/>
      <x:c r="G13" s="92"/>
      <x:c r="H13" s="92"/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xSplit="3" ySplit="4" topLeftCell="D5" activePane="bottomRight" state="frozen"/>
    </x:sheetView>
  </x:sheetViews>
  <x:sheetFormatPr defaultRowHeight="15"/>
  <x:cols>
    <x:col min="1" max="1" width="10" hidden="0" customWidth="1"/>
    <x:col min="2" max="2" width="35" hidden="0" customWidth="1"/>
    <x:col min="3" max="3" width="14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  <x:col min="14" max="14" width="16" hidden="0" customWidth="1"/>
    <x:col min="15" max="15" width="16" hidden="0" customWidth="1"/>
    <x:col min="16" max="16" width="16" hidden="0" customWidth="1"/>
    <x:col min="17" max="17" width="16" hidden="0" customWidth="1"/>
    <x:col min="18" max="18" width="16" hidden="0" customWidth="1"/>
    <x:col min="19" max="19" width="16" hidden="0" customWidth="1"/>
  </x:cols>
  <x:sheetData>
    <x:row r="1" ht="29" customHeight="1">
      <x:c r="A1" s="81" t="str">
        <x:v>Receiving site classes</x:v>
      </x:c>
      <x:c r="B1" s="81"/>
      <x:c r="C1" s="81"/>
      <x:c r="D1" s="81"/>
      <x:c r="E1" s="81"/>
      <x:c r="F1" s="81"/>
      <x:c r="G1" s="81"/>
      <x:c r="H1" s="81"/>
      <x:c r="I1" s="81"/>
      <x:c r="J1" s="81"/>
      <x:c r="K1" s="81"/>
      <x:c r="L1" s="81"/>
      <x:c r="M1" s="81"/>
      <x:c r="N1" s="81"/>
      <x:c r="O1" s="81"/>
      <x:c r="P1" s="81"/>
      <x:c r="Q1" s="81"/>
      <x:c r="R1" s="81"/>
      <x:c r="S1" s="81"/>
    </x:row>
    <x:row r="2" ht="28" customHeight="1">
      <x:c r="A2" s="82" t="str">
        <x:v>Four physical classes create domestic depth and a partner layer. Complete-system credit is binary at event level.</x:v>
      </x:c>
      <x:c r="B2" s="82"/>
      <x:c r="C2" s="82"/>
      <x:c r="D2" s="82"/>
      <x:c r="E2" s="82"/>
      <x:c r="F2" s="82"/>
      <x:c r="G2" s="82"/>
      <x:c r="H2" s="82"/>
      <x:c r="I2" s="82"/>
      <x:c r="J2" s="82"/>
      <x:c r="K2" s="82"/>
      <x:c r="L2" s="82"/>
      <x:c r="M2" s="82"/>
      <x:c r="N2" s="82"/>
      <x:c r="O2" s="82"/>
      <x:c r="P2" s="82"/>
      <x:c r="Q2" s="82"/>
      <x:c r="R2" s="82"/>
      <x:c r="S2" s="82"/>
    </x:row>
    <x:row r="3">
      <x:c r="A3" s="83"/>
      <x:c r="B3" s="83"/>
      <x:c r="C3" s="83"/>
      <x:c r="D3" s="83"/>
      <x:c r="E3" s="83"/>
      <x:c r="F3" s="83"/>
      <x:c r="G3" s="83"/>
      <x:c r="H3" s="83"/>
      <x:c r="I3" s="83"/>
      <x:c r="J3" s="83"/>
      <x:c r="K3" s="83"/>
      <x:c r="L3" s="83"/>
      <x:c r="M3" s="83"/>
      <x:c r="N3" s="83"/>
      <x:c r="O3" s="83"/>
      <x:c r="P3" s="83"/>
      <x:c r="Q3" s="83"/>
      <x:c r="R3" s="83"/>
      <x:c r="S3" s="83"/>
    </x:row>
    <x:row r="4" ht="31" customHeight="1">
      <x:c r="A4" s="84" t="str">
        <x:v>ID</x:v>
      </x:c>
      <x:c r="B4" s="85" t="str">
        <x:v>Class</x:v>
      </x:c>
      <x:c r="C4" s="85" t="str">
        <x:v>Scope</x:v>
      </x:c>
      <x:c r="D4" s="85" t="str">
        <x:v>Units</x:v>
      </x:c>
      <x:c r="E4" s="85" t="str">
        <x:v>CDE/unit</x:v>
      </x:c>
      <x:c r="F4" s="85" t="str">
        <x:v>Nominal CDE</x:v>
      </x:c>
      <x:c r="G4" s="85" t="str">
        <x:v>Fixed occupied-area share</x:v>
      </x:c>
      <x:c r="H4" s="85" t="str">
        <x:v>Availability</x:v>
      </x:c>
      <x:c r="I4" s="85" t="str">
        <x:v>Hazard survival</x:v>
      </x:c>
      <x:c r="J4" s="85" t="str">
        <x:v>Inspection pass</x:v>
      </x:c>
      <x:c r="K4" s="85" t="str">
        <x:v>Interface compatibility</x:v>
      </x:c>
      <x:c r="L4" s="85" t="str">
        <x:v>Planning factor</x:v>
      </x:c>
      <x:c r="M4" s="85" t="str">
        <x:v>Effective CDE</x:v>
      </x:c>
      <x:c r="N4" s="85" t="str">
        <x:v>Activation h</x:v>
      </x:c>
      <x:c r="O4" s="85" t="str">
        <x:v>Capital/unit $M</x:v>
      </x:c>
      <x:c r="P4" s="85" t="str">
        <x:v>Capital $B</x:v>
      </x:c>
      <x:c r="Q4" s="85" t="str">
        <x:v>O&amp;M/unit $M</x:v>
      </x:c>
      <x:c r="R4" s="85" t="str">
        <x:v>O&amp;M $B/y</x:v>
      </x:c>
      <x:c r="S4" s="86" t="str">
        <x:v>Permanent people/unit</x:v>
      </x:c>
    </x:row>
    <x:row r="5" ht="43.20000076293945" hidden="0" customHeight="1">
      <x:c r="A5" s="28" t="str">
        <x:v>RRC</x:v>
      </x:c>
      <x:c r="B5" s="28" t="str">
        <x:v>Hardened regional receiver complex</x:v>
      </x:c>
      <x:c r="C5" s="28" t="str">
        <x:v>Domestic</x:v>
      </x:c>
      <x:c r="D5" s="49" t="n">
        <x:v>48</x:v>
      </x:c>
      <x:c r="E5" s="49" t="n">
        <x:v>80</x:v>
      </x:c>
      <x:c r="F5" s="50" t="n">
        <x:f>D5*E5</x:f>
        <x:v>3840</x:v>
      </x:c>
      <x:c r="G5" s="45" t="n">
        <x:v>0.8</x:v>
      </x:c>
      <x:c r="H5" s="45" t="n">
        <x:v>0.94</x:v>
      </x:c>
      <x:c r="I5" s="45" t="n">
        <x:v>0.93</x:v>
      </x:c>
      <x:c r="J5" s="45" t="n">
        <x:v>0.96</x:v>
      </x:c>
      <x:c r="K5" s="45" t="n">
        <x:v>0.98</x:v>
      </x:c>
      <x:c r="L5" s="46" t="n">
        <x:f>H5*I5*J5*K5</x:f>
        <x:v>0.82244736</x:v>
      </x:c>
      <x:c r="M5" s="53" t="n">
        <x:f>F5*L5</x:f>
        <x:v>3158.1978624</x:v>
      </x:c>
      <x:c r="N5" s="54" t="n">
        <x:v>12</x:v>
      </x:c>
      <x:c r="O5" s="54" t="n">
        <x:v>4200</x:v>
      </x:c>
      <x:c r="P5" s="53" t="n">
        <x:f>D5*O5/1000</x:f>
        <x:v>201.6</x:v>
      </x:c>
      <x:c r="Q5" s="54" t="n">
        <x:v>140</x:v>
      </x:c>
      <x:c r="R5" s="53" t="n">
        <x:f>D5*Q5/1000</x:f>
        <x:v>6.72</x:v>
      </x:c>
      <x:c r="S5" s="54" t="n">
        <x:v>260</x:v>
      </x:c>
    </x:row>
    <x:row r="6" ht="21.600000381469727" hidden="0" customHeight="1">
      <x:c r="A6" s="27" t="str">
        <x:v>DPS</x:v>
      </x:c>
      <x:c r="B6" s="27" t="str">
        <x:v>Distributed prepared site</x:v>
      </x:c>
      <x:c r="C6" s="27" t="str">
        <x:v>Domestic</x:v>
      </x:c>
      <x:c r="D6" s="51" t="n">
        <x:v>192</x:v>
      </x:c>
      <x:c r="E6" s="51" t="n">
        <x:v>10</x:v>
      </x:c>
      <x:c r="F6" s="44" t="n">
        <x:f>D6*E6</x:f>
        <x:v>1920</x:v>
      </x:c>
      <x:c r="G6" s="34" t="n">
        <x:v>0.65</x:v>
      </x:c>
      <x:c r="H6" s="34" t="n">
        <x:v>0.9</x:v>
      </x:c>
      <x:c r="I6" s="34" t="n">
        <x:v>0.88</x:v>
      </x:c>
      <x:c r="J6" s="34" t="n">
        <x:v>0.93</x:v>
      </x:c>
      <x:c r="K6" s="34" t="n">
        <x:v>0.96</x:v>
      </x:c>
      <x:c r="L6" s="47" t="n">
        <x:f>H6*I6*J6*K6</x:f>
        <x:v>0.7070976000000001</x:v>
      </x:c>
      <x:c r="M6" s="55" t="n">
        <x:f>F6*L6</x:f>
        <x:v>1357.627392</x:v>
      </x:c>
      <x:c r="N6" s="56" t="n">
        <x:v>18</x:v>
      </x:c>
      <x:c r="O6" s="56" t="n">
        <x:v>420</x:v>
      </x:c>
      <x:c r="P6" s="55" t="n">
        <x:f>D6*O6/1000</x:f>
        <x:v>80.64</x:v>
      </x:c>
      <x:c r="Q6" s="56" t="n">
        <x:v>18</x:v>
      </x:c>
      <x:c r="R6" s="55" t="n">
        <x:f>D6*Q6/1000</x:f>
        <x:v>3.456</x:v>
      </x:c>
      <x:c r="S6" s="56" t="n">
        <x:v>40</x:v>
      </x:c>
    </x:row>
    <x:row r="7" ht="21.600000381469727" hidden="0" customHeight="1">
      <x:c r="A7" s="29" t="str">
        <x:v>BAN</x:v>
      </x:c>
      <x:c r="B7" s="29" t="str">
        <x:v>Building adapter node</x:v>
      </x:c>
      <x:c r="C7" s="29" t="str">
        <x:v>Domestic</x:v>
      </x:c>
      <x:c r="D7" s="51" t="n">
        <x:v>1440</x:v>
      </x:c>
      <x:c r="E7" s="51" t="n">
        <x:v>1</x:v>
      </x:c>
      <x:c r="F7" s="52" t="n">
        <x:f>D7*E7</x:f>
        <x:v>1440</x:v>
      </x:c>
      <x:c r="G7" s="34" t="n">
        <x:v>0.5</x:v>
      </x:c>
      <x:c r="H7" s="34" t="n">
        <x:v>0.78</x:v>
      </x:c>
      <x:c r="I7" s="34" t="n">
        <x:v>0.8</x:v>
      </x:c>
      <x:c r="J7" s="34" t="n">
        <x:v>0.85</x:v>
      </x:c>
      <x:c r="K7" s="34" t="n">
        <x:v>0.9</x:v>
      </x:c>
      <x:c r="L7" s="48" t="n">
        <x:f>H7*I7*J7*K7</x:f>
        <x:v>0.4773600000000001</x:v>
      </x:c>
      <x:c r="M7" s="57" t="n">
        <x:f>F7*L7</x:f>
        <x:v>687.3984000000002</x:v>
      </x:c>
      <x:c r="N7" s="56" t="n">
        <x:v>24</x:v>
      </x:c>
      <x:c r="O7" s="56" t="n">
        <x:v>18</x:v>
      </x:c>
      <x:c r="P7" s="57" t="n">
        <x:f>D7*O7/1000</x:f>
        <x:v>25.92</x:v>
      </x:c>
      <x:c r="Q7" s="56" t="n">
        <x:v>0.9</x:v>
      </x:c>
      <x:c r="R7" s="57" t="n">
        <x:f>D7*Q7/1000</x:f>
        <x:v>1.296</x:v>
      </x:c>
      <x:c r="S7" s="56" t="n">
        <x:v>3</x:v>
      </x:c>
    </x:row>
    <x:row r="8" ht="32.400001525878906" hidden="0" customHeight="1">
      <x:c r="A8" s="27" t="str">
        <x:v>PTR</x:v>
      </x:c>
      <x:c r="B8" s="27" t="str">
        <x:v>Partner and territorial receiver</x:v>
      </x:c>
      <x:c r="C8" s="27" t="str">
        <x:v>Partner</x:v>
      </x:c>
      <x:c r="D8" s="51" t="n">
        <x:v>144</x:v>
      </x:c>
      <x:c r="E8" s="51" t="n">
        <x:v>5</x:v>
      </x:c>
      <x:c r="F8" s="44" t="n">
        <x:f>D8*E8</x:f>
        <x:v>720</x:v>
      </x:c>
      <x:c r="G8" s="34" t="n">
        <x:v>0.7</x:v>
      </x:c>
      <x:c r="H8" s="34" t="n">
        <x:v>0.85</x:v>
      </x:c>
      <x:c r="I8" s="34" t="n">
        <x:v>0.9</x:v>
      </x:c>
      <x:c r="J8" s="34" t="n">
        <x:v>0.9</x:v>
      </x:c>
      <x:c r="K8" s="34" t="n">
        <x:v>0.95</x:v>
      </x:c>
      <x:c r="L8" s="47" t="n">
        <x:f>H8*I8*J8*K8</x:f>
        <x:v>0.654075</x:v>
      </x:c>
      <x:c r="M8" s="55" t="n">
        <x:f>F8*L8</x:f>
        <x:v>470.93399999999997</x:v>
      </x:c>
      <x:c r="N8" s="56" t="n">
        <x:v>24</x:v>
      </x:c>
      <x:c r="O8" s="56" t="n">
        <x:v>95</x:v>
      </x:c>
      <x:c r="P8" s="55" t="n">
        <x:f>D8*O8/1000</x:f>
        <x:v>13.68</x:v>
      </x:c>
      <x:c r="Q8" s="56" t="n">
        <x:v>4.5</x:v>
      </x:c>
      <x:c r="R8" s="55" t="n">
        <x:f>D8*Q8/1000</x:f>
        <x:v>0.648</x:v>
      </x:c>
      <x:c r="S8" s="56" t="n">
        <x:v>8</x:v>
      </x:c>
    </x:row>
    <x:row r="9">
      <x:c r="A9" s="83"/>
      <x:c r="B9" s="83"/>
      <x:c r="C9" s="83"/>
      <x:c r="D9" s="83"/>
      <x:c r="E9" s="83"/>
      <x:c r="F9" s="83"/>
      <x:c r="G9" s="83"/>
      <x:c r="H9" s="83"/>
      <x:c r="I9" s="83"/>
      <x:c r="J9" s="83"/>
      <x:c r="K9" s="83"/>
      <x:c r="L9" s="83"/>
      <x:c r="M9" s="83"/>
      <x:c r="N9" s="83"/>
      <x:c r="O9" s="83"/>
      <x:c r="P9" s="83"/>
      <x:c r="Q9" s="83"/>
      <x:c r="R9" s="83"/>
      <x:c r="S9" s="83"/>
    </x:row>
    <x:row r="10" ht="34" customHeight="1">
      <x:c r="A10" s="90" t="str">
        <x:v>The planning factor multiplies four unverified conditional factors. A real site either passes its full readiness vector or contributes zero certified capacity.</x:v>
      </x:c>
      <x:c r="B10" s="90"/>
      <x:c r="C10" s="90"/>
      <x:c r="D10" s="90"/>
      <x:c r="E10" s="90"/>
      <x:c r="F10" s="90"/>
      <x:c r="G10" s="90"/>
      <x:c r="H10" s="90"/>
      <x:c r="I10" s="90"/>
      <x:c r="J10" s="90"/>
      <x:c r="K10" s="90"/>
      <x:c r="L10" s="90"/>
      <x:c r="M10" s="90"/>
      <x:c r="N10" s="90"/>
      <x:c r="O10" s="90"/>
      <x:c r="P10" s="90"/>
      <x:c r="Q10" s="90"/>
      <x:c r="R10" s="90"/>
      <x:c r="S10" s="90"/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8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</x:cols>
  <x:sheetData>
    <x:row r="1" ht="29" customHeight="1">
      <x:c r="A1" s="81" t="str">
        <x:v>National inventory and assurance</x:v>
      </x:c>
      <x:c r="B1" s="81"/>
      <x:c r="C1" s="81"/>
      <x:c r="D1" s="81"/>
      <x:c r="E1" s="81"/>
      <x:c r="F1" s="81"/>
      <x:c r="G1" s="81"/>
      <x:c r="H1" s="81"/>
    </x:row>
    <x:row r="2" ht="28" customHeight="1">
      <x:c r="A2" s="82" t="str">
        <x:v>Nominal site capacity is reduced by readiness, cell loss and a system-wide common-mode haircut.</x:v>
      </x:c>
      <x:c r="B2" s="82"/>
      <x:c r="C2" s="82"/>
      <x:c r="D2" s="82"/>
      <x:c r="E2" s="82"/>
      <x:c r="F2" s="82"/>
      <x:c r="G2" s="82"/>
      <x:c r="H2" s="82"/>
    </x:row>
    <x:row r="3">
      <x:c r="A3" s="83"/>
      <x:c r="B3" s="83"/>
      <x:c r="C3" s="83"/>
      <x:c r="D3" s="83"/>
      <x:c r="E3" s="83"/>
      <x:c r="F3" s="83"/>
      <x:c r="G3" s="83"/>
      <x:c r="H3" s="83"/>
    </x:row>
    <x:row r="4" ht="31" customHeight="1">
      <x:c r="A4" s="84" t="str">
        <x:v>Scope</x:v>
      </x:c>
      <x:c r="B4" s="85" t="str">
        <x:v>Nominal CDE</x:v>
      </x:c>
      <x:c r="C4" s="85" t="str">
        <x:v>Readiness-adjusted CDE</x:v>
      </x:c>
      <x:c r="D4" s="85" t="str">
        <x:v>Assurance cells</x:v>
      </x:c>
      <x:c r="E4" s="85" t="str">
        <x:v>Cell losses</x:v>
      </x:c>
      <x:c r="F4" s="85" t="str">
        <x:v>After cell loss</x:v>
      </x:c>
      <x:c r="G4" s="85" t="str">
        <x:v>After common mode</x:v>
      </x:c>
      <x:c r="H4" s="86" t="str">
        <x:v>Requirement</x:v>
      </x:c>
    </x:row>
    <x:row r="5" ht="15" hidden="0" customHeight="1">
      <x:c r="A5" s="28" t="str">
        <x:v>Domestic</x:v>
      </x:c>
      <x:c r="B5" s="53" t="n">
        <x:f>SUMIF('Site Classes'!C5:C8,A5,'Site Classes'!F5:F8)</x:f>
        <x:v>7200</x:v>
      </x:c>
      <x:c r="C5" s="53" t="n">
        <x:f>SUMIF('Site Classes'!C5:C8,A5,'Site Classes'!M5:M8)</x:f>
        <x:v>5203.2236544</x:v>
      </x:c>
      <x:c r="D5" s="53" t="n">
        <x:f>'Controls'!C13</x:f>
        <x:v>8</x:v>
      </x:c>
      <x:c r="E5" s="53" t="n">
        <x:f>'Controls'!C14</x:f>
        <x:v>2</x:v>
      </x:c>
      <x:c r="F5" s="53" t="n">
        <x:f>C5*(D5-E5)/D5</x:f>
        <x:v>3902.4177407999996</x:v>
      </x:c>
      <x:c r="G5" s="53" t="n">
        <x:f>F5*(1-'Controls'!C17)</x:f>
        <x:v>3707.2968537599995</x:v>
      </x:c>
      <x:c r="H5" s="53" t="n">
        <x:f>'Service Contract'!B11</x:f>
        <x:v>3000</x:v>
      </x:c>
    </x:row>
    <x:row r="6" ht="15" hidden="0" customHeight="1">
      <x:c r="A6" s="27" t="str">
        <x:v>Partner</x:v>
      </x:c>
      <x:c r="B6" s="55" t="n">
        <x:f>SUMIF('Site Classes'!C5:C8,A6,'Site Classes'!F5:F8)</x:f>
        <x:v>720</x:v>
      </x:c>
      <x:c r="C6" s="55" t="n">
        <x:f>SUMIF('Site Classes'!C5:C8,A6,'Site Classes'!M5:M8)</x:f>
        <x:v>470.93399999999997</x:v>
      </x:c>
      <x:c r="D6" s="55" t="n">
        <x:f>'Controls'!C15</x:f>
        <x:v>6</x:v>
      </x:c>
      <x:c r="E6" s="55" t="n">
        <x:f>'Controls'!C16</x:f>
        <x:v>1</x:v>
      </x:c>
      <x:c r="F6" s="55" t="n">
        <x:f>C6*(D6-E6)/D6</x:f>
        <x:v>392.445</x:v>
      </x:c>
      <x:c r="G6" s="55" t="n">
        <x:f>F6*(1-'Controls'!C17)</x:f>
        <x:v>372.82275</x:v>
      </x:c>
      <x:c r="H6" s="55" t="n">
        <x:f>'Service Contract'!B13</x:f>
        <x:v>360</x:v>
      </x:c>
    </x:row>
    <x:row r="7">
      <x:c r="A7" s="83"/>
      <x:c r="B7" s="95"/>
      <x:c r="C7" s="95"/>
      <x:c r="D7" s="95"/>
      <x:c r="E7" s="95"/>
      <x:c r="F7" s="95"/>
      <x:c r="G7" s="95"/>
      <x:c r="H7" s="95"/>
    </x:row>
    <x:row r="8">
      <x:c r="A8" s="83"/>
      <x:c r="B8" s="95"/>
      <x:c r="C8" s="95"/>
      <x:c r="D8" s="95"/>
      <x:c r="E8" s="95"/>
      <x:c r="F8" s="95"/>
      <x:c r="G8" s="95"/>
      <x:c r="H8" s="95"/>
    </x:row>
    <x:row r="9" ht="31" customHeight="1">
      <x:c r="A9" s="84" t="str">
        <x:v>Scope</x:v>
      </x:c>
      <x:c r="B9" s="96" t="str">
        <x:v>Assured CDE</x:v>
      </x:c>
      <x:c r="C9" s="96" t="str">
        <x:v>Requirement</x:v>
      </x:c>
      <x:c r="D9" s="96" t="str">
        <x:v>Margin</x:v>
      </x:c>
      <x:c r="E9" s="96" t="str">
        <x:v>Assured people</x:v>
      </x:c>
      <x:c r="F9" s="96" t="str">
        <x:v>Nominal utilization</x:v>
      </x:c>
      <x:c r="G9" s="96" t="str">
        <x:v>Assured utilization</x:v>
      </x:c>
      <x:c r="H9" s="97" t="str">
        <x:v>Finding</x:v>
      </x:c>
    </x:row>
    <x:row r="10" ht="32.400001525878906" hidden="0" customHeight="1">
      <x:c r="A10" s="28" t="str">
        <x:v>Domestic</x:v>
      </x:c>
      <x:c r="B10" s="53" t="n">
        <x:f>G5</x:f>
        <x:v>3707.2968537599995</x:v>
      </x:c>
      <x:c r="C10" s="53" t="n">
        <x:f>H5</x:f>
        <x:v>3000</x:v>
      </x:c>
      <x:c r="D10" s="53" t="n">
        <x:f>B10-C10</x:f>
        <x:v>707.2968537599995</x:v>
      </x:c>
      <x:c r="E10" s="53" t="n">
        <x:f>B10*'Controls'!C12</x:f>
        <x:v>3707296.8537599994</x:v>
      </x:c>
      <x:c r="F10" s="46" t="n">
        <x:f>C10/B5</x:f>
        <x:v>0.4166666666666667</x:v>
      </x:c>
      <x:c r="G10" s="46" t="n">
        <x:f>C10/B10</x:f>
        <x:v>0.8092149397093336</x:v>
      </x:c>
      <x:c r="H10" s="53" t="str">
        <x:f>IF(D10&gt;=0,"CLOSES NUMERIC SCREEN","FAILS")</x:f>
        <x:v>CLOSES NUMERIC SCREEN</x:v>
      </x:c>
    </x:row>
    <x:row r="11" ht="32.400001525878906" hidden="0" customHeight="1">
      <x:c r="A11" s="27" t="str">
        <x:v>Partner</x:v>
      </x:c>
      <x:c r="B11" s="55" t="n">
        <x:f>G6</x:f>
        <x:v>372.82275</x:v>
      </x:c>
      <x:c r="C11" s="55" t="n">
        <x:f>H6</x:f>
        <x:v>360</x:v>
      </x:c>
      <x:c r="D11" s="55" t="n">
        <x:f>B11-C11</x:f>
        <x:v>12.822749999999985</x:v>
      </x:c>
      <x:c r="E11" s="55" t="n">
        <x:f>B11*'Controls'!C12</x:f>
        <x:v>372822.75</x:v>
      </x:c>
      <x:c r="F11" s="47" t="n">
        <x:f>C11/B6</x:f>
        <x:v>0.5</x:v>
      </x:c>
      <x:c r="G11" s="47" t="n">
        <x:f>C11/B11</x:f>
        <x:v>0.9656063102372374</x:v>
      </x:c>
      <x:c r="H11" s="55" t="str">
        <x:f>IF(D11&gt;=0,"CLOSES NUMERIC SCREEN","FAILS")</x:f>
        <x:v>CLOSES NUMERIC SCREEN</x:v>
      </x:c>
    </x:row>
    <x:row r="12">
      <x:c r="A12" s="83"/>
      <x:c r="B12" s="83"/>
      <x:c r="C12" s="83"/>
      <x:c r="D12" s="83"/>
      <x:c r="E12" s="83"/>
      <x:c r="F12" s="83"/>
      <x:c r="G12" s="83"/>
      <x:c r="H12" s="83"/>
    </x:row>
    <x:row r="13" ht="34" customHeight="1">
      <x:c r="A13" s="90" t="str">
        <x:v>The domestic result retains only 707 CDE above the 3,000-CDE reserve-inclusive requirement. National closure does not prove geographic allocation.</x:v>
      </x:c>
      <x:c r="B13" s="90"/>
      <x:c r="C13" s="90"/>
      <x:c r="D13" s="90"/>
      <x:c r="E13" s="90"/>
      <x:c r="F13" s="90"/>
      <x:c r="G13" s="90"/>
      <x:c r="H13" s="90"/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37" hidden="0" customWidth="1"/>
    <x:col min="2" max="2" width="20" hidden="0" customWidth="1"/>
    <x:col min="3" max="3" width="20" hidden="0" customWidth="1"/>
    <x:col min="4" max="4" width="20" hidden="0" customWidth="1"/>
    <x:col min="5" max="5" width="30" hidden="0" customWidth="1"/>
    <x:col min="6" max="6" width="30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</x:cols>
  <x:sheetData>
    <x:row r="1" ht="29" customHeight="1">
      <x:c r="A1" s="81" t="str">
        <x:v>Readiness vector</x:v>
      </x:c>
      <x:c r="B1" s="81"/>
      <x:c r="C1" s="81"/>
      <x:c r="D1" s="81"/>
      <x:c r="E1" s="81"/>
      <x:c r="F1" s="81"/>
      <x:c r="G1" s="81"/>
      <x:c r="H1" s="81"/>
      <x:c r="I1" s="81"/>
      <x:c r="J1" s="81"/>
      <x:c r="K1" s="81"/>
    </x:row>
    <x:row r="2" ht="28" customHeight="1">
      <x:c r="A2" s="82" t="str">
        <x:v>Every site must pass all dimensions. Products below are fleet-planning expectations under an independence assumption.</x:v>
      </x:c>
      <x:c r="B2" s="82"/>
      <x:c r="C2" s="82"/>
      <x:c r="D2" s="82"/>
      <x:c r="E2" s="82"/>
      <x:c r="F2" s="82"/>
      <x:c r="G2" s="82"/>
      <x:c r="H2" s="82"/>
      <x:c r="I2" s="82"/>
      <x:c r="J2" s="82"/>
      <x:c r="K2" s="82"/>
    </x:row>
    <x:row r="3">
      <x:c r="A3" s="83"/>
      <x:c r="B3" s="83"/>
      <x:c r="C3" s="83"/>
      <x:c r="D3" s="83"/>
      <x:c r="E3" s="83"/>
      <x:c r="F3" s="83"/>
      <x:c r="G3" s="83"/>
      <x:c r="H3" s="83"/>
      <x:c r="I3" s="83"/>
      <x:c r="J3" s="83"/>
      <x:c r="K3" s="83"/>
    </x:row>
    <x:row r="4" ht="31" customHeight="1">
      <x:c r="A4" s="84" t="str">
        <x:v>Site class</x:v>
      </x:c>
      <x:c r="B4" s="85" t="str">
        <x:v>Land and access</x:v>
      </x:c>
      <x:c r="C4" s="85" t="str">
        <x:v>Structure and drainage</x:v>
      </x:c>
      <x:c r="D4" s="85" t="str">
        <x:v>Utilities</x:v>
      </x:c>
      <x:c r="E4" s="85" t="str">
        <x:v>Stocks</x:v>
      </x:c>
      <x:c r="F4" s="85" t="str">
        <x:v>People</x:v>
      </x:c>
      <x:c r="G4" s="85" t="str">
        <x:v>Inspection</x:v>
      </x:c>
      <x:c r="H4" s="85" t="str">
        <x:v>Records/data</x:v>
      </x:c>
      <x:c r="I4" s="85" t="str">
        <x:v>Authority</x:v>
      </x:c>
      <x:c r="J4" s="85" t="str">
        <x:v>Fallback</x:v>
      </x:c>
      <x:c r="K4" s="86" t="str">
        <x:v>Event credit</x:v>
      </x:c>
    </x:row>
    <x:row r="5" ht="43.20000076293945" hidden="0" customHeight="1">
      <x:c r="A5" s="28" t="str">
        <x:v>Hardened regional receiver complex</x:v>
      </x:c>
      <x:c r="B5" s="28" t="str">
        <x:v>PASS required</x:v>
      </x:c>
      <x:c r="C5" s="28" t="str">
        <x:v>PASS required</x:v>
      </x:c>
      <x:c r="D5" s="28" t="str">
        <x:v>PASS required</x:v>
      </x:c>
      <x:c r="E5" s="28" t="str">
        <x:v>PASS required</x:v>
      </x:c>
      <x:c r="F5" s="28" t="str">
        <x:v>PASS required</x:v>
      </x:c>
      <x:c r="G5" s="28" t="str">
        <x:v>PASS required</x:v>
      </x:c>
      <x:c r="H5" s="28" t="str">
        <x:v>PASS required</x:v>
      </x:c>
      <x:c r="I5" s="28" t="str">
        <x:v>PASS required</x:v>
      </x:c>
      <x:c r="J5" s="28" t="str">
        <x:v>PASS required</x:v>
      </x:c>
      <x:c r="K5" s="28" t="str">
        <x:v>binary</x:v>
      </x:c>
    </x:row>
    <x:row r="6" ht="21.600000381469727" hidden="0" customHeight="1">
      <x:c r="A6" s="27" t="str">
        <x:v>Distributed prepared site</x:v>
      </x:c>
      <x:c r="B6" s="27" t="str">
        <x:v>PASS required</x:v>
      </x:c>
      <x:c r="C6" s="27" t="str">
        <x:v>PASS required</x:v>
      </x:c>
      <x:c r="D6" s="27" t="str">
        <x:v>PASS required</x:v>
      </x:c>
      <x:c r="E6" s="27" t="str">
        <x:v>PASS required</x:v>
      </x:c>
      <x:c r="F6" s="27" t="str">
        <x:v>PASS required</x:v>
      </x:c>
      <x:c r="G6" s="27" t="str">
        <x:v>PASS required</x:v>
      </x:c>
      <x:c r="H6" s="27" t="str">
        <x:v>PASS required</x:v>
      </x:c>
      <x:c r="I6" s="27" t="str">
        <x:v>PASS required</x:v>
      </x:c>
      <x:c r="J6" s="27" t="str">
        <x:v>PASS required</x:v>
      </x:c>
      <x:c r="K6" s="27" t="str">
        <x:v>binary</x:v>
      </x:c>
    </x:row>
    <x:row r="7" ht="21.600000381469727" hidden="0" customHeight="1">
      <x:c r="A7" s="29" t="str">
        <x:v>Building adapter node</x:v>
      </x:c>
      <x:c r="B7" s="29" t="str">
        <x:v>PASS required</x:v>
      </x:c>
      <x:c r="C7" s="29" t="str">
        <x:v>PASS required</x:v>
      </x:c>
      <x:c r="D7" s="29" t="str">
        <x:v>PASS required</x:v>
      </x:c>
      <x:c r="E7" s="29" t="str">
        <x:v>PASS required</x:v>
      </x:c>
      <x:c r="F7" s="29" t="str">
        <x:v>PASS required</x:v>
      </x:c>
      <x:c r="G7" s="29" t="str">
        <x:v>PASS required</x:v>
      </x:c>
      <x:c r="H7" s="29" t="str">
        <x:v>PASS required</x:v>
      </x:c>
      <x:c r="I7" s="29" t="str">
        <x:v>PASS required</x:v>
      </x:c>
      <x:c r="J7" s="29" t="str">
        <x:v>PASS required</x:v>
      </x:c>
      <x:c r="K7" s="29" t="str">
        <x:v>binary</x:v>
      </x:c>
    </x:row>
    <x:row r="8" ht="32.400001525878906" hidden="0" customHeight="1">
      <x:c r="A8" s="27" t="str">
        <x:v>Partner and territorial receiver</x:v>
      </x:c>
      <x:c r="B8" s="27" t="str">
        <x:v>PASS required</x:v>
      </x:c>
      <x:c r="C8" s="27" t="str">
        <x:v>PASS required</x:v>
      </x:c>
      <x:c r="D8" s="27" t="str">
        <x:v>PASS required</x:v>
      </x:c>
      <x:c r="E8" s="27" t="str">
        <x:v>PASS required</x:v>
      </x:c>
      <x:c r="F8" s="27" t="str">
        <x:v>PASS required</x:v>
      </x:c>
      <x:c r="G8" s="27" t="str">
        <x:v>PASS required</x:v>
      </x:c>
      <x:c r="H8" s="27" t="str">
        <x:v>PASS required</x:v>
      </x:c>
      <x:c r="I8" s="27" t="str">
        <x:v>PASS required</x:v>
      </x:c>
      <x:c r="J8" s="27" t="str">
        <x:v>PASS required</x:v>
      </x:c>
      <x:c r="K8" s="27" t="str">
        <x:v>binary</x:v>
      </x:c>
    </x:row>
    <x:row r="9">
      <x:c r="A9" s="83"/>
      <x:c r="B9" s="83"/>
      <x:c r="C9" s="83"/>
      <x:c r="D9" s="83"/>
      <x:c r="E9" s="83"/>
      <x:c r="F9" s="83"/>
      <x:c r="G9" s="83"/>
      <x:c r="H9" s="83"/>
      <x:c r="I9" s="83"/>
      <x:c r="J9" s="83"/>
      <x:c r="K9" s="83"/>
    </x:row>
    <x:row r="10" ht="23" customHeight="1">
      <x:c r="A10" s="87" t="str">
        <x:v>Planning factors</x:v>
      </x:c>
      <x:c r="B10" s="87"/>
      <x:c r="C10" s="87"/>
      <x:c r="D10" s="87"/>
      <x:c r="E10" s="87"/>
      <x:c r="F10" s="87"/>
      <x:c r="G10" s="87"/>
      <x:c r="H10" s="87"/>
      <x:c r="I10" s="87"/>
      <x:c r="J10" s="87"/>
      <x:c r="K10" s="87"/>
    </x:row>
    <x:row r="11" ht="31" customHeight="1">
      <x:c r="A11" s="84" t="str">
        <x:v>Class</x:v>
      </x:c>
      <x:c r="B11" s="85" t="str">
        <x:v>Minimum single factor</x:v>
      </x:c>
      <x:c r="C11" s="85" t="str">
        <x:v>Multiplicative factor</x:v>
      </x:c>
      <x:c r="D11" s="85" t="str">
        <x:v>Difference</x:v>
      </x:c>
      <x:c r="E11" s="85" t="str">
        <x:v>Use</x:v>
      </x:c>
      <x:c r="F11" s="86" t="str">
        <x:v>Invalid inference</x:v>
      </x:c>
      <x:c r="G11" s="83"/>
      <x:c r="H11" s="83"/>
      <x:c r="I11" s="83"/>
      <x:c r="J11" s="83"/>
      <x:c r="K11" s="83"/>
    </x:row>
    <x:row r="12" ht="21.600000381469727" hidden="0" customHeight="1">
      <x:c r="A12" s="26" t="str">
        <x:v>RRC</x:v>
      </x:c>
      <x:c r="B12" s="61" t="n">
        <x:f>MIN('Site Classes'!H5:K5)</x:f>
        <x:v>0.93</x:v>
      </x:c>
      <x:c r="C12" s="61" t="n">
        <x:f>'Site Classes'!L5</x:f>
        <x:v>0.82244736</x:v>
      </x:c>
      <x:c r="D12" s="61" t="n">
        <x:f>B12-C12</x:f>
        <x:v>0.10755264000000009</x:v>
      </x:c>
      <x:c r="E12" s="26" t="str">
        <x:v>constraint warning</x:v>
      </x:c>
      <x:c r="F12" s="26" t="str">
        <x:v>not partial service credit</x:v>
      </x:c>
      <x:c r="G12" s="83"/>
      <x:c r="H12" s="83"/>
      <x:c r="I12" s="83"/>
      <x:c r="J12" s="83"/>
      <x:c r="K12" s="83"/>
    </x:row>
    <x:row r="13" ht="21.600000381469727" hidden="0" customHeight="1">
      <x:c r="A13" s="27" t="str">
        <x:v>DPS</x:v>
      </x:c>
      <x:c r="B13" s="47" t="n">
        <x:f>MIN('Site Classes'!H6:K6)</x:f>
        <x:v>0.88</x:v>
      </x:c>
      <x:c r="C13" s="47" t="n">
        <x:f>'Site Classes'!L6</x:f>
        <x:v>0.7070976000000001</x:v>
      </x:c>
      <x:c r="D13" s="47" t="n">
        <x:f>B13-C13</x:f>
        <x:v>0.1729023999999999</x:v>
      </x:c>
      <x:c r="E13" s="27" t="str">
        <x:v>constraint warning</x:v>
      </x:c>
      <x:c r="F13" s="27" t="str">
        <x:v>not partial service credit</x:v>
      </x:c>
      <x:c r="G13" s="83"/>
      <x:c r="H13" s="83"/>
      <x:c r="I13" s="83"/>
      <x:c r="J13" s="83"/>
      <x:c r="K13" s="83"/>
    </x:row>
    <x:row r="14" ht="21.600000381469727" hidden="0" customHeight="1">
      <x:c r="A14" s="27" t="str">
        <x:v>BAN</x:v>
      </x:c>
      <x:c r="B14" s="47" t="n">
        <x:f>MIN('Site Classes'!H7:K7)</x:f>
        <x:v>0.78</x:v>
      </x:c>
      <x:c r="C14" s="47" t="n">
        <x:f>'Site Classes'!L7</x:f>
        <x:v>0.4773600000000001</x:v>
      </x:c>
      <x:c r="D14" s="47" t="n">
        <x:f>B14-C14</x:f>
        <x:v>0.3026399999999999</x:v>
      </x:c>
      <x:c r="E14" s="27" t="str">
        <x:v>constraint warning</x:v>
      </x:c>
      <x:c r="F14" s="27" t="str">
        <x:v>not partial service credit</x:v>
      </x:c>
      <x:c r="G14" s="83"/>
      <x:c r="H14" s="83"/>
      <x:c r="I14" s="83"/>
      <x:c r="J14" s="83"/>
      <x:c r="K14" s="83"/>
    </x:row>
    <x:row r="15" ht="21.600000381469727" hidden="0" customHeight="1">
      <x:c r="A15" s="27" t="str">
        <x:v>PTR</x:v>
      </x:c>
      <x:c r="B15" s="47" t="n">
        <x:f>MIN('Site Classes'!H8:K8)</x:f>
        <x:v>0.85</x:v>
      </x:c>
      <x:c r="C15" s="47" t="n">
        <x:f>'Site Classes'!L8</x:f>
        <x:v>0.654075</x:v>
      </x:c>
      <x:c r="D15" s="47" t="n">
        <x:f>B15-C15</x:f>
        <x:v>0.19592500000000002</x:v>
      </x:c>
      <x:c r="E15" s="27" t="str">
        <x:v>constraint warning</x:v>
      </x:c>
      <x:c r="F15" s="27" t="str">
        <x:v>not partial service credit</x:v>
      </x:c>
      <x:c r="G15" s="83"/>
      <x:c r="H15" s="83"/>
      <x:c r="I15" s="83"/>
      <x:c r="J15" s="83"/>
      <x:c r="K15" s="83"/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4" hidden="0" customWidth="1"/>
    <x:col min="2" max="2" width="14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38" hidden="0" customWidth="1"/>
    <x:col min="10" max="10" width="38" hidden="0" customWidth="1"/>
  </x:cols>
  <x:sheetData>
    <x:row r="1" ht="29" customHeight="1">
      <x:c r="A1" s="81" t="str">
        <x:v>Independent readiness cells</x:v>
      </x:c>
      <x:c r="B1" s="81"/>
      <x:c r="C1" s="81"/>
      <x:c r="D1" s="81"/>
      <x:c r="E1" s="81"/>
      <x:c r="F1" s="81"/>
      <x:c r="G1" s="81"/>
      <x:c r="H1" s="81"/>
      <x:c r="I1" s="81"/>
      <x:c r="J1" s="81"/>
    </x:row>
    <x:row r="2" ht="28" customHeight="1">
      <x:c r="A2" s="82" t="str">
        <x:v>Cells are ownership, supplier, software, depot and command portfolios spread across all receiving regions.</x:v>
      </x:c>
      <x:c r="B2" s="82"/>
      <x:c r="C2" s="82"/>
      <x:c r="D2" s="82"/>
      <x:c r="E2" s="82"/>
      <x:c r="F2" s="82"/>
      <x:c r="G2" s="82"/>
      <x:c r="H2" s="82"/>
      <x:c r="I2" s="82"/>
      <x:c r="J2" s="82"/>
    </x:row>
    <x:row r="3">
      <x:c r="A3" s="83"/>
      <x:c r="B3" s="83"/>
      <x:c r="C3" s="83"/>
      <x:c r="D3" s="83"/>
      <x:c r="E3" s="83"/>
      <x:c r="F3" s="83"/>
      <x:c r="G3" s="83"/>
      <x:c r="H3" s="83"/>
      <x:c r="I3" s="83"/>
      <x:c r="J3" s="83"/>
    </x:row>
    <x:row r="4" ht="31" customHeight="1">
      <x:c r="A4" s="84" t="str">
        <x:v>Cell</x:v>
      </x:c>
      <x:c r="B4" s="85" t="str">
        <x:v>Scope</x:v>
      </x:c>
      <x:c r="C4" s="85" t="str">
        <x:v>RRC</x:v>
      </x:c>
      <x:c r="D4" s="85" t="str">
        <x:v>DPS</x:v>
      </x:c>
      <x:c r="E4" s="85" t="str">
        <x:v>BAN/PTR</x:v>
      </x:c>
      <x:c r="F4" s="85" t="str">
        <x:v>Nominal CDE</x:v>
      </x:c>
      <x:c r="G4" s="85" t="str">
        <x:v>Effective CDE</x:v>
      </x:c>
      <x:c r="H4" s="85" t="str">
        <x:v>Regions served</x:v>
      </x:c>
      <x:c r="I4" s="85" t="str">
        <x:v>Primary implementation</x:v>
      </x:c>
      <x:c r="J4" s="86" t="str">
        <x:v>Dependency rule</x:v>
      </x:c>
    </x:row>
    <x:row r="5" ht="43.20000076293945" hidden="0" customHeight="1">
      <x:c r="A5" s="28" t="str">
        <x:v>D1</x:v>
      </x:c>
      <x:c r="B5" s="28" t="str">
        <x:v>Domestic</x:v>
      </x:c>
      <x:c r="C5" s="53" t="n">
        <x:v>6</x:v>
      </x:c>
      <x:c r="D5" s="53" t="n">
        <x:v>24</x:v>
      </x:c>
      <x:c r="E5" s="53" t="n">
        <x:v>180</x:v>
      </x:c>
      <x:c r="F5" s="53" t="n">
        <x:f>C5*'Site Classes'!E5+D5*'Site Classes'!E6+E5*'Site Classes'!E7</x:f>
        <x:v>900</x:v>
      </x:c>
      <x:c r="G5" s="53" t="n">
        <x:f>C5*'Site Classes'!E5*'Site Classes'!L5+D5*'Site Classes'!E6*'Site Classes'!L6+E5*'Site Classes'!E7*'Site Classes'!L7</x:f>
        <x:v>650.4029568</x:v>
      </x:c>
      <x:c r="H5" s="53" t="n">
        <x:v>16</x:v>
      </x:c>
      <x:c r="I5" s="28" t="str">
        <x:v>Prime family A</x:v>
      </x:c>
      <x:c r="J5" s="28" t="str">
        <x:v>no shared depot/control/supplier majority</x:v>
      </x:c>
    </x:row>
    <x:row r="6" ht="43.20000076293945" hidden="0" customHeight="1">
      <x:c r="A6" s="27" t="str">
        <x:v>D2</x:v>
      </x:c>
      <x:c r="B6" s="27" t="str">
        <x:v>Domestic</x:v>
      </x:c>
      <x:c r="C6" s="55" t="n">
        <x:v>6</x:v>
      </x:c>
      <x:c r="D6" s="55" t="n">
        <x:v>24</x:v>
      </x:c>
      <x:c r="E6" s="55" t="n">
        <x:v>180</x:v>
      </x:c>
      <x:c r="F6" s="55" t="n">
        <x:f>C6*'Site Classes'!E5+D6*'Site Classes'!E6+E6*'Site Classes'!E7</x:f>
        <x:v>900</x:v>
      </x:c>
      <x:c r="G6" s="55" t="n">
        <x:f>C6*'Site Classes'!E5*'Site Classes'!L5+D6*'Site Classes'!E6*'Site Classes'!L6+E6*'Site Classes'!E7*'Site Classes'!L7</x:f>
        <x:v>650.4029568</x:v>
      </x:c>
      <x:c r="H6" s="55" t="n">
        <x:v>16</x:v>
      </x:c>
      <x:c r="I6" s="27" t="str">
        <x:v>Prime family B</x:v>
      </x:c>
      <x:c r="J6" s="27" t="str">
        <x:v>no shared depot/control/supplier majority</x:v>
      </x:c>
    </x:row>
    <x:row r="7" ht="43.20000076293945" hidden="0" customHeight="1">
      <x:c r="A7" s="29" t="str">
        <x:v>D3</x:v>
      </x:c>
      <x:c r="B7" s="29" t="str">
        <x:v>Domestic</x:v>
      </x:c>
      <x:c r="C7" s="57" t="n">
        <x:v>6</x:v>
      </x:c>
      <x:c r="D7" s="57" t="n">
        <x:v>24</x:v>
      </x:c>
      <x:c r="E7" s="57" t="n">
        <x:v>180</x:v>
      </x:c>
      <x:c r="F7" s="57" t="n">
        <x:f>C7*'Site Classes'!E5+D7*'Site Classes'!E6+E7*'Site Classes'!E7</x:f>
        <x:v>900</x:v>
      </x:c>
      <x:c r="G7" s="57" t="n">
        <x:f>C7*'Site Classes'!E5*'Site Classes'!L5+D7*'Site Classes'!E6*'Site Classes'!L6+E7*'Site Classes'!E7*'Site Classes'!L7</x:f>
        <x:v>650.4029568</x:v>
      </x:c>
      <x:c r="H7" s="57" t="n">
        <x:v>16</x:v>
      </x:c>
      <x:c r="I7" s="29" t="str">
        <x:v>Prime family C</x:v>
      </x:c>
      <x:c r="J7" s="29" t="str">
        <x:v>no shared depot/control/supplier majority</x:v>
      </x:c>
    </x:row>
    <x:row r="8" ht="43.20000076293945" hidden="0" customHeight="1">
      <x:c r="A8" s="27" t="str">
        <x:v>D4</x:v>
      </x:c>
      <x:c r="B8" s="27" t="str">
        <x:v>Domestic</x:v>
      </x:c>
      <x:c r="C8" s="55" t="n">
        <x:v>6</x:v>
      </x:c>
      <x:c r="D8" s="55" t="n">
        <x:v>24</x:v>
      </x:c>
      <x:c r="E8" s="55" t="n">
        <x:v>180</x:v>
      </x:c>
      <x:c r="F8" s="55" t="n">
        <x:f>C8*'Site Classes'!E5+D8*'Site Classes'!E6+E8*'Site Classes'!E7</x:f>
        <x:v>900</x:v>
      </x:c>
      <x:c r="G8" s="55" t="n">
        <x:f>C8*'Site Classes'!E5*'Site Classes'!L5+D8*'Site Classes'!E6*'Site Classes'!L6+E8*'Site Classes'!E7*'Site Classes'!L7</x:f>
        <x:v>650.4029568</x:v>
      </x:c>
      <x:c r="H8" s="55" t="n">
        <x:v>16</x:v>
      </x:c>
      <x:c r="I8" s="27" t="str">
        <x:v>Prime family D</x:v>
      </x:c>
      <x:c r="J8" s="27" t="str">
        <x:v>no shared depot/control/supplier majority</x:v>
      </x:c>
    </x:row>
    <x:row r="9" ht="43.20000076293945" hidden="0" customHeight="1">
      <x:c r="A9" s="29" t="str">
        <x:v>D5</x:v>
      </x:c>
      <x:c r="B9" s="29" t="str">
        <x:v>Domestic</x:v>
      </x:c>
      <x:c r="C9" s="57" t="n">
        <x:v>6</x:v>
      </x:c>
      <x:c r="D9" s="57" t="n">
        <x:v>24</x:v>
      </x:c>
      <x:c r="E9" s="57" t="n">
        <x:v>180</x:v>
      </x:c>
      <x:c r="F9" s="57" t="n">
        <x:f>C9*'Site Classes'!E5+D9*'Site Classes'!E6+E9*'Site Classes'!E7</x:f>
        <x:v>900</x:v>
      </x:c>
      <x:c r="G9" s="57" t="n">
        <x:f>C9*'Site Classes'!E5*'Site Classes'!L5+D9*'Site Classes'!E6*'Site Classes'!L6+E9*'Site Classes'!E7*'Site Classes'!L7</x:f>
        <x:v>650.4029568</x:v>
      </x:c>
      <x:c r="H9" s="57" t="n">
        <x:v>16</x:v>
      </x:c>
      <x:c r="I9" s="29" t="str">
        <x:v>Prime family E</x:v>
      </x:c>
      <x:c r="J9" s="29" t="str">
        <x:v>no shared depot/control/supplier majority</x:v>
      </x:c>
    </x:row>
    <x:row r="10" ht="43.20000076293945" hidden="0" customHeight="1">
      <x:c r="A10" s="27" t="str">
        <x:v>D6</x:v>
      </x:c>
      <x:c r="B10" s="27" t="str">
        <x:v>Domestic</x:v>
      </x:c>
      <x:c r="C10" s="55" t="n">
        <x:v>6</x:v>
      </x:c>
      <x:c r="D10" s="55" t="n">
        <x:v>24</x:v>
      </x:c>
      <x:c r="E10" s="55" t="n">
        <x:v>180</x:v>
      </x:c>
      <x:c r="F10" s="55" t="n">
        <x:f>C10*'Site Classes'!E5+D10*'Site Classes'!E6+E10*'Site Classes'!E7</x:f>
        <x:v>900</x:v>
      </x:c>
      <x:c r="G10" s="55" t="n">
        <x:f>C10*'Site Classes'!E5*'Site Classes'!L5+D10*'Site Classes'!E6*'Site Classes'!L6+E10*'Site Classes'!E7*'Site Classes'!L7</x:f>
        <x:v>650.4029568</x:v>
      </x:c>
      <x:c r="H10" s="55" t="n">
        <x:v>16</x:v>
      </x:c>
      <x:c r="I10" s="27" t="str">
        <x:v>Prime family F</x:v>
      </x:c>
      <x:c r="J10" s="27" t="str">
        <x:v>no shared depot/control/supplier majority</x:v>
      </x:c>
    </x:row>
    <x:row r="11" ht="43.20000076293945" hidden="0" customHeight="1">
      <x:c r="A11" s="29" t="str">
        <x:v>D7</x:v>
      </x:c>
      <x:c r="B11" s="29" t="str">
        <x:v>Domestic</x:v>
      </x:c>
      <x:c r="C11" s="57" t="n">
        <x:v>6</x:v>
      </x:c>
      <x:c r="D11" s="57" t="n">
        <x:v>24</x:v>
      </x:c>
      <x:c r="E11" s="57" t="n">
        <x:v>180</x:v>
      </x:c>
      <x:c r="F11" s="57" t="n">
        <x:f>C11*'Site Classes'!E5+D11*'Site Classes'!E6+E11*'Site Classes'!E7</x:f>
        <x:v>900</x:v>
      </x:c>
      <x:c r="G11" s="57" t="n">
        <x:f>C11*'Site Classes'!E5*'Site Classes'!L5+D11*'Site Classes'!E6*'Site Classes'!L6+E11*'Site Classes'!E7*'Site Classes'!L7</x:f>
        <x:v>650.4029568</x:v>
      </x:c>
      <x:c r="H11" s="57" t="n">
        <x:v>16</x:v>
      </x:c>
      <x:c r="I11" s="29" t="str">
        <x:v>Prime family G</x:v>
      </x:c>
      <x:c r="J11" s="29" t="str">
        <x:v>no shared depot/control/supplier majority</x:v>
      </x:c>
    </x:row>
    <x:row r="12" ht="43.20000076293945" hidden="0" customHeight="1">
      <x:c r="A12" s="27" t="str">
        <x:v>D8</x:v>
      </x:c>
      <x:c r="B12" s="27" t="str">
        <x:v>Domestic</x:v>
      </x:c>
      <x:c r="C12" s="55" t="n">
        <x:v>6</x:v>
      </x:c>
      <x:c r="D12" s="55" t="n">
        <x:v>24</x:v>
      </x:c>
      <x:c r="E12" s="55" t="n">
        <x:v>180</x:v>
      </x:c>
      <x:c r="F12" s="55" t="n">
        <x:f>C12*'Site Classes'!E5+D12*'Site Classes'!E6+E12*'Site Classes'!E7</x:f>
        <x:v>900</x:v>
      </x:c>
      <x:c r="G12" s="55" t="n">
        <x:f>C12*'Site Classes'!E5*'Site Classes'!L5+D12*'Site Classes'!E6*'Site Classes'!L6+E12*'Site Classes'!E7*'Site Classes'!L7</x:f>
        <x:v>650.4029568</x:v>
      </x:c>
      <x:c r="H12" s="55" t="n">
        <x:v>16</x:v>
      </x:c>
      <x:c r="I12" s="27" t="str">
        <x:v>Prime family H</x:v>
      </x:c>
      <x:c r="J12" s="27" t="str">
        <x:v>no shared depot/control/supplier majority</x:v>
      </x:c>
    </x:row>
    <x:row r="13" ht="43.20000076293945" hidden="0" customHeight="1">
      <x:c r="A13" s="29" t="str">
        <x:v>P1</x:v>
      </x:c>
      <x:c r="B13" s="29" t="str">
        <x:v>Partner</x:v>
      </x:c>
      <x:c r="C13" s="57" t="n">
        <x:v>0</x:v>
      </x:c>
      <x:c r="D13" s="57" t="n">
        <x:v>0</x:v>
      </x:c>
      <x:c r="E13" s="57" t="n">
        <x:v>24</x:v>
      </x:c>
      <x:c r="F13" s="57" t="n">
        <x:f>E13*'Site Classes'!E8</x:f>
        <x:v>120</x:v>
      </x:c>
      <x:c r="G13" s="57" t="n">
        <x:f>F13*'Site Classes'!L8</x:f>
        <x:v>78.48899999999999</x:v>
      </x:c>
      <x:c r="H13" s="57" t="n">
        <x:v>12</x:v>
      </x:c>
      <x:c r="I13" s="29" t="str">
        <x:v>Partner family 1</x:v>
      </x:c>
      <x:c r="J13" s="29" t="str">
        <x:v>distinct host and alternate movement path</x:v>
      </x:c>
    </x:row>
    <x:row r="14" ht="43.20000076293945" hidden="0" customHeight="1">
      <x:c r="A14" s="27" t="str">
        <x:v>P2</x:v>
      </x:c>
      <x:c r="B14" s="27" t="str">
        <x:v>Partner</x:v>
      </x:c>
      <x:c r="C14" s="55" t="n">
        <x:v>0</x:v>
      </x:c>
      <x:c r="D14" s="55" t="n">
        <x:v>0</x:v>
      </x:c>
      <x:c r="E14" s="55" t="n">
        <x:v>24</x:v>
      </x:c>
      <x:c r="F14" s="55" t="n">
        <x:f>E14*'Site Classes'!E8</x:f>
        <x:v>120</x:v>
      </x:c>
      <x:c r="G14" s="55" t="n">
        <x:f>F14*'Site Classes'!L8</x:f>
        <x:v>78.48899999999999</x:v>
      </x:c>
      <x:c r="H14" s="55" t="n">
        <x:v>12</x:v>
      </x:c>
      <x:c r="I14" s="27" t="str">
        <x:v>Partner family 2</x:v>
      </x:c>
      <x:c r="J14" s="27" t="str">
        <x:v>distinct host and alternate movement path</x:v>
      </x:c>
    </x:row>
    <x:row r="15" ht="43.20000076293945" hidden="0" customHeight="1">
      <x:c r="A15" s="29" t="str">
        <x:v>P3</x:v>
      </x:c>
      <x:c r="B15" s="29" t="str">
        <x:v>Partner</x:v>
      </x:c>
      <x:c r="C15" s="57" t="n">
        <x:v>0</x:v>
      </x:c>
      <x:c r="D15" s="57" t="n">
        <x:v>0</x:v>
      </x:c>
      <x:c r="E15" s="57" t="n">
        <x:v>24</x:v>
      </x:c>
      <x:c r="F15" s="57" t="n">
        <x:f>E15*'Site Classes'!E8</x:f>
        <x:v>120</x:v>
      </x:c>
      <x:c r="G15" s="57" t="n">
        <x:f>F15*'Site Classes'!L8</x:f>
        <x:v>78.48899999999999</x:v>
      </x:c>
      <x:c r="H15" s="57" t="n">
        <x:v>12</x:v>
      </x:c>
      <x:c r="I15" s="29" t="str">
        <x:v>Partner family 3</x:v>
      </x:c>
      <x:c r="J15" s="29" t="str">
        <x:v>distinct host and alternate movement path</x:v>
      </x:c>
    </x:row>
    <x:row r="16" ht="43.20000076293945" hidden="0" customHeight="1">
      <x:c r="A16" s="27" t="str">
        <x:v>P4</x:v>
      </x:c>
      <x:c r="B16" s="27" t="str">
        <x:v>Partner</x:v>
      </x:c>
      <x:c r="C16" s="55" t="n">
        <x:v>0</x:v>
      </x:c>
      <x:c r="D16" s="55" t="n">
        <x:v>0</x:v>
      </x:c>
      <x:c r="E16" s="55" t="n">
        <x:v>24</x:v>
      </x:c>
      <x:c r="F16" s="55" t="n">
        <x:f>E16*'Site Classes'!E8</x:f>
        <x:v>120</x:v>
      </x:c>
      <x:c r="G16" s="55" t="n">
        <x:f>F16*'Site Classes'!L8</x:f>
        <x:v>78.48899999999999</x:v>
      </x:c>
      <x:c r="H16" s="55" t="n">
        <x:v>12</x:v>
      </x:c>
      <x:c r="I16" s="27" t="str">
        <x:v>Partner family 4</x:v>
      </x:c>
      <x:c r="J16" s="27" t="str">
        <x:v>distinct host and alternate movement path</x:v>
      </x:c>
    </x:row>
    <x:row r="17" ht="43.20000076293945" hidden="0" customHeight="1">
      <x:c r="A17" s="29" t="str">
        <x:v>P5</x:v>
      </x:c>
      <x:c r="B17" s="29" t="str">
        <x:v>Partner</x:v>
      </x:c>
      <x:c r="C17" s="57" t="n">
        <x:v>0</x:v>
      </x:c>
      <x:c r="D17" s="57" t="n">
        <x:v>0</x:v>
      </x:c>
      <x:c r="E17" s="57" t="n">
        <x:v>24</x:v>
      </x:c>
      <x:c r="F17" s="57" t="n">
        <x:f>E17*'Site Classes'!E8</x:f>
        <x:v>120</x:v>
      </x:c>
      <x:c r="G17" s="57" t="n">
        <x:f>F17*'Site Classes'!L8</x:f>
        <x:v>78.48899999999999</x:v>
      </x:c>
      <x:c r="H17" s="57" t="n">
        <x:v>12</x:v>
      </x:c>
      <x:c r="I17" s="29" t="str">
        <x:v>Partner family 5</x:v>
      </x:c>
      <x:c r="J17" s="29" t="str">
        <x:v>distinct host and alternate movement path</x:v>
      </x:c>
    </x:row>
    <x:row r="18" ht="43.20000076293945" hidden="0" customHeight="1">
      <x:c r="A18" s="27" t="str">
        <x:v>P6</x:v>
      </x:c>
      <x:c r="B18" s="27" t="str">
        <x:v>Partner</x:v>
      </x:c>
      <x:c r="C18" s="55" t="n">
        <x:v>0</x:v>
      </x:c>
      <x:c r="D18" s="55" t="n">
        <x:v>0</x:v>
      </x:c>
      <x:c r="E18" s="55" t="n">
        <x:v>24</x:v>
      </x:c>
      <x:c r="F18" s="55" t="n">
        <x:f>E18*'Site Classes'!E8</x:f>
        <x:v>120</x:v>
      </x:c>
      <x:c r="G18" s="55" t="n">
        <x:f>F18*'Site Classes'!L8</x:f>
        <x:v>78.48899999999999</x:v>
      </x:c>
      <x:c r="H18" s="55" t="n">
        <x:v>12</x:v>
      </x:c>
      <x:c r="I18" s="27" t="str">
        <x:v>Partner family 6</x:v>
      </x:c>
      <x:c r="J18" s="27" t="str">
        <x:v>distinct host and alternate movement path</x:v>
      </x:c>
    </x:row>
    <x:row r="19">
      <x:c r="A19" s="83"/>
      <x:c r="B19" s="83"/>
      <x:c r="C19" s="83"/>
      <x:c r="D19" s="83"/>
      <x:c r="E19" s="83"/>
      <x:c r="F19" s="83"/>
      <x:c r="G19" s="83"/>
      <x:c r="H19" s="83"/>
      <x:c r="I19" s="83"/>
      <x:c r="J19" s="83"/>
    </x:row>
    <x:row r="20" ht="23" customHeight="1">
      <x:c r="A20" s="87" t="str">
        <x:v>Domestic cell-loss ladder</x:v>
      </x:c>
      <x:c r="B20" s="87"/>
      <x:c r="C20" s="87"/>
      <x:c r="D20" s="87"/>
      <x:c r="E20" s="87"/>
      <x:c r="F20" s="87"/>
      <x:c r="G20" s="87"/>
      <x:c r="H20" s="87"/>
      <x:c r="I20" s="87"/>
      <x:c r="J20" s="87"/>
    </x:row>
    <x:row r="21" ht="31" customHeight="1">
      <x:c r="A21" s="84" t="str">
        <x:v>Lost cells</x:v>
      </x:c>
      <x:c r="B21" s="85" t="str">
        <x:v>Surviving cells</x:v>
      </x:c>
      <x:c r="C21" s="85" t="str">
        <x:v>Before common mode CDE</x:v>
      </x:c>
      <x:c r="D21" s="85" t="str">
        <x:v>After common mode CDE</x:v>
      </x:c>
      <x:c r="E21" s="85" t="str">
        <x:v>Requirement</x:v>
      </x:c>
      <x:c r="F21" s="85" t="str">
        <x:v>Margin</x:v>
      </x:c>
      <x:c r="G21" s="86" t="str">
        <x:v>Finding</x:v>
      </x:c>
      <x:c r="H21" s="83"/>
      <x:c r="I21" s="83"/>
      <x:c r="J21" s="83"/>
    </x:row>
    <x:row r="22" ht="15" hidden="0" customHeight="1">
      <x:c r="A22" s="62" t="n">
        <x:v>0</x:v>
      </x:c>
      <x:c r="B22" s="62" t="n">
        <x:f>'Controls'!C13-A22</x:f>
        <x:v>8</x:v>
      </x:c>
      <x:c r="C22" s="62" t="n">
        <x:f>B22*G5</x:f>
        <x:v>5203.2236544</x:v>
      </x:c>
      <x:c r="D22" s="62" t="n">
        <x:f>C22*(1-'Controls'!C17)</x:f>
        <x:v>4943.062471679999</x:v>
      </x:c>
      <x:c r="E22" s="62" t="n">
        <x:f>'Service Contract'!B11</x:f>
        <x:v>3000</x:v>
      </x:c>
      <x:c r="F22" s="62" t="n">
        <x:f>D22-E22</x:f>
        <x:v>1943.0624716799994</x:v>
      </x:c>
      <x:c r="G22" s="26" t="str">
        <x:f>IF(F22&gt;=0,"CLOSES","FAILS")</x:f>
        <x:v>CLOSES</x:v>
      </x:c>
      <x:c r="H22" s="83"/>
      <x:c r="I22" s="83"/>
      <x:c r="J22" s="83"/>
    </x:row>
    <x:row r="23" ht="15" hidden="0" customHeight="1">
      <x:c r="A23" s="55" t="n">
        <x:v>1</x:v>
      </x:c>
      <x:c r="B23" s="55" t="n">
        <x:f>'Controls'!C13-A23</x:f>
        <x:v>7</x:v>
      </x:c>
      <x:c r="C23" s="55" t="n">
        <x:f>B23*G5</x:f>
        <x:v>4552.8206976</x:v>
      </x:c>
      <x:c r="D23" s="55" t="n">
        <x:f>C23*(1-'Controls'!C17)</x:f>
        <x:v>4325.17966272</x:v>
      </x:c>
      <x:c r="E23" s="55" t="n">
        <x:f>'Service Contract'!B11</x:f>
        <x:v>3000</x:v>
      </x:c>
      <x:c r="F23" s="55" t="n">
        <x:f>D23-E23</x:f>
        <x:v>1325.1796627200001</x:v>
      </x:c>
      <x:c r="G23" s="27" t="str">
        <x:f>IF(F23&gt;=0,"CLOSES","FAILS")</x:f>
        <x:v>CLOSES</x:v>
      </x:c>
      <x:c r="H23" s="83"/>
      <x:c r="I23" s="83"/>
      <x:c r="J23" s="83"/>
    </x:row>
    <x:row r="24" ht="15" hidden="0" customHeight="1">
      <x:c r="A24" s="55" t="n">
        <x:v>2</x:v>
      </x:c>
      <x:c r="B24" s="55" t="n">
        <x:f>'Controls'!C13-A24</x:f>
        <x:v>6</x:v>
      </x:c>
      <x:c r="C24" s="55" t="n">
        <x:f>B24*G5</x:f>
        <x:v>3902.4177407999996</x:v>
      </x:c>
      <x:c r="D24" s="55" t="n">
        <x:f>C24*(1-'Controls'!C17)</x:f>
        <x:v>3707.2968537599995</x:v>
      </x:c>
      <x:c r="E24" s="55" t="n">
        <x:f>'Service Contract'!B11</x:f>
        <x:v>3000</x:v>
      </x:c>
      <x:c r="F24" s="55" t="n">
        <x:f>D24-E24</x:f>
        <x:v>707.2968537599995</x:v>
      </x:c>
      <x:c r="G24" s="27" t="str">
        <x:f>IF(F24&gt;=0,"CLOSES","FAILS")</x:f>
        <x:v>CLOSES</x:v>
      </x:c>
      <x:c r="H24" s="83"/>
      <x:c r="I24" s="83"/>
      <x:c r="J24" s="83"/>
    </x:row>
    <x:row r="25" ht="15" hidden="0" customHeight="1">
      <x:c r="A25" s="55" t="n">
        <x:v>3</x:v>
      </x:c>
      <x:c r="B25" s="55" t="n">
        <x:f>'Controls'!C13-A25</x:f>
        <x:v>5</x:v>
      </x:c>
      <x:c r="C25" s="55" t="n">
        <x:f>B25*G5</x:f>
        <x:v>3252.014784</x:v>
      </x:c>
      <x:c r="D25" s="55" t="n">
        <x:f>C25*(1-'Controls'!C17)</x:f>
        <x:v>3089.4140448</x:v>
      </x:c>
      <x:c r="E25" s="55" t="n">
        <x:f>'Service Contract'!B11</x:f>
        <x:v>3000</x:v>
      </x:c>
      <x:c r="F25" s="55" t="n">
        <x:f>D25-E25</x:f>
        <x:v>89.41404479999983</x:v>
      </x:c>
      <x:c r="G25" s="27" t="str">
        <x:f>IF(F25&gt;=0,"CLOSES","FAILS")</x:f>
        <x:v>CLOSES</x:v>
      </x:c>
      <x:c r="H25" s="83"/>
      <x:c r="I25" s="83"/>
      <x:c r="J25" s="83"/>
    </x:row>
    <x:row r="26" ht="15" hidden="0" customHeight="1">
      <x:c r="A26" s="55" t="n">
        <x:v>4</x:v>
      </x:c>
      <x:c r="B26" s="55" t="n">
        <x:f>'Controls'!C13-A26</x:f>
        <x:v>4</x:v>
      </x:c>
      <x:c r="C26" s="55" t="n">
        <x:f>B26*G5</x:f>
        <x:v>2601.6118272</x:v>
      </x:c>
      <x:c r="D26" s="55" t="n">
        <x:f>C26*(1-'Controls'!C17)</x:f>
        <x:v>2471.5312358399997</x:v>
      </x:c>
      <x:c r="E26" s="55" t="n">
        <x:f>'Service Contract'!B11</x:f>
        <x:v>3000</x:v>
      </x:c>
      <x:c r="F26" s="55" t="n">
        <x:f>D26-E26</x:f>
        <x:v>-528.4687641600003</x:v>
      </x:c>
      <x:c r="G26" s="27" t="str">
        <x:f>IF(F26&gt;=0,"CLOSES","FAILS")</x:f>
        <x:v>FAILS</x:v>
      </x:c>
      <x:c r="H26" s="83"/>
      <x:c r="I26" s="83"/>
      <x:c r="J26" s="83"/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4" hidden="0" customWidth="1"/>
    <x:col min="2" max="2" width="46" hidden="0" customWidth="1"/>
    <x:col min="3" max="3" width="46" hidden="0" customWidth="1"/>
    <x:col min="4" max="4" width="46" hidden="0" customWidth="1"/>
    <x:col min="5" max="5" width="22" hidden="0" customWidth="1"/>
    <x:col min="6" max="6" width="28" hidden="0" customWidth="1"/>
  </x:cols>
  <x:sheetData>
    <x:row r="1" ht="29" customHeight="1">
      <x:c r="A1" s="81" t="str">
        <x:v>Common-mode tolerance</x:v>
      </x:c>
      <x:c r="B1" s="81"/>
      <x:c r="C1" s="81"/>
      <x:c r="D1" s="81"/>
      <x:c r="E1" s="81"/>
      <x:c r="F1" s="81"/>
      <x:c r="G1" s="81"/>
      <x:c r="H1" s="81"/>
      <x:c r="I1" s="81"/>
    </x:row>
    <x:row r="2" ht="28" customHeight="1">
      <x:c r="A2" s="82" t="str">
        <x:v>The selected inventory survives N-2 only while system-wide losses stay below a calculable threshold.</x:v>
      </x:c>
      <x:c r="B2" s="82"/>
      <x:c r="C2" s="82"/>
      <x:c r="D2" s="82"/>
      <x:c r="E2" s="82"/>
      <x:c r="F2" s="82"/>
      <x:c r="G2" s="82"/>
      <x:c r="H2" s="82"/>
      <x:c r="I2" s="82"/>
    </x:row>
    <x:row r="3">
      <x:c r="A3" s="83"/>
      <x:c r="B3" s="83"/>
      <x:c r="C3" s="83"/>
      <x:c r="D3" s="83"/>
      <x:c r="E3" s="83"/>
      <x:c r="F3" s="83"/>
      <x:c r="G3" s="83"/>
      <x:c r="H3" s="83"/>
      <x:c r="I3" s="83"/>
    </x:row>
    <x:row r="4" ht="31" customHeight="1">
      <x:c r="A4" s="84" t="str">
        <x:v>Common-mode haircut</x:v>
      </x:c>
      <x:c r="B4" s="85" t="str">
        <x:v>Domestic CDE after N-2</x:v>
      </x:c>
      <x:c r="C4" s="85" t="str">
        <x:v>Requirement</x:v>
      </x:c>
      <x:c r="D4" s="85" t="str">
        <x:v>Margin</x:v>
      </x:c>
      <x:c r="E4" s="85" t="str">
        <x:v>Finding</x:v>
      </x:c>
      <x:c r="F4" s="86" t="str">
        <x:v>Interpretation</x:v>
      </x:c>
      <x:c r="G4" s="83"/>
      <x:c r="H4" s="83"/>
      <x:c r="I4" s="83"/>
    </x:row>
    <x:row r="5" ht="21.600000381469727" hidden="0" customHeight="1">
      <x:c r="A5" s="46" t="n">
        <x:v>0</x:v>
      </x:c>
      <x:c r="B5" s="53" t="n">
        <x:f>'Inventory'!F5*(1-A5)</x:f>
        <x:v>3902.4177407999996</x:v>
      </x:c>
      <x:c r="C5" s="53" t="n">
        <x:f>'Service Contract'!B11</x:f>
        <x:v>3000</x:v>
      </x:c>
      <x:c r="D5" s="53" t="n">
        <x:f>B5-C5</x:f>
        <x:v>902.4177407999996</x:v>
      </x:c>
      <x:c r="E5" s="28" t="str">
        <x:f>IF(D5&gt;=0,"CLOSES","FAILS")</x:f>
        <x:v>CLOSES</x:v>
      </x:c>
      <x:c r="F5" s="28" t="str">
        <x:v>no shared loss credited</x:v>
      </x:c>
      <x:c r="G5" s="83"/>
      <x:c r="H5" s="83"/>
      <x:c r="I5" s="83"/>
    </x:row>
    <x:row r="6" ht="15" hidden="0" customHeight="1">
      <x:c r="A6" s="47" t="n">
        <x:v>0.025</x:v>
      </x:c>
      <x:c r="B6" s="55" t="n">
        <x:f>'Inventory'!F5*(1-A6)</x:f>
        <x:v>3804.8572972799993</x:v>
      </x:c>
      <x:c r="C6" s="55" t="n">
        <x:f>'Service Contract'!B11</x:f>
        <x:v>3000</x:v>
      </x:c>
      <x:c r="D6" s="55" t="n">
        <x:f>B6-C6</x:f>
        <x:v>804.8572972799993</x:v>
      </x:c>
      <x:c r="E6" s="27" t="str">
        <x:f>IF(D6&gt;=0,"CLOSES","FAILS")</x:f>
        <x:v>CLOSES</x:v>
      </x:c>
      <x:c r="F6" s="27" t="str">
        <x:v>screen</x:v>
      </x:c>
      <x:c r="G6" s="83"/>
      <x:c r="H6" s="83"/>
      <x:c r="I6" s="83"/>
    </x:row>
    <x:row r="7" ht="21.600000381469727" hidden="0" customHeight="1">
      <x:c r="A7" s="48" t="n">
        <x:v>0.05</x:v>
      </x:c>
      <x:c r="B7" s="57" t="n">
        <x:f>'Inventory'!F5*(1-A7)</x:f>
        <x:v>3707.2968537599995</x:v>
      </x:c>
      <x:c r="C7" s="57" t="n">
        <x:f>'Service Contract'!B11</x:f>
        <x:v>3000</x:v>
      </x:c>
      <x:c r="D7" s="57" t="n">
        <x:f>B7-C7</x:f>
        <x:v>707.2968537599995</x:v>
      </x:c>
      <x:c r="E7" s="29" t="str">
        <x:f>IF(D7&gt;=0,"CLOSES","FAILS")</x:f>
        <x:v>CLOSES</x:v>
      </x:c>
      <x:c r="F7" s="29" t="str">
        <x:v>selected case</x:v>
      </x:c>
      <x:c r="G7" s="83"/>
      <x:c r="H7" s="83"/>
      <x:c r="I7" s="83"/>
    </x:row>
    <x:row r="8" ht="21.600000381469727" hidden="0" customHeight="1">
      <x:c r="A8" s="47" t="n">
        <x:v>0.075</x:v>
      </x:c>
      <x:c r="B8" s="55" t="n">
        <x:f>'Inventory'!F5*(1-A8)</x:f>
        <x:v>3609.7364102399997</x:v>
      </x:c>
      <x:c r="C8" s="55" t="n">
        <x:f>'Service Contract'!B11</x:f>
        <x:v>3000</x:v>
      </x:c>
      <x:c r="D8" s="55" t="n">
        <x:f>B8-C8</x:f>
        <x:v>609.7364102399997</x:v>
      </x:c>
      <x:c r="E8" s="27" t="str">
        <x:f>IF(D8&gt;=0,"CLOSES","FAILS")</x:f>
        <x:v>CLOSES</x:v>
      </x:c>
      <x:c r="F8" s="27" t="str">
        <x:v>reduced reserve</x:v>
      </x:c>
      <x:c r="G8" s="83"/>
      <x:c r="H8" s="83"/>
      <x:c r="I8" s="83"/>
    </x:row>
    <x:row r="9" ht="21.600000381469727" hidden="0" customHeight="1">
      <x:c r="A9" s="48" t="n">
        <x:v>0.1</x:v>
      </x:c>
      <x:c r="B9" s="57" t="n">
        <x:f>'Inventory'!F5*(1-A9)</x:f>
        <x:v>3512.17596672</x:v>
      </x:c>
      <x:c r="C9" s="57" t="n">
        <x:f>'Service Contract'!B11</x:f>
        <x:v>3000</x:v>
      </x:c>
      <x:c r="D9" s="57" t="n">
        <x:f>B9-C9</x:f>
        <x:v>512.1759667199999</x:v>
      </x:c>
      <x:c r="E9" s="29" t="str">
        <x:f>IF(D9&gt;=0,"CLOSES","FAILS")</x:f>
        <x:v>CLOSES</x:v>
      </x:c>
      <x:c r="F9" s="29" t="str">
        <x:v>reduced reserve</x:v>
      </x:c>
      <x:c r="G9" s="83"/>
      <x:c r="H9" s="83"/>
      <x:c r="I9" s="83"/>
    </x:row>
    <x:row r="10" ht="15" hidden="0" customHeight="1">
      <x:c r="A10" s="47" t="n">
        <x:v>0.125</x:v>
      </x:c>
      <x:c r="B10" s="55" t="n">
        <x:f>'Inventory'!F5*(1-A10)</x:f>
        <x:v>3414.6155231999996</x:v>
      </x:c>
      <x:c r="C10" s="55" t="n">
        <x:f>'Service Contract'!B11</x:f>
        <x:v>3000</x:v>
      </x:c>
      <x:c r="D10" s="55" t="n">
        <x:f>B10-C10</x:f>
        <x:v>414.61552319999964</x:v>
      </x:c>
      <x:c r="E10" s="27" t="str">
        <x:f>IF(D10&gt;=0,"CLOSES","FAILS")</x:f>
        <x:v>CLOSES</x:v>
      </x:c>
      <x:c r="F10" s="27" t="str">
        <x:v>thin margin</x:v>
      </x:c>
      <x:c r="G10" s="83"/>
      <x:c r="H10" s="83"/>
      <x:c r="I10" s="83"/>
    </x:row>
    <x:row r="11" ht="15" hidden="0" customHeight="1">
      <x:c r="A11" s="48" t="n">
        <x:v>0.15</x:v>
      </x:c>
      <x:c r="B11" s="57" t="n">
        <x:f>'Inventory'!F5*(1-A11)</x:f>
        <x:v>3317.0550796799994</x:v>
      </x:c>
      <x:c r="C11" s="57" t="n">
        <x:f>'Service Contract'!B11</x:f>
        <x:v>3000</x:v>
      </x:c>
      <x:c r="D11" s="57" t="n">
        <x:f>B11-C11</x:f>
        <x:v>317.0550796799994</x:v>
      </x:c>
      <x:c r="E11" s="29" t="str">
        <x:f>IF(D11&gt;=0,"CLOSES","FAILS")</x:f>
        <x:v>CLOSES</x:v>
      </x:c>
      <x:c r="F11" s="29" t="str">
        <x:v>thin margin</x:v>
      </x:c>
      <x:c r="G11" s="83"/>
      <x:c r="H11" s="83"/>
      <x:c r="I11" s="83"/>
    </x:row>
    <x:row r="12" ht="21.600000381469727" hidden="0" customHeight="1">
      <x:c r="A12" s="47" t="n">
        <x:v>0.2</x:v>
      </x:c>
      <x:c r="B12" s="55" t="n">
        <x:f>'Inventory'!F5*(1-A12)</x:f>
        <x:v>3121.9341926399998</x:v>
      </x:c>
      <x:c r="C12" s="55" t="n">
        <x:f>'Service Contract'!B11</x:f>
        <x:v>3000</x:v>
      </x:c>
      <x:c r="D12" s="55" t="n">
        <x:f>B12-C12</x:f>
        <x:v>121.93419263999976</x:v>
      </x:c>
      <x:c r="E12" s="27" t="str">
        <x:f>IF(D12&gt;=0,"CLOSES","FAILS")</x:f>
        <x:v>CLOSES</x:v>
      </x:c>
      <x:c r="F12" s="27" t="str">
        <x:v>near threshold</x:v>
      </x:c>
      <x:c r="G12" s="83"/>
      <x:c r="H12" s="83"/>
      <x:c r="I12" s="83"/>
    </x:row>
    <x:row r="13" ht="15" hidden="0" customHeight="1">
      <x:c r="A13" s="48" t="n">
        <x:v>0.25</x:v>
      </x:c>
      <x:c r="B13" s="57" t="n">
        <x:f>'Inventory'!F5*(1-A13)</x:f>
        <x:v>2926.8133055999997</x:v>
      </x:c>
      <x:c r="C13" s="57" t="n">
        <x:f>'Service Contract'!B11</x:f>
        <x:v>3000</x:v>
      </x:c>
      <x:c r="D13" s="57" t="n">
        <x:f>B13-C13</x:f>
        <x:v>-73.1866944000003</x:v>
      </x:c>
      <x:c r="E13" s="29" t="str">
        <x:f>IF(D13&gt;=0,"CLOSES","FAILS")</x:f>
        <x:v>FAILS</x:v>
      </x:c>
      <x:c r="F13" s="29" t="str">
        <x:v>fails</x:v>
      </x:c>
      <x:c r="G13" s="83"/>
      <x:c r="H13" s="83"/>
      <x:c r="I13" s="83"/>
    </x:row>
    <x:row r="14">
      <x:c r="A14" s="83"/>
      <x:c r="B14" s="83"/>
      <x:c r="C14" s="83"/>
      <x:c r="D14" s="83"/>
      <x:c r="E14" s="83"/>
      <x:c r="F14" s="83"/>
      <x:c r="G14" s="83"/>
      <x:c r="H14" s="83"/>
      <x:c r="I14" s="83"/>
    </x:row>
    <x:row r="15" ht="23" customHeight="1">
      <x:c r="A15" s="87" t="str">
        <x:v>Threshold</x:v>
      </x:c>
      <x:c r="B15" s="87"/>
      <x:c r="C15" s="87"/>
      <x:c r="D15" s="87"/>
      <x:c r="E15" s="87"/>
      <x:c r="F15" s="87"/>
      <x:c r="G15" s="87"/>
      <x:c r="H15" s="87"/>
      <x:c r="I15" s="87"/>
    </x:row>
    <x:row r="16" ht="64.80000305175781" hidden="0" customHeight="1">
      <x:c r="A16" s="26" t="str">
        <x:v>Maximum common-mode haircut before domestic failure</x:v>
      </x:c>
      <x:c r="B16" s="61" t="n">
        <x:f>1-'Service Contract'!B11/'Inventory'!F5</x:f>
        <x:v>0.2312458072761331</x:v>
      </x:c>
      <x:c r="C16" s="26" t="str">
        <x:v>fraction</x:v>
      </x:c>
      <x:c r="D16" s="83"/>
      <x:c r="E16" s="83"/>
      <x:c r="F16" s="83"/>
      <x:c r="G16" s="83"/>
      <x:c r="H16" s="83"/>
      <x:c r="I16" s="83"/>
    </x:row>
    <x:row r="17" ht="21.600000381469727" hidden="0" customHeight="1">
      <x:c r="A17" s="27" t="str">
        <x:v>Selected haircut</x:v>
      </x:c>
      <x:c r="B17" s="47" t="n">
        <x:f>'Controls'!C17</x:f>
        <x:v>0.05</x:v>
      </x:c>
      <x:c r="C17" s="27" t="str">
        <x:v>fraction</x:v>
      </x:c>
      <x:c r="D17" s="83"/>
      <x:c r="E17" s="83"/>
      <x:c r="F17" s="83"/>
      <x:c r="G17" s="83"/>
      <x:c r="H17" s="83"/>
      <x:c r="I17" s="83"/>
    </x:row>
    <x:row r="18" ht="21.600000381469727" hidden="0" customHeight="1">
      <x:c r="A18" s="27" t="str">
        <x:v>Remaining tolerance</x:v>
      </x:c>
      <x:c r="B18" s="47" t="n">
        <x:f>B16-B17</x:f>
        <x:v>0.1812458072761331</x:v>
      </x:c>
      <x:c r="C18" s="27" t="str">
        <x:v>percentage points</x:v>
      </x:c>
      <x:c r="D18" s="83"/>
      <x:c r="E18" s="83"/>
      <x:c r="F18" s="83"/>
      <x:c r="G18" s="83"/>
      <x:c r="H18" s="83"/>
      <x:c r="I18" s="83"/>
    </x:row>
    <x:row r="19">
      <x:c r="A19" s="83"/>
      <x:c r="B19" s="83"/>
      <x:c r="C19" s="83"/>
      <x:c r="D19" s="83"/>
      <x:c r="E19" s="83"/>
      <x:c r="F19" s="83"/>
      <x:c r="G19" s="83"/>
      <x:c r="H19" s="83"/>
      <x:c r="I19" s="83"/>
    </x:row>
    <x:row r="20">
      <x:c r="A20" s="83"/>
      <x:c r="B20" s="83"/>
      <x:c r="C20" s="83"/>
      <x:c r="D20" s="83"/>
      <x:c r="E20" s="83"/>
      <x:c r="F20" s="83"/>
      <x:c r="G20" s="83"/>
      <x:c r="H20" s="83"/>
      <x:c r="I20" s="83"/>
    </x:row>
    <x:row r="21" ht="31" customHeight="1">
      <x:c r="A21" s="84" t="str">
        <x:v>Common mode</x:v>
      </x:c>
      <x:c r="B21" s="85" t="str">
        <x:v>How it defeats nominal diversity</x:v>
      </x:c>
      <x:c r="C21" s="85" t="str">
        <x:v>Required design response</x:v>
      </x:c>
      <x:c r="D21" s="86" t="str">
        <x:v>Evidence before credit</x:v>
      </x:c>
      <x:c r="E21" s="83"/>
      <x:c r="F21" s="83"/>
      <x:c r="G21" s="83"/>
      <x:c r="H21" s="83"/>
      <x:c r="I21" s="83"/>
    </x:row>
    <x:row r="22" ht="21.600000381469727" hidden="0" customHeight="1">
      <x:c r="A22" s="26" t="str">
        <x:v>Specification</x:v>
      </x:c>
      <x:c r="B22" s="26" t="str">
        <x:v>same hidden defect across sites</x:v>
      </x:c>
      <x:c r="C22" s="26" t="str">
        <x:v>two independently engineered implementations</x:v>
      </x:c>
      <x:c r="D22" s="26" t="str">
        <x:v>cross-design destructive trials</x:v>
      </x:c>
      <x:c r="E22" s="83"/>
      <x:c r="F22" s="83"/>
      <x:c r="G22" s="83"/>
      <x:c r="H22" s="83"/>
      <x:c r="I22" s="83"/>
    </x:row>
    <x:row r="23" ht="21.600000381469727" hidden="0" customHeight="1">
      <x:c r="A23" s="27" t="str">
        <x:v>Software and identity</x:v>
      </x:c>
      <x:c r="B23" s="27" t="str">
        <x:v>one control or credential failure</x:v>
      </x:c>
      <x:c r="C23" s="27" t="str">
        <x:v>offline local control and diverse stacks</x:v>
      </x:c>
      <x:c r="D23" s="27" t="str">
        <x:v>disconnected exercises</x:v>
      </x:c>
      <x:c r="E23" s="83"/>
      <x:c r="F23" s="83"/>
      <x:c r="G23" s="83"/>
      <x:c r="H23" s="83"/>
      <x:c r="I23" s="83"/>
    </x:row>
    <x:row r="24" ht="21.600000381469727" hidden="0" customHeight="1">
      <x:c r="A24" s="27" t="str">
        <x:v>Supplier</x:v>
      </x:c>
      <x:c r="B24" s="27" t="str">
        <x:v>same unavailable part or recall</x:v>
      </x:c>
      <x:c r="C24" s="27" t="str">
        <x:v>qualified second sources and interchangeable boundary</x:v>
      </x:c>
      <x:c r="D24" s="27" t="str">
        <x:v>surge production and substitution trial</x:v>
      </x:c>
      <x:c r="E24" s="83"/>
      <x:c r="F24" s="83"/>
      <x:c r="G24" s="83"/>
      <x:c r="H24" s="83"/>
      <x:c r="I24" s="83"/>
    </x:row>
    <x:row r="25" ht="21.600000381469727" hidden="0" customHeight="1">
      <x:c r="A25" s="27" t="str">
        <x:v>Inspection</x:v>
      </x:c>
      <x:c r="B25" s="27" t="str">
        <x:v>same false-safe method</x:v>
      </x:c>
      <x:c r="C25" s="27" t="str">
        <x:v>independent methods and technical authority</x:v>
      </x:c>
      <x:c r="D25" s="27" t="str">
        <x:v>blind seeded-damage test</x:v>
      </x:c>
      <x:c r="E25" s="83"/>
      <x:c r="F25" s="83"/>
      <x:c r="G25" s="83"/>
      <x:c r="H25" s="83"/>
      <x:c r="I25" s="83"/>
    </x:row>
    <x:row r="26" ht="21.600000381469727" hidden="0" customHeight="1">
      <x:c r="A26" s="27" t="str">
        <x:v>Utilities</x:v>
      </x:c>
      <x:c r="B26" s="27" t="str">
        <x:v>same grid/water/fuel dependency</x:v>
      </x:c>
      <x:c r="C26" s="27" t="str">
        <x:v>islandable local service and mobile substitute</x:v>
      </x:c>
      <x:c r="D26" s="27" t="str">
        <x:v>black-start and dry-interface trial</x:v>
      </x:c>
      <x:c r="E26" s="83"/>
      <x:c r="F26" s="83"/>
      <x:c r="G26" s="83"/>
      <x:c r="H26" s="83"/>
      <x:c r="I26" s="83"/>
    </x:row>
    <x:row r="27" ht="21.600000381469727" hidden="0" customHeight="1">
      <x:c r="A27" s="27" t="str">
        <x:v>Workforce</x:v>
      </x:c>
      <x:c r="B27" s="27" t="str">
        <x:v>same occupation or contractor pool</x:v>
      </x:c>
      <x:c r="C27" s="27" t="str">
        <x:v>component diversity and cross-qualification</x:v>
      </x:c>
      <x:c r="D27" s="27" t="str">
        <x:v>simultaneous activation exercise</x:v>
      </x:c>
      <x:c r="E27" s="83"/>
      <x:c r="F27" s="83"/>
      <x:c r="G27" s="83"/>
      <x:c r="H27" s="83"/>
      <x:c r="I27" s="83"/>
    </x:row>
    <x:row r="28" ht="21.600000381469727" hidden="0" customHeight="1">
      <x:c r="A28" s="27" t="str">
        <x:v>Data</x:v>
      </x:c>
      <x:c r="B28" s="27" t="str">
        <x:v>same stale building/site record</x:v>
      </x:c>
      <x:c r="C28" s="27" t="str">
        <x:v>local authoritative copy and physical verification</x:v>
      </x:c>
      <x:c r="D28" s="27" t="str">
        <x:v>no-network activation</x:v>
      </x:c>
      <x:c r="E28" s="83"/>
      <x:c r="F28" s="83"/>
      <x:c r="G28" s="83"/>
      <x:c r="H28" s="83"/>
      <x:c r="I28" s="83"/>
    </x:row>
    <x:row r="29" ht="21.600000381469727" hidden="0" customHeight="1">
      <x:c r="A29" s="27" t="str">
        <x:v>Funding and governance</x:v>
      </x:c>
      <x:c r="B29" s="27" t="str">
        <x:v>system-wide maintenance deferral</x:v>
      </x:c>
      <x:c r="C29" s="27" t="str">
        <x:v>protected readiness account and external reporting</x:v>
      </x:c>
      <x:c r="D29" s="27" t="str">
        <x:v>condition-based readiness audit</x:v>
      </x:c>
      <x:c r="E29" s="83"/>
      <x:c r="F29" s="83"/>
      <x:c r="G29" s="83"/>
      <x:c r="H29" s="83"/>
      <x:c r="I29" s="83"/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5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30" hidden="0" customWidth="1"/>
    <x:col min="12" max="12" width="30" hidden="0" customWidth="1"/>
  </x:cols>
  <x:sheetData>
    <x:row r="1" ht="29" customHeight="1">
      <x:c r="A1" s="81" t="str">
        <x:v>Synthetic regional distribution</x:v>
      </x:c>
      <x:c r="B1" s="81"/>
      <x:c r="C1" s="81"/>
      <x:c r="D1" s="81"/>
      <x:c r="E1" s="81"/>
      <x:c r="F1" s="81"/>
      <x:c r="G1" s="81"/>
      <x:c r="H1" s="81"/>
      <x:c r="I1" s="81"/>
      <x:c r="J1" s="81"/>
      <x:c r="K1" s="81"/>
      <x:c r="L1" s="81"/>
    </x:row>
    <x:row r="2" ht="28" customHeight="1">
      <x:c r="A2" s="82" t="str">
        <x:v>Sixteen equal planning regions test topology. They are not recommended administrative boundaries or site selections.</x:v>
      </x:c>
      <x:c r="B2" s="82"/>
      <x:c r="C2" s="82"/>
      <x:c r="D2" s="82"/>
      <x:c r="E2" s="82"/>
      <x:c r="F2" s="82"/>
      <x:c r="G2" s="82"/>
      <x:c r="H2" s="82"/>
      <x:c r="I2" s="82"/>
      <x:c r="J2" s="82"/>
      <x:c r="K2" s="82"/>
      <x:c r="L2" s="82"/>
    </x:row>
    <x:row r="3">
      <x:c r="A3" s="83"/>
      <x:c r="B3" s="83"/>
      <x:c r="C3" s="83"/>
      <x:c r="D3" s="83"/>
      <x:c r="E3" s="83"/>
      <x:c r="F3" s="83"/>
      <x:c r="G3" s="83"/>
      <x:c r="H3" s="83"/>
      <x:c r="I3" s="83"/>
      <x:c r="J3" s="83"/>
      <x:c r="K3" s="83"/>
      <x:c r="L3" s="83"/>
    </x:row>
    <x:row r="4" ht="31" customHeight="1">
      <x:c r="A4" s="84" t="str">
        <x:v>Region</x:v>
      </x:c>
      <x:c r="B4" s="85" t="str">
        <x:v>RRC units</x:v>
      </x:c>
      <x:c r="C4" s="85" t="str">
        <x:v>DPS units</x:v>
      </x:c>
      <x:c r="D4" s="85" t="str">
        <x:v>BAN units</x:v>
      </x:c>
      <x:c r="E4" s="85" t="str">
        <x:v>Nominal CDE</x:v>
      </x:c>
      <x:c r="F4" s="85" t="str">
        <x:v>Effective CDE</x:v>
      </x:c>
      <x:c r="G4" s="85" t="str">
        <x:v>After N-2</x:v>
      </x:c>
      <x:c r="H4" s="85" t="str">
        <x:v>After common mode</x:v>
      </x:c>
      <x:c r="I4" s="85" t="str">
        <x:v>People capacity</x:v>
      </x:c>
      <x:c r="J4" s="85" t="str">
        <x:v>Distinct domestic cells</x:v>
      </x:c>
      <x:c r="K4" s="85" t="str">
        <x:v>Catchment role</x:v>
      </x:c>
      <x:c r="L4" s="86" t="str">
        <x:v>Evidence</x:v>
      </x:c>
    </x:row>
    <x:row r="5" ht="32.400001525878906" hidden="0" customHeight="1">
      <x:c r="A5" s="28" t="str">
        <x:v>North Atlantic</x:v>
      </x:c>
      <x:c r="B5" s="53" t="n">
        <x:v>3</x:v>
      </x:c>
      <x:c r="C5" s="53" t="n">
        <x:v>12</x:v>
      </x:c>
      <x:c r="D5" s="53" t="n">
        <x:v>90</x:v>
      </x:c>
      <x:c r="E5" s="53" t="n">
        <x:f>B5*'Site Classes'!E5+C5*'Site Classes'!E6+D5*'Site Classes'!E7</x:f>
        <x:v>450</x:v>
      </x:c>
      <x:c r="F5" s="53" t="n">
        <x:f>B5*'Site Classes'!E5*'Site Classes'!L5+C5*'Site Classes'!E6*'Site Classes'!L6+D5*'Site Classes'!E7*'Site Classes'!L7</x:f>
        <x:v>325.2014784</x:v>
      </x:c>
      <x:c r="G5" s="53" t="n">
        <x:f>F5*('Controls'!C13-'Controls'!C14)/'Controls'!C13</x:f>
        <x:v>243.90110879999997</x:v>
      </x:c>
      <x:c r="H5" s="53" t="n">
        <x:f>G5*(1-'Controls'!C17)</x:f>
        <x:v>231.70605335999997</x:v>
      </x:c>
      <x:c r="I5" s="53" t="n">
        <x:f>H5*'Controls'!C12</x:f>
        <x:v>231706.05335999996</x:v>
      </x:c>
      <x:c r="J5" s="53" t="n">
        <x:v>8</x:v>
      </x:c>
      <x:c r="K5" s="28" t="str">
        <x:v>home + adjacent corridors</x:v>
      </x:c>
      <x:c r="L5" s="28" t="str">
        <x:v>synthetic equal allocation</x:v>
      </x:c>
    </x:row>
    <x:row r="6" ht="32.400001525878906" hidden="0" customHeight="1">
      <x:c r="A6" s="27" t="str">
        <x:v>Mid-Atlantic</x:v>
      </x:c>
      <x:c r="B6" s="55" t="n">
        <x:v>3</x:v>
      </x:c>
      <x:c r="C6" s="55" t="n">
        <x:v>12</x:v>
      </x:c>
      <x:c r="D6" s="55" t="n">
        <x:v>90</x:v>
      </x:c>
      <x:c r="E6" s="55" t="n">
        <x:f>B6*'Site Classes'!E5+C6*'Site Classes'!E6+D6*'Site Classes'!E7</x:f>
        <x:v>450</x:v>
      </x:c>
      <x:c r="F6" s="55" t="n">
        <x:f>B6*'Site Classes'!E5*'Site Classes'!L5+C6*'Site Classes'!E6*'Site Classes'!L6+D6*'Site Classes'!E7*'Site Classes'!L7</x:f>
        <x:v>325.2014784</x:v>
      </x:c>
      <x:c r="G6" s="55" t="n">
        <x:f>F6*('Controls'!C13-'Controls'!C14)/'Controls'!C13</x:f>
        <x:v>243.90110879999997</x:v>
      </x:c>
      <x:c r="H6" s="55" t="n">
        <x:f>G6*(1-'Controls'!C17)</x:f>
        <x:v>231.70605335999997</x:v>
      </x:c>
      <x:c r="I6" s="55" t="n">
        <x:f>H6*'Controls'!C12</x:f>
        <x:v>231706.05335999996</x:v>
      </x:c>
      <x:c r="J6" s="55" t="n">
        <x:v>8</x:v>
      </x:c>
      <x:c r="K6" s="27" t="str">
        <x:v>home + adjacent corridors</x:v>
      </x:c>
      <x:c r="L6" s="27" t="str">
        <x:v>synthetic equal allocation</x:v>
      </x:c>
    </x:row>
    <x:row r="7" ht="32.400001525878906" hidden="0" customHeight="1">
      <x:c r="A7" s="29" t="str">
        <x:v>South Atlantic</x:v>
      </x:c>
      <x:c r="B7" s="57" t="n">
        <x:v>3</x:v>
      </x:c>
      <x:c r="C7" s="57" t="n">
        <x:v>12</x:v>
      </x:c>
      <x:c r="D7" s="57" t="n">
        <x:v>90</x:v>
      </x:c>
      <x:c r="E7" s="57" t="n">
        <x:f>B7*'Site Classes'!E5+C7*'Site Classes'!E6+D7*'Site Classes'!E7</x:f>
        <x:v>450</x:v>
      </x:c>
      <x:c r="F7" s="57" t="n">
        <x:f>B7*'Site Classes'!E5*'Site Classes'!L5+C7*'Site Classes'!E6*'Site Classes'!L6+D7*'Site Classes'!E7*'Site Classes'!L7</x:f>
        <x:v>325.2014784</x:v>
      </x:c>
      <x:c r="G7" s="57" t="n">
        <x:f>F7*('Controls'!C13-'Controls'!C14)/'Controls'!C13</x:f>
        <x:v>243.90110879999997</x:v>
      </x:c>
      <x:c r="H7" s="57" t="n">
        <x:f>G7*(1-'Controls'!C17)</x:f>
        <x:v>231.70605335999997</x:v>
      </x:c>
      <x:c r="I7" s="57" t="n">
        <x:f>H7*'Controls'!C12</x:f>
        <x:v>231706.05335999996</x:v>
      </x:c>
      <x:c r="J7" s="57" t="n">
        <x:v>8</x:v>
      </x:c>
      <x:c r="K7" s="29" t="str">
        <x:v>home + adjacent corridors</x:v>
      </x:c>
      <x:c r="L7" s="29" t="str">
        <x:v>synthetic equal allocation</x:v>
      </x:c>
    </x:row>
    <x:row r="8" ht="32.400001525878906" hidden="0" customHeight="1">
      <x:c r="A8" s="27" t="str">
        <x:v>Florida-Caribbean</x:v>
      </x:c>
      <x:c r="B8" s="55" t="n">
        <x:v>3</x:v>
      </x:c>
      <x:c r="C8" s="55" t="n">
        <x:v>12</x:v>
      </x:c>
      <x:c r="D8" s="55" t="n">
        <x:v>90</x:v>
      </x:c>
      <x:c r="E8" s="55" t="n">
        <x:f>B8*'Site Classes'!E5+C8*'Site Classes'!E6+D8*'Site Classes'!E7</x:f>
        <x:v>450</x:v>
      </x:c>
      <x:c r="F8" s="55" t="n">
        <x:f>B8*'Site Classes'!E5*'Site Classes'!L5+C8*'Site Classes'!E6*'Site Classes'!L6+D8*'Site Classes'!E7*'Site Classes'!L7</x:f>
        <x:v>325.2014784</x:v>
      </x:c>
      <x:c r="G8" s="55" t="n">
        <x:f>F8*('Controls'!C13-'Controls'!C14)/'Controls'!C13</x:f>
        <x:v>243.90110879999997</x:v>
      </x:c>
      <x:c r="H8" s="55" t="n">
        <x:f>G8*(1-'Controls'!C17)</x:f>
        <x:v>231.70605335999997</x:v>
      </x:c>
      <x:c r="I8" s="55" t="n">
        <x:f>H8*'Controls'!C12</x:f>
        <x:v>231706.05335999996</x:v>
      </x:c>
      <x:c r="J8" s="55" t="n">
        <x:v>8</x:v>
      </x:c>
      <x:c r="K8" s="27" t="str">
        <x:v>home + adjacent corridors</x:v>
      </x:c>
      <x:c r="L8" s="27" t="str">
        <x:v>synthetic equal allocation</x:v>
      </x:c>
    </x:row>
    <x:row r="9" ht="32.400001525878906" hidden="0" customHeight="1">
      <x:c r="A9" s="29" t="str">
        <x:v>Gulf East</x:v>
      </x:c>
      <x:c r="B9" s="57" t="n">
        <x:v>3</x:v>
      </x:c>
      <x:c r="C9" s="57" t="n">
        <x:v>12</x:v>
      </x:c>
      <x:c r="D9" s="57" t="n">
        <x:v>90</x:v>
      </x:c>
      <x:c r="E9" s="57" t="n">
        <x:f>B9*'Site Classes'!E5+C9*'Site Classes'!E6+D9*'Site Classes'!E7</x:f>
        <x:v>450</x:v>
      </x:c>
      <x:c r="F9" s="57" t="n">
        <x:f>B9*'Site Classes'!E5*'Site Classes'!L5+C9*'Site Classes'!E6*'Site Classes'!L6+D9*'Site Classes'!E7*'Site Classes'!L7</x:f>
        <x:v>325.2014784</x:v>
      </x:c>
      <x:c r="G9" s="57" t="n">
        <x:f>F9*('Controls'!C13-'Controls'!C14)/'Controls'!C13</x:f>
        <x:v>243.90110879999997</x:v>
      </x:c>
      <x:c r="H9" s="57" t="n">
        <x:f>G9*(1-'Controls'!C17)</x:f>
        <x:v>231.70605335999997</x:v>
      </x:c>
      <x:c r="I9" s="57" t="n">
        <x:f>H9*'Controls'!C12</x:f>
        <x:v>231706.05335999996</x:v>
      </x:c>
      <x:c r="J9" s="57" t="n">
        <x:v>8</x:v>
      </x:c>
      <x:c r="K9" s="29" t="str">
        <x:v>home + adjacent corridors</x:v>
      </x:c>
      <x:c r="L9" s="29" t="str">
        <x:v>synthetic equal allocation</x:v>
      </x:c>
    </x:row>
    <x:row r="10" ht="32.400001525878906" hidden="0" customHeight="1">
      <x:c r="A10" s="27" t="str">
        <x:v>Gulf West</x:v>
      </x:c>
      <x:c r="B10" s="55" t="n">
        <x:v>3</x:v>
      </x:c>
      <x:c r="C10" s="55" t="n">
        <x:v>12</x:v>
      </x:c>
      <x:c r="D10" s="55" t="n">
        <x:v>90</x:v>
      </x:c>
      <x:c r="E10" s="55" t="n">
        <x:f>B10*'Site Classes'!E5+C10*'Site Classes'!E6+D10*'Site Classes'!E7</x:f>
        <x:v>450</x:v>
      </x:c>
      <x:c r="F10" s="55" t="n">
        <x:f>B10*'Site Classes'!E5*'Site Classes'!L5+C10*'Site Classes'!E6*'Site Classes'!L6+D10*'Site Classes'!E7*'Site Classes'!L7</x:f>
        <x:v>325.2014784</x:v>
      </x:c>
      <x:c r="G10" s="55" t="n">
        <x:f>F10*('Controls'!C13-'Controls'!C14)/'Controls'!C13</x:f>
        <x:v>243.90110879999997</x:v>
      </x:c>
      <x:c r="H10" s="55" t="n">
        <x:f>G10*(1-'Controls'!C17)</x:f>
        <x:v>231.70605335999997</x:v>
      </x:c>
      <x:c r="I10" s="55" t="n">
        <x:f>H10*'Controls'!C12</x:f>
        <x:v>231706.05335999996</x:v>
      </x:c>
      <x:c r="J10" s="55" t="n">
        <x:v>8</x:v>
      </x:c>
      <x:c r="K10" s="27" t="str">
        <x:v>home + adjacent corridors</x:v>
      </x:c>
      <x:c r="L10" s="27" t="str">
        <x:v>synthetic equal allocation</x:v>
      </x:c>
    </x:row>
    <x:row r="11" ht="32.400001525878906" hidden="0" customHeight="1">
      <x:c r="A11" s="29" t="str">
        <x:v>Lower Mississippi</x:v>
      </x:c>
      <x:c r="B11" s="57" t="n">
        <x:v>3</x:v>
      </x:c>
      <x:c r="C11" s="57" t="n">
        <x:v>12</x:v>
      </x:c>
      <x:c r="D11" s="57" t="n">
        <x:v>90</x:v>
      </x:c>
      <x:c r="E11" s="57" t="n">
        <x:f>B11*'Site Classes'!E5+C11*'Site Classes'!E6+D11*'Site Classes'!E7</x:f>
        <x:v>450</x:v>
      </x:c>
      <x:c r="F11" s="57" t="n">
        <x:f>B11*'Site Classes'!E5*'Site Classes'!L5+C11*'Site Classes'!E6*'Site Classes'!L6+D11*'Site Classes'!E7*'Site Classes'!L7</x:f>
        <x:v>325.2014784</x:v>
      </x:c>
      <x:c r="G11" s="57" t="n">
        <x:f>F11*('Controls'!C13-'Controls'!C14)/'Controls'!C13</x:f>
        <x:v>243.90110879999997</x:v>
      </x:c>
      <x:c r="H11" s="57" t="n">
        <x:f>G11*(1-'Controls'!C17)</x:f>
        <x:v>231.70605335999997</x:v>
      </x:c>
      <x:c r="I11" s="57" t="n">
        <x:f>H11*'Controls'!C12</x:f>
        <x:v>231706.05335999996</x:v>
      </x:c>
      <x:c r="J11" s="57" t="n">
        <x:v>8</x:v>
      </x:c>
      <x:c r="K11" s="29" t="str">
        <x:v>home + adjacent corridors</x:v>
      </x:c>
      <x:c r="L11" s="29" t="str">
        <x:v>synthetic equal allocation</x:v>
      </x:c>
    </x:row>
    <x:row r="12" ht="32.400001525878906" hidden="0" customHeight="1">
      <x:c r="A12" s="27" t="str">
        <x:v>Great Lakes East</x:v>
      </x:c>
      <x:c r="B12" s="55" t="n">
        <x:v>3</x:v>
      </x:c>
      <x:c r="C12" s="55" t="n">
        <x:v>12</x:v>
      </x:c>
      <x:c r="D12" s="55" t="n">
        <x:v>90</x:v>
      </x:c>
      <x:c r="E12" s="55" t="n">
        <x:f>B12*'Site Classes'!E5+C12*'Site Classes'!E6+D12*'Site Classes'!E7</x:f>
        <x:v>450</x:v>
      </x:c>
      <x:c r="F12" s="55" t="n">
        <x:f>B12*'Site Classes'!E5*'Site Classes'!L5+C12*'Site Classes'!E6*'Site Classes'!L6+D12*'Site Classes'!E7*'Site Classes'!L7</x:f>
        <x:v>325.2014784</x:v>
      </x:c>
      <x:c r="G12" s="55" t="n">
        <x:f>F12*('Controls'!C13-'Controls'!C14)/'Controls'!C13</x:f>
        <x:v>243.90110879999997</x:v>
      </x:c>
      <x:c r="H12" s="55" t="n">
        <x:f>G12*(1-'Controls'!C17)</x:f>
        <x:v>231.70605335999997</x:v>
      </x:c>
      <x:c r="I12" s="55" t="n">
        <x:f>H12*'Controls'!C12</x:f>
        <x:v>231706.05335999996</x:v>
      </x:c>
      <x:c r="J12" s="55" t="n">
        <x:v>8</x:v>
      </x:c>
      <x:c r="K12" s="27" t="str">
        <x:v>home + adjacent corridors</x:v>
      </x:c>
      <x:c r="L12" s="27" t="str">
        <x:v>synthetic equal allocation</x:v>
      </x:c>
    </x:row>
    <x:row r="13" ht="32.400001525878906" hidden="0" customHeight="1">
      <x:c r="A13" s="29" t="str">
        <x:v>Great Lakes West</x:v>
      </x:c>
      <x:c r="B13" s="57" t="n">
        <x:v>3</x:v>
      </x:c>
      <x:c r="C13" s="57" t="n">
        <x:v>12</x:v>
      </x:c>
      <x:c r="D13" s="57" t="n">
        <x:v>90</x:v>
      </x:c>
      <x:c r="E13" s="57" t="n">
        <x:f>B13*'Site Classes'!E5+C13*'Site Classes'!E6+D13*'Site Classes'!E7</x:f>
        <x:v>450</x:v>
      </x:c>
      <x:c r="F13" s="57" t="n">
        <x:f>B13*'Site Classes'!E5*'Site Classes'!L5+C13*'Site Classes'!E6*'Site Classes'!L6+D13*'Site Classes'!E7*'Site Classes'!L7</x:f>
        <x:v>325.2014784</x:v>
      </x:c>
      <x:c r="G13" s="57" t="n">
        <x:f>F13*('Controls'!C13-'Controls'!C14)/'Controls'!C13</x:f>
        <x:v>243.90110879999997</x:v>
      </x:c>
      <x:c r="H13" s="57" t="n">
        <x:f>G13*(1-'Controls'!C17)</x:f>
        <x:v>231.70605335999997</x:v>
      </x:c>
      <x:c r="I13" s="57" t="n">
        <x:f>H13*'Controls'!C12</x:f>
        <x:v>231706.05335999996</x:v>
      </x:c>
      <x:c r="J13" s="57" t="n">
        <x:v>8</x:v>
      </x:c>
      <x:c r="K13" s="29" t="str">
        <x:v>home + adjacent corridors</x:v>
      </x:c>
      <x:c r="L13" s="29" t="str">
        <x:v>synthetic equal allocation</x:v>
      </x:c>
    </x:row>
    <x:row r="14" ht="32.400001525878906" hidden="0" customHeight="1">
      <x:c r="A14" s="27" t="str">
        <x:v>Central Plains</x:v>
      </x:c>
      <x:c r="B14" s="55" t="n">
        <x:v>3</x:v>
      </x:c>
      <x:c r="C14" s="55" t="n">
        <x:v>12</x:v>
      </x:c>
      <x:c r="D14" s="55" t="n">
        <x:v>90</x:v>
      </x:c>
      <x:c r="E14" s="55" t="n">
        <x:f>B14*'Site Classes'!E5+C14*'Site Classes'!E6+D14*'Site Classes'!E7</x:f>
        <x:v>450</x:v>
      </x:c>
      <x:c r="F14" s="55" t="n">
        <x:f>B14*'Site Classes'!E5*'Site Classes'!L5+C14*'Site Classes'!E6*'Site Classes'!L6+D14*'Site Classes'!E7*'Site Classes'!L7</x:f>
        <x:v>325.2014784</x:v>
      </x:c>
      <x:c r="G14" s="55" t="n">
        <x:f>F14*('Controls'!C13-'Controls'!C14)/'Controls'!C13</x:f>
        <x:v>243.90110879999997</x:v>
      </x:c>
      <x:c r="H14" s="55" t="n">
        <x:f>G14*(1-'Controls'!C17)</x:f>
        <x:v>231.70605335999997</x:v>
      </x:c>
      <x:c r="I14" s="55" t="n">
        <x:f>H14*'Controls'!C12</x:f>
        <x:v>231706.05335999996</x:v>
      </x:c>
      <x:c r="J14" s="55" t="n">
        <x:v>8</x:v>
      </x:c>
      <x:c r="K14" s="27" t="str">
        <x:v>home + adjacent corridors</x:v>
      </x:c>
      <x:c r="L14" s="27" t="str">
        <x:v>synthetic equal allocation</x:v>
      </x:c>
    </x:row>
    <x:row r="15" ht="32.400001525878906" hidden="0" customHeight="1">
      <x:c r="A15" s="29" t="str">
        <x:v>Southern Plains</x:v>
      </x:c>
      <x:c r="B15" s="57" t="n">
        <x:v>3</x:v>
      </x:c>
      <x:c r="C15" s="57" t="n">
        <x:v>12</x:v>
      </x:c>
      <x:c r="D15" s="57" t="n">
        <x:v>90</x:v>
      </x:c>
      <x:c r="E15" s="57" t="n">
        <x:f>B15*'Site Classes'!E5+C15*'Site Classes'!E6+D15*'Site Classes'!E7</x:f>
        <x:v>450</x:v>
      </x:c>
      <x:c r="F15" s="57" t="n">
        <x:f>B15*'Site Classes'!E5*'Site Classes'!L5+C15*'Site Classes'!E6*'Site Classes'!L6+D15*'Site Classes'!E7*'Site Classes'!L7</x:f>
        <x:v>325.2014784</x:v>
      </x:c>
      <x:c r="G15" s="57" t="n">
        <x:f>F15*('Controls'!C13-'Controls'!C14)/'Controls'!C13</x:f>
        <x:v>243.90110879999997</x:v>
      </x:c>
      <x:c r="H15" s="57" t="n">
        <x:f>G15*(1-'Controls'!C17)</x:f>
        <x:v>231.70605335999997</x:v>
      </x:c>
      <x:c r="I15" s="57" t="n">
        <x:f>H15*'Controls'!C12</x:f>
        <x:v>231706.05335999996</x:v>
      </x:c>
      <x:c r="J15" s="57" t="n">
        <x:v>8</x:v>
      </x:c>
      <x:c r="K15" s="29" t="str">
        <x:v>home + adjacent corridors</x:v>
      </x:c>
      <x:c r="L15" s="29" t="str">
        <x:v>synthetic equal allocation</x:v>
      </x:c>
    </x:row>
    <x:row r="16" ht="32.400001525878906" hidden="0" customHeight="1">
      <x:c r="A16" s="27" t="str">
        <x:v>Mountain North</x:v>
      </x:c>
      <x:c r="B16" s="55" t="n">
        <x:v>3</x:v>
      </x:c>
      <x:c r="C16" s="55" t="n">
        <x:v>12</x:v>
      </x:c>
      <x:c r="D16" s="55" t="n">
        <x:v>90</x:v>
      </x:c>
      <x:c r="E16" s="55" t="n">
        <x:f>B16*'Site Classes'!E5+C16*'Site Classes'!E6+D16*'Site Classes'!E7</x:f>
        <x:v>450</x:v>
      </x:c>
      <x:c r="F16" s="55" t="n">
        <x:f>B16*'Site Classes'!E5*'Site Classes'!L5+C16*'Site Classes'!E6*'Site Classes'!L6+D16*'Site Classes'!E7*'Site Classes'!L7</x:f>
        <x:v>325.2014784</x:v>
      </x:c>
      <x:c r="G16" s="55" t="n">
        <x:f>F16*('Controls'!C13-'Controls'!C14)/'Controls'!C13</x:f>
        <x:v>243.90110879999997</x:v>
      </x:c>
      <x:c r="H16" s="55" t="n">
        <x:f>G16*(1-'Controls'!C17)</x:f>
        <x:v>231.70605335999997</x:v>
      </x:c>
      <x:c r="I16" s="55" t="n">
        <x:f>H16*'Controls'!C12</x:f>
        <x:v>231706.05335999996</x:v>
      </x:c>
      <x:c r="J16" s="55" t="n">
        <x:v>8</x:v>
      </x:c>
      <x:c r="K16" s="27" t="str">
        <x:v>home + adjacent corridors</x:v>
      </x:c>
      <x:c r="L16" s="27" t="str">
        <x:v>synthetic equal allocation</x:v>
      </x:c>
    </x:row>
    <x:row r="17" ht="32.400001525878906" hidden="0" customHeight="1">
      <x:c r="A17" s="29" t="str">
        <x:v>Mountain South</x:v>
      </x:c>
      <x:c r="B17" s="57" t="n">
        <x:v>3</x:v>
      </x:c>
      <x:c r="C17" s="57" t="n">
        <x:v>12</x:v>
      </x:c>
      <x:c r="D17" s="57" t="n">
        <x:v>90</x:v>
      </x:c>
      <x:c r="E17" s="57" t="n">
        <x:f>B17*'Site Classes'!E5+C17*'Site Classes'!E6+D17*'Site Classes'!E7</x:f>
        <x:v>450</x:v>
      </x:c>
      <x:c r="F17" s="57" t="n">
        <x:f>B17*'Site Classes'!E5*'Site Classes'!L5+C17*'Site Classes'!E6*'Site Classes'!L6+D17*'Site Classes'!E7*'Site Classes'!L7</x:f>
        <x:v>325.2014784</x:v>
      </x:c>
      <x:c r="G17" s="57" t="n">
        <x:f>F17*('Controls'!C13-'Controls'!C14)/'Controls'!C13</x:f>
        <x:v>243.90110879999997</x:v>
      </x:c>
      <x:c r="H17" s="57" t="n">
        <x:f>G17*(1-'Controls'!C17)</x:f>
        <x:v>231.70605335999997</x:v>
      </x:c>
      <x:c r="I17" s="57" t="n">
        <x:f>H17*'Controls'!C12</x:f>
        <x:v>231706.05335999996</x:v>
      </x:c>
      <x:c r="J17" s="57" t="n">
        <x:v>8</x:v>
      </x:c>
      <x:c r="K17" s="29" t="str">
        <x:v>home + adjacent corridors</x:v>
      </x:c>
      <x:c r="L17" s="29" t="str">
        <x:v>synthetic equal allocation</x:v>
      </x:c>
    </x:row>
    <x:row r="18" ht="32.400001525878906" hidden="0" customHeight="1">
      <x:c r="A18" s="27" t="str">
        <x:v>Pacific Southwest</x:v>
      </x:c>
      <x:c r="B18" s="55" t="n">
        <x:v>3</x:v>
      </x:c>
      <x:c r="C18" s="55" t="n">
        <x:v>12</x:v>
      </x:c>
      <x:c r="D18" s="55" t="n">
        <x:v>90</x:v>
      </x:c>
      <x:c r="E18" s="55" t="n">
        <x:f>B18*'Site Classes'!E5+C18*'Site Classes'!E6+D18*'Site Classes'!E7</x:f>
        <x:v>450</x:v>
      </x:c>
      <x:c r="F18" s="55" t="n">
        <x:f>B18*'Site Classes'!E5*'Site Classes'!L5+C18*'Site Classes'!E6*'Site Classes'!L6+D18*'Site Classes'!E7*'Site Classes'!L7</x:f>
        <x:v>325.2014784</x:v>
      </x:c>
      <x:c r="G18" s="55" t="n">
        <x:f>F18*('Controls'!C13-'Controls'!C14)/'Controls'!C13</x:f>
        <x:v>243.90110879999997</x:v>
      </x:c>
      <x:c r="H18" s="55" t="n">
        <x:f>G18*(1-'Controls'!C17)</x:f>
        <x:v>231.70605335999997</x:v>
      </x:c>
      <x:c r="I18" s="55" t="n">
        <x:f>H18*'Controls'!C12</x:f>
        <x:v>231706.05335999996</x:v>
      </x:c>
      <x:c r="J18" s="55" t="n">
        <x:v>8</x:v>
      </x:c>
      <x:c r="K18" s="27" t="str">
        <x:v>home + adjacent corridors</x:v>
      </x:c>
      <x:c r="L18" s="27" t="str">
        <x:v>synthetic equal allocation</x:v>
      </x:c>
    </x:row>
    <x:row r="19" ht="32.400001525878906" hidden="0" customHeight="1">
      <x:c r="A19" s="29" t="str">
        <x:v>Pacific Northwest</x:v>
      </x:c>
      <x:c r="B19" s="57" t="n">
        <x:v>3</x:v>
      </x:c>
      <x:c r="C19" s="57" t="n">
        <x:v>12</x:v>
      </x:c>
      <x:c r="D19" s="57" t="n">
        <x:v>90</x:v>
      </x:c>
      <x:c r="E19" s="57" t="n">
        <x:f>B19*'Site Classes'!E5+C19*'Site Classes'!E6+D19*'Site Classes'!E7</x:f>
        <x:v>450</x:v>
      </x:c>
      <x:c r="F19" s="57" t="n">
        <x:f>B19*'Site Classes'!E5*'Site Classes'!L5+C19*'Site Classes'!E6*'Site Classes'!L6+D19*'Site Classes'!E7*'Site Classes'!L7</x:f>
        <x:v>325.2014784</x:v>
      </x:c>
      <x:c r="G19" s="57" t="n">
        <x:f>F19*('Controls'!C13-'Controls'!C14)/'Controls'!C13</x:f>
        <x:v>243.90110879999997</x:v>
      </x:c>
      <x:c r="H19" s="57" t="n">
        <x:f>G19*(1-'Controls'!C17)</x:f>
        <x:v>231.70605335999997</x:v>
      </x:c>
      <x:c r="I19" s="57" t="n">
        <x:f>H19*'Controls'!C12</x:f>
        <x:v>231706.05335999996</x:v>
      </x:c>
      <x:c r="J19" s="57" t="n">
        <x:v>8</x:v>
      </x:c>
      <x:c r="K19" s="29" t="str">
        <x:v>home + adjacent corridors</x:v>
      </x:c>
      <x:c r="L19" s="29" t="str">
        <x:v>synthetic equal allocation</x:v>
      </x:c>
    </x:row>
    <x:row r="20" ht="32.400001525878906" hidden="0" customHeight="1">
      <x:c r="A20" s="27" t="str">
        <x:v>Alaska-Pacific</x:v>
      </x:c>
      <x:c r="B20" s="55" t="n">
        <x:v>3</x:v>
      </x:c>
      <x:c r="C20" s="55" t="n">
        <x:v>12</x:v>
      </x:c>
      <x:c r="D20" s="55" t="n">
        <x:v>90</x:v>
      </x:c>
      <x:c r="E20" s="55" t="n">
        <x:f>B20*'Site Classes'!E5+C20*'Site Classes'!E6+D20*'Site Classes'!E7</x:f>
        <x:v>450</x:v>
      </x:c>
      <x:c r="F20" s="55" t="n">
        <x:f>B20*'Site Classes'!E5*'Site Classes'!L5+C20*'Site Classes'!E6*'Site Classes'!L6+D20*'Site Classes'!E7*'Site Classes'!L7</x:f>
        <x:v>325.2014784</x:v>
      </x:c>
      <x:c r="G20" s="55" t="n">
        <x:f>F20*('Controls'!C13-'Controls'!C14)/'Controls'!C13</x:f>
        <x:v>243.90110879999997</x:v>
      </x:c>
      <x:c r="H20" s="55" t="n">
        <x:f>G20*(1-'Controls'!C17)</x:f>
        <x:v>231.70605335999997</x:v>
      </x:c>
      <x:c r="I20" s="55" t="n">
        <x:f>H20*'Controls'!C12</x:f>
        <x:v>231706.05335999996</x:v>
      </x:c>
      <x:c r="J20" s="55" t="n">
        <x:v>8</x:v>
      </x:c>
      <x:c r="K20" s="27" t="str">
        <x:v>home + adjacent corridors</x:v>
      </x:c>
      <x:c r="L20" s="27" t="str">
        <x:v>synthetic equal allocation</x:v>
      </x:c>
    </x:row>
    <x:row r="21">
      <x:c r="A21" s="83"/>
      <x:c r="B21" s="83"/>
      <x:c r="C21" s="83"/>
      <x:c r="D21" s="83"/>
      <x:c r="E21" s="83"/>
      <x:c r="F21" s="83"/>
      <x:c r="G21" s="83"/>
      <x:c r="H21" s="83"/>
      <x:c r="I21" s="83"/>
      <x:c r="J21" s="83"/>
      <x:c r="K21" s="83"/>
      <x:c r="L21" s="83"/>
    </x:row>
    <x:row r="22" ht="23" customHeight="1">
      <x:c r="A22" s="87" t="str">
        <x:v>Reconciliation</x:v>
      </x:c>
      <x:c r="B22" s="87"/>
      <x:c r="C22" s="87"/>
      <x:c r="D22" s="87"/>
      <x:c r="E22" s="87"/>
      <x:c r="F22" s="87"/>
      <x:c r="G22" s="87"/>
      <x:c r="H22" s="87"/>
      <x:c r="I22" s="87"/>
      <x:c r="J22" s="87"/>
      <x:c r="K22" s="87"/>
      <x:c r="L22" s="87"/>
    </x:row>
    <x:row r="23" ht="15" hidden="0" customHeight="1">
      <x:c r="A23" s="26" t="str">
        <x:v>RRC units</x:v>
      </x:c>
      <x:c r="B23" s="26" t="n">
        <x:f>SUM(B5:B20)</x:f>
        <x:v>48</x:v>
      </x:c>
      <x:c r="C23" s="83"/>
      <x:c r="D23" s="83"/>
      <x:c r="E23" s="83"/>
      <x:c r="F23" s="83"/>
      <x:c r="G23" s="83"/>
      <x:c r="H23" s="83"/>
      <x:c r="I23" s="83"/>
      <x:c r="J23" s="83"/>
      <x:c r="K23" s="83"/>
      <x:c r="L23" s="83"/>
    </x:row>
    <x:row r="24" ht="15" hidden="0" customHeight="1">
      <x:c r="A24" s="27" t="str">
        <x:v>DPS units</x:v>
      </x:c>
      <x:c r="B24" s="27" t="n">
        <x:f>SUM(C5:C20)</x:f>
        <x:v>192</x:v>
      </x:c>
      <x:c r="C24" s="83"/>
      <x:c r="D24" s="83"/>
      <x:c r="E24" s="83"/>
      <x:c r="F24" s="83"/>
      <x:c r="G24" s="83"/>
      <x:c r="H24" s="83"/>
      <x:c r="I24" s="83"/>
      <x:c r="J24" s="83"/>
      <x:c r="K24" s="83"/>
      <x:c r="L24" s="83"/>
    </x:row>
    <x:row r="25" ht="15" hidden="0" customHeight="1">
      <x:c r="A25" s="27" t="str">
        <x:v>BAN units</x:v>
      </x:c>
      <x:c r="B25" s="27" t="n">
        <x:f>SUM(D5:D20)</x:f>
        <x:v>1440</x:v>
      </x:c>
      <x:c r="C25" s="83"/>
      <x:c r="D25" s="83"/>
      <x:c r="E25" s="83"/>
      <x:c r="F25" s="83"/>
      <x:c r="G25" s="83"/>
      <x:c r="H25" s="83"/>
      <x:c r="I25" s="83"/>
      <x:c r="J25" s="83"/>
      <x:c r="K25" s="83"/>
      <x:c r="L25" s="83"/>
    </x:row>
    <x:row r="26" ht="15" hidden="0" customHeight="1">
      <x:c r="A26" s="27" t="str">
        <x:v>Effective domestic CDE</x:v>
      </x:c>
      <x:c r="B26" s="27" t="n">
        <x:f>SUM(F5:F20)</x:f>
        <x:v>5203.2236544</x:v>
      </x:c>
      <x:c r="C26" s="83"/>
      <x:c r="D26" s="83"/>
      <x:c r="E26" s="83"/>
      <x:c r="F26" s="83"/>
      <x:c r="G26" s="83"/>
      <x:c r="H26" s="83"/>
      <x:c r="I26" s="83"/>
      <x:c r="J26" s="83"/>
      <x:c r="K26" s="83"/>
      <x:c r="L26" s="83"/>
    </x:row>
    <x:row r="27" ht="15" hidden="0" customHeight="1">
      <x:c r="A27" s="27" t="str">
        <x:v>After N-2 and common mode</x:v>
      </x:c>
      <x:c r="B27" s="27" t="n">
        <x:f>SUM(H5:H20)</x:f>
        <x:v>3707.296853760001</x:v>
      </x:c>
      <x:c r="C27" s="83"/>
      <x:c r="D27" s="83"/>
      <x:c r="E27" s="83"/>
      <x:c r="F27" s="83"/>
      <x:c r="G27" s="83"/>
      <x:c r="H27" s="83"/>
      <x:c r="I27" s="83"/>
      <x:c r="J27" s="83"/>
      <x:c r="K27" s="83"/>
      <x:c r="L27" s="83"/>
    </x:row>
  </x:sheetData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38" hidden="0" customWidth="1"/>
    <x:col min="2" max="2" width="17" hidden="0" customWidth="1"/>
    <x:col min="3" max="3" width="17" hidden="0" customWidth="1"/>
    <x:col min="4" max="4" width="17" hidden="0" customWidth="1"/>
    <x:col min="5" max="5" width="17" hidden="0" customWidth="1"/>
    <x:col min="6" max="6" width="17" hidden="0" customWidth="1"/>
    <x:col min="7" max="7" width="17" hidden="0" customWidth="1"/>
    <x:col min="8" max="8" width="17" hidden="0" customWidth="1"/>
    <x:col min="9" max="9" width="23" hidden="0" customWidth="1"/>
    <x:col min="10" max="10" width="40" hidden="0" customWidth="1"/>
    <x:col min="11" max="11" width="40" hidden="0" customWidth="1"/>
  </x:cols>
  <x:sheetData>
    <x:row r="1" ht="29" customHeight="1">
      <x:c r="A1" s="81" t="str">
        <x:v>Spatial reach and clustered demand</x:v>
      </x:c>
      <x:c r="B1" s="81"/>
      <x:c r="C1" s="81"/>
      <x:c r="D1" s="81"/>
      <x:c r="E1" s="81"/>
      <x:c r="F1" s="81"/>
      <x:c r="G1" s="81"/>
      <x:c r="H1" s="81"/>
      <x:c r="I1" s="81"/>
      <x:c r="J1" s="81"/>
      <x:c r="K1" s="81"/>
    </x:row>
    <x:row r="2" ht="28" customHeight="1">
      <x:c r="A2" s="82" t="str">
        <x:v>National capacity can close while a geographically concentrated campaign fails.</x:v>
      </x:c>
      <x:c r="B2" s="82"/>
      <x:c r="C2" s="82"/>
      <x:c r="D2" s="82"/>
      <x:c r="E2" s="82"/>
      <x:c r="F2" s="82"/>
      <x:c r="G2" s="82"/>
      <x:c r="H2" s="82"/>
      <x:c r="I2" s="82"/>
      <x:c r="J2" s="82"/>
      <x:c r="K2" s="82"/>
    </x:row>
    <x:row r="3">
      <x:c r="A3" s="83"/>
      <x:c r="B3" s="83"/>
      <x:c r="C3" s="83"/>
      <x:c r="D3" s="83"/>
      <x:c r="E3" s="83"/>
      <x:c r="F3" s="83"/>
      <x:c r="G3" s="83"/>
      <x:c r="H3" s="83"/>
      <x:c r="I3" s="83"/>
      <x:c r="J3" s="83"/>
      <x:c r="K3" s="83"/>
    </x:row>
    <x:row r="4" ht="31" customHeight="1">
      <x:c r="A4" s="84" t="str">
        <x:v>Test</x:v>
      </x:c>
      <x:c r="B4" s="85" t="str">
        <x:v>Regions available</x:v>
      </x:c>
      <x:c r="C4" s="85" t="str">
        <x:v>Home multiplier</x:v>
      </x:c>
      <x:c r="D4" s="85" t="str">
        <x:v>Near multiplier</x:v>
      </x:c>
      <x:c r="E4" s="85" t="str">
        <x:v>Outer multipliers</x:v>
      </x:c>
      <x:c r="F4" s="85" t="str">
        <x:v>Capacity CDE</x:v>
      </x:c>
      <x:c r="G4" s="85" t="str">
        <x:v>Demand CDE</x:v>
      </x:c>
      <x:c r="H4" s="85" t="str">
        <x:v>Margin</x:v>
      </x:c>
      <x:c r="I4" s="85" t="str">
        <x:v>Finding</x:v>
      </x:c>
      <x:c r="J4" s="85" t="str">
        <x:v>Interpretation</x:v>
      </x:c>
      <x:c r="K4" s="86" t="str">
        <x:v>Next requirement</x:v>
      </x:c>
    </x:row>
    <x:row r="5" ht="32.400001525878906" hidden="0" customHeight="1">
      <x:c r="A5" s="28" t="str">
        <x:v>Three-region catastrophic catchment</x:v>
      </x:c>
      <x:c r="B5" s="53" t="n">
        <x:v>3</x:v>
      </x:c>
      <x:c r="C5" s="53" t="n">
        <x:v>0.5</x:v>
      </x:c>
      <x:c r="D5" s="53" t="n">
        <x:v>0.8</x:v>
      </x:c>
      <x:c r="E5" s="53" t="str">
        <x:v>0.90</x:v>
      </x:c>
      <x:c r="F5" s="53" t="n">
        <x:f>'Regional Distribution'!H5*(0.5+0.8+0.9)</x:f>
        <x:v>509.753317392</x:v>
      </x:c>
      <x:c r="G5" s="53" t="n">
        <x:v>500</x:v>
      </x:c>
      <x:c r="H5" s="53" t="n">
        <x:f>F5-G5</x:f>
        <x:v>9.753317391999985</x:v>
      </x:c>
      <x:c r="I5" s="28" t="str">
        <x:f>IF(H5&gt;=0,"CLOSES NUMERIC SCREEN","FAILS")</x:f>
        <x:v>CLOSES NUMERIC SCREEN</x:v>
      </x:c>
      <x:c r="J5" s="28" t="str">
        <x:v>nearby capacity only</x:v>
      </x:c>
      <x:c r="K5" s="28" t="str">
        <x:v>fails local access</x:v>
      </x:c>
    </x:row>
    <x:row r="6" ht="32.400001525878906" hidden="0" customHeight="1">
      <x:c r="A6" s="27" t="str">
        <x:v>Four-region catastrophic catchment</x:v>
      </x:c>
      <x:c r="B6" s="55" t="n">
        <x:v>4</x:v>
      </x:c>
      <x:c r="C6" s="55" t="n">
        <x:v>0.5</x:v>
      </x:c>
      <x:c r="D6" s="55" t="n">
        <x:v>0.8</x:v>
      </x:c>
      <x:c r="E6" s="55" t="str">
        <x:v>0.90 + 0.90</x:v>
      </x:c>
      <x:c r="F6" s="55" t="n">
        <x:f>'Regional Distribution'!H5*(0.5+0.8+0.9+0.9)</x:f>
        <x:v>718.2887654159999</x:v>
      </x:c>
      <x:c r="G6" s="55" t="n">
        <x:v>500</x:v>
      </x:c>
      <x:c r="H6" s="55" t="n">
        <x:f>F6-G6</x:f>
        <x:v>218.28876541599993</x:v>
      </x:c>
      <x:c r="I6" s="27" t="str">
        <x:f>IF(H6&gt;=0,"CLOSES NUMERIC SCREEN","FAILS")</x:f>
        <x:v>CLOSES NUMERIC SCREEN</x:v>
      </x:c>
      <x:c r="J6" s="27" t="str">
        <x:v>selected single-event screen</x:v>
      </x:c>
      <x:c r="K6" s="27" t="str">
        <x:v>prove four-zone access</x:v>
      </x:c>
    </x:row>
    <x:row r="7" ht="32.400001525878906" hidden="0" customHeight="1">
      <x:c r="A7" s="29" t="str">
        <x:v>Distributed eight-campaign union</x:v>
      </x:c>
      <x:c r="B7" s="57" t="n">
        <x:v>16</x:v>
      </x:c>
      <x:c r="C7" s="57" t="n">
        <x:v>1</x:v>
      </x:c>
      <x:c r="D7" s="57" t="n">
        <x:v>1</x:v>
      </x:c>
      <x:c r="E7" s="57" t="str">
        <x:v>all intact</x:v>
      </x:c>
      <x:c r="F7" s="57" t="n">
        <x:f>'Inventory'!G5</x:f>
        <x:v>3707.2968537599995</x:v>
      </x:c>
      <x:c r="G7" s="57" t="n">
        <x:v>2500</x:v>
      </x:c>
      <x:c r="H7" s="57" t="n">
        <x:f>F7-G7</x:f>
        <x:v>1207.2968537599995</x:v>
      </x:c>
      <x:c r="I7" s="29" t="str">
        <x:f>IF(H7&gt;=0,"CLOSES NUMERIC SCREEN","FAILS")</x:f>
        <x:v>CLOSES NUMERIC SCREEN</x:v>
      </x:c>
      <x:c r="J7" s="29" t="str">
        <x:v>all domestic regions reachable</x:v>
      </x:c>
      <x:c r="K7" s="29" t="str">
        <x:v>allocation model required</x:v>
      </x:c>
    </x:row>
    <x:row r="8" ht="32.400001525878906" hidden="0" customHeight="1">
      <x:c r="A8" s="27" t="str">
        <x:v>Clustered eight-campaign union</x:v>
      </x:c>
      <x:c r="B8" s="55" t="n">
        <x:v>11</x:v>
      </x:c>
      <x:c r="C8" s="55" t="n">
        <x:v>1</x:v>
      </x:c>
      <x:c r="D8" s="55" t="n">
        <x:v>1</x:v>
      </x:c>
      <x:c r="E8" s="55" t="str">
        <x:v>eleven intact</x:v>
      </x:c>
      <x:c r="F8" s="55" t="n">
        <x:f>'Regional Distribution'!H5*11</x:f>
        <x:v>2548.7665869599996</x:v>
      </x:c>
      <x:c r="G8" s="55" t="n">
        <x:v>2500</x:v>
      </x:c>
      <x:c r="H8" s="55" t="n">
        <x:f>F8-G8</x:f>
        <x:v>48.766586959999586</x:v>
      </x:c>
      <x:c r="I8" s="27" t="str">
        <x:f>IF(H8&gt;=0,"CLOSES NUMERIC SCREEN","FAILS")</x:f>
        <x:v>CLOSES NUMERIC SCREEN</x:v>
      </x:c>
      <x:c r="J8" s="27" t="str">
        <x:v>overlapping catchments</x:v>
      </x:c>
      <x:c r="K8" s="27" t="str">
        <x:v>thin before local damage</x:v>
      </x:c>
    </x:row>
    <x:row r="9" ht="54" hidden="0" customHeight="1">
      <x:c r="A9" s="29" t="str">
        <x:v>Clustered union with eight affected regions</x:v>
      </x:c>
      <x:c r="B9" s="57" t="n">
        <x:v>11</x:v>
      </x:c>
      <x:c r="C9" s="57" t="n">
        <x:v>0.5</x:v>
      </x:c>
      <x:c r="D9" s="57" t="n">
        <x:v>0.5</x:v>
      </x:c>
      <x:c r="E9" s="57" t="str">
        <x:v>eight degraded + three intact</x:v>
      </x:c>
      <x:c r="F9" s="57" t="n">
        <x:f>'Regional Distribution'!H5*(8*0.5+3)</x:f>
        <x:v>1621.9423735199998</x:v>
      </x:c>
      <x:c r="G9" s="57" t="n">
        <x:v>2500</x:v>
      </x:c>
      <x:c r="H9" s="57" t="n">
        <x:f>F9-G9</x:f>
        <x:v>-878.0576264800002</x:v>
      </x:c>
      <x:c r="I9" s="29" t="str">
        <x:f>IF(H9&gt;=0,"CLOSES NUMERIC SCREEN","FAILS")</x:f>
        <x:v>FAILS</x:v>
      </x:c>
      <x:c r="J9" s="29" t="str">
        <x:v>correlated local damage</x:v>
      </x:c>
      <x:c r="K9" s="29" t="str">
        <x:v>fails severely</x:v>
      </x:c>
    </x:row>
    <x:row r="10" ht="43.20000076293945" hidden="0" customHeight="1">
      <x:c r="A10" s="27" t="str">
        <x:v>National corridor reach, eight affected</x:v>
      </x:c>
      <x:c r="B10" s="55" t="n">
        <x:v>16</x:v>
      </x:c>
      <x:c r="C10" s="55" t="n">
        <x:v>0.5</x:v>
      </x:c>
      <x:c r="D10" s="55" t="n">
        <x:v>0.5</x:v>
      </x:c>
      <x:c r="E10" s="55" t="str">
        <x:v>eight degraded + eight intact</x:v>
      </x:c>
      <x:c r="F10" s="55" t="n">
        <x:f>'Regional Distribution'!H5*(8*0.5+8)</x:f>
        <x:v>2780.4726403199998</x:v>
      </x:c>
      <x:c r="G10" s="55" t="n">
        <x:v>2500</x:v>
      </x:c>
      <x:c r="H10" s="55" t="n">
        <x:f>F10-G10</x:f>
        <x:v>280.47264031999975</x:v>
      </x:c>
      <x:c r="I10" s="27" t="str">
        <x:f>IF(H10&gt;=0,"CLOSES NUMERIC SCREEN","FAILS")</x:f>
        <x:v>CLOSES NUMERIC SCREEN</x:v>
      </x:c>
      <x:c r="J10" s="27" t="str">
        <x:v>all regions theoretically reachable</x:v>
      </x:c>
      <x:c r="K10" s="27" t="str">
        <x:v>still requires rapid national movement</x:v>
      </x:c>
    </x:row>
    <x:row r="11" ht="43.20000076293945" hidden="0" customHeight="1">
      <x:c r="A11" s="29" t="str">
        <x:v>Dense lattice scaled to clustered closure</x:v>
      </x:c>
      <x:c r="B11" s="57" t="n">
        <x:v>11</x:v>
      </x:c>
      <x:c r="C11" s="57" t="n">
        <x:v>0.5</x:v>
      </x:c>
      <x:c r="D11" s="57" t="n">
        <x:v>0.5</x:v>
      </x:c>
      <x:c r="E11" s="57" t="str">
        <x:v>scaled inventory</x:v>
      </x:c>
      <x:c r="F11" s="57" t="n">
        <x:f>G11</x:f>
        <x:v>2500</x:v>
      </x:c>
      <x:c r="G11" s="57" t="n">
        <x:v>2500</x:v>
      </x:c>
      <x:c r="H11" s="57" t="n">
        <x:f>F11-G11</x:f>
        <x:v>0</x:v>
      </x:c>
      <x:c r="I11" s="29" t="str">
        <x:f>IF(H11&gt;=0,"CLOSES NUMERIC SCREEN","FAILS")</x:f>
        <x:v>CLOSES NUMERIC SCREEN</x:v>
      </x:c>
      <x:c r="J11" s="29" t="str">
        <x:v>fixed-capacity alternative</x:v>
      </x:c>
      <x:c r="K11" s="29" t="str">
        <x:v>cost and siting open</x:v>
      </x:c>
    </x:row>
    <x:row r="12">
      <x:c r="A12" s="83"/>
      <x:c r="B12" s="83"/>
      <x:c r="C12" s="83"/>
      <x:c r="D12" s="83"/>
      <x:c r="E12" s="83"/>
      <x:c r="F12" s="83"/>
      <x:c r="G12" s="83"/>
      <x:c r="H12" s="83"/>
      <x:c r="I12" s="83"/>
      <x:c r="J12" s="83"/>
      <x:c r="K12" s="83"/>
    </x:row>
    <x:row r="13" ht="34" customHeight="1">
      <x:c r="A13" s="90" t="str">
        <x:v>The dense-lattice row is an inversion target, not an independent design. The clustered-damage result shows why national totals cannot substitute for time-feasible allocation.</x:v>
      </x:c>
      <x:c r="B13" s="90"/>
      <x:c r="C13" s="90"/>
      <x:c r="D13" s="90"/>
      <x:c r="E13" s="90"/>
      <x:c r="F13" s="90"/>
      <x:c r="G13" s="90"/>
      <x:c r="H13" s="90"/>
      <x:c r="I13" s="90"/>
      <x:c r="J13" s="90"/>
      <x:c r="K13" s="90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30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42" hidden="0" customWidth="1"/>
    <x:col min="11" max="11" width="42" hidden="0" customWidth="1"/>
  </x:cols>
  <x:sheetData>
    <x:row r="1" ht="29" customHeight="1">
      <x:c r="A1" s="81" t="str">
        <x:v>Fixed and mobile occupied-area split</x:v>
      </x:c>
      <x:c r="B1" s="81"/>
      <x:c r="C1" s="81"/>
      <x:c r="D1" s="81"/>
      <x:c r="E1" s="81"/>
      <x:c r="F1" s="81"/>
      <x:c r="G1" s="81"/>
      <x:c r="H1" s="81"/>
      <x:c r="I1" s="81"/>
      <x:c r="J1" s="81"/>
      <x:c r="K1" s="81"/>
    </x:row>
    <x:row r="2" ht="28" customHeight="1">
      <x:c r="A2" s="82" t="str">
        <x:v>Fixed share is weighted by readiness-adjusted capacity. Only district occupied-area mass receives credit.</x:v>
      </x:c>
      <x:c r="B2" s="82"/>
      <x:c r="C2" s="82"/>
      <x:c r="D2" s="82"/>
      <x:c r="E2" s="82"/>
      <x:c r="F2" s="82"/>
      <x:c r="G2" s="82"/>
      <x:c r="H2" s="82"/>
      <x:c r="I2" s="82"/>
      <x:c r="J2" s="82"/>
      <x:c r="K2" s="82"/>
    </x:row>
    <x:row r="3">
      <x:c r="A3" s="83"/>
      <x:c r="B3" s="83"/>
      <x:c r="C3" s="83"/>
      <x:c r="D3" s="83"/>
      <x:c r="E3" s="83"/>
      <x:c r="F3" s="83"/>
      <x:c r="G3" s="83"/>
      <x:c r="H3" s="83"/>
      <x:c r="I3" s="83"/>
      <x:c r="J3" s="83"/>
      <x:c r="K3" s="83"/>
    </x:row>
    <x:row r="4" ht="31" customHeight="1">
      <x:c r="A4" s="84" t="str">
        <x:v>Class</x:v>
      </x:c>
      <x:c r="B4" s="85" t="str">
        <x:v>Effective domestic CDE</x:v>
      </x:c>
      <x:c r="C4" s="85" t="str">
        <x:v>Share of mix</x:v>
      </x:c>
      <x:c r="D4" s="85" t="str">
        <x:v>Fixed share</x:v>
      </x:c>
      <x:c r="E4" s="85" t="str">
        <x:v>Weighted fixed share</x:v>
      </x:c>
      <x:c r="F4" s="85" t="str">
        <x:v>Mobile share</x:v>
      </x:c>
      <x:c r="G4" s="85" t="str">
        <x:v>Mobile district t</x:v>
      </x:c>
      <x:c r="H4" s="85" t="str">
        <x:v>Fixed district t</x:v>
      </x:c>
      <x:c r="I4" s="85" t="str">
        <x:v>Imported volume proxy m³</x:v>
      </x:c>
      <x:c r="J4" s="85" t="str">
        <x:v>Boundary</x:v>
      </x:c>
      <x:c r="K4" s="86" t="str">
        <x:v>Evidence</x:v>
      </x:c>
    </x:row>
    <x:row r="5" ht="64.80000305175781" hidden="0" customHeight="1">
      <x:c r="A5" s="28" t="str">
        <x:v>RRC</x:v>
      </x:c>
      <x:c r="B5" s="53" t="n">
        <x:f>'Site Classes'!M5</x:f>
        <x:v>3158.1978624</x:v>
      </x:c>
      <x:c r="C5" s="46" t="n">
        <x:f>B5/SUM(B$5:B$7)</x:f>
        <x:v>0.6069694620428884</x:v>
      </x:c>
      <x:c r="D5" s="46" t="n">
        <x:f>'Site Classes'!G5</x:f>
        <x:v>0.8</x:v>
      </x:c>
      <x:c r="E5" s="46" t="n">
        <x:f>C5*D5</x:f>
        <x:v>0.4855755696343107</x:v>
      </x:c>
      <x:c r="F5" s="46" t="n">
        <x:f>1-D5</x:f>
        <x:v>0.19999999999999996</x:v>
      </x:c>
      <x:c r="G5" s="53" t="n">
        <x:f>'Controls'!C26*F5</x:f>
        <x:v>15.741534972799997</x:v>
      </x:c>
      <x:c r="H5" s="53" t="n">
        <x:f>'Controls'!C26*D5</x:f>
        <x:v>62.9661398912</x:v>
      </x:c>
      <x:c r="I5" s="53" t="n">
        <x:f>446.600570534179*F5</x:f>
        <x:v>89.32011410683577</x:v>
      </x:c>
      <x:c r="J5" s="28" t="str">
        <x:v>fixed structure/floor/interfaces; mobile repair/control/occupancy</x:v>
      </x:c>
      <x:c r="K5" s="28" t="str">
        <x:v>configuration trial open</x:v>
      </x:c>
    </x:row>
    <x:row r="6" ht="54" hidden="0" customHeight="1">
      <x:c r="A6" s="27" t="str">
        <x:v>DPS</x:v>
      </x:c>
      <x:c r="B6" s="55" t="n">
        <x:f>'Site Classes'!M6</x:f>
        <x:v>1357.627392</x:v>
      </x:c>
      <x:c r="C6" s="47" t="n">
        <x:f>B6/SUM(B$5:B$7)</x:f>
        <x:v>0.2609204374391922</x:v>
      </x:c>
      <x:c r="D6" s="47" t="n">
        <x:f>'Site Classes'!G6</x:f>
        <x:v>0.65</x:v>
      </x:c>
      <x:c r="E6" s="47" t="n">
        <x:f>C6*D6</x:f>
        <x:v>0.16959828433547494</x:v>
      </x:c>
      <x:c r="F6" s="47" t="n">
        <x:f>1-D6</x:f>
        <x:v>0.35</x:v>
      </x:c>
      <x:c r="G6" s="55" t="n">
        <x:f>'Controls'!C26*F6</x:f>
        <x:v>27.547686202399998</x:v>
      </x:c>
      <x:c r="H6" s="55" t="n">
        <x:f>'Controls'!C26*D6</x:f>
        <x:v>51.1599886616</x:v>
      </x:c>
      <x:c r="I6" s="55" t="n">
        <x:f>446.600570534179*F6</x:f>
        <x:v>156.31019968696265</x:v>
      </x:c>
      <x:c r="J6" s="27" t="str">
        <x:v>prepared ground/spine; mobile envelope/occupancy</x:v>
      </x:c>
      <x:c r="K6" s="27" t="str">
        <x:v>configuration trial open</x:v>
      </x:c>
    </x:row>
    <x:row r="7" ht="54" hidden="0" customHeight="1">
      <x:c r="A7" s="29" t="str">
        <x:v>BAN</x:v>
      </x:c>
      <x:c r="B7" s="57" t="n">
        <x:f>'Site Classes'!M7</x:f>
        <x:v>687.3984000000002</x:v>
      </x:c>
      <x:c r="C7" s="48" t="n">
        <x:f>B7/SUM(B$5:B$7)</x:f>
        <x:v>0.13211010051791947</x:v>
      </x:c>
      <x:c r="D7" s="48" t="n">
        <x:f>'Site Classes'!G7</x:f>
        <x:v>0.5</x:v>
      </x:c>
      <x:c r="E7" s="48" t="n">
        <x:f>C7*D7</x:f>
        <x:v>0.06605505025895973</x:v>
      </x:c>
      <x:c r="F7" s="48" t="n">
        <x:f>1-D7</x:f>
        <x:v>0.5</x:v>
      </x:c>
      <x:c r="G7" s="57" t="n">
        <x:f>'Controls'!C26*F7</x:f>
        <x:v>39.353837432</x:v>
      </x:c>
      <x:c r="H7" s="57" t="n">
        <x:f>'Controls'!C26*D7</x:f>
        <x:v>39.353837432</x:v>
      </x:c>
      <x:c r="I7" s="57" t="n">
        <x:f>446.600570534179*F7</x:f>
        <x:v>223.3002852670895</x:v>
      </x:c>
      <x:c r="J7" s="29" t="str">
        <x:v>surviving building; mobile adapters/clean air/safety</x:v>
      </x:c>
      <x:c r="K7" s="29" t="str">
        <x:v>post-event inspection open</x:v>
      </x:c>
    </x:row>
    <x:row r="8">
      <x:c r="A8" s="83"/>
      <x:c r="B8" s="83"/>
      <x:c r="C8" s="83"/>
      <x:c r="D8" s="83"/>
      <x:c r="E8" s="83"/>
      <x:c r="F8" s="83"/>
      <x:c r="G8" s="83"/>
      <x:c r="H8" s="83"/>
      <x:c r="I8" s="83"/>
      <x:c r="J8" s="83"/>
      <x:c r="K8" s="83"/>
    </x:row>
    <x:row r="9" ht="23" customHeight="1">
      <x:c r="A9" s="87" t="str">
        <x:v>Weighted domestic configuration</x:v>
      </x:c>
      <x:c r="B9" s="87"/>
      <x:c r="C9" s="87"/>
      <x:c r="D9" s="87"/>
      <x:c r="E9" s="87"/>
      <x:c r="F9" s="87"/>
      <x:c r="G9" s="87"/>
      <x:c r="H9" s="87"/>
      <x:c r="I9" s="87"/>
      <x:c r="J9" s="87"/>
      <x:c r="K9" s="87"/>
    </x:row>
    <x:row r="10" ht="21.600000381469727" hidden="0" customHeight="1">
      <x:c r="A10" s="26" t="str">
        <x:v>Weighted fixed share</x:v>
      </x:c>
      <x:c r="B10" s="61" t="n">
        <x:f>SUM(E5:E7)</x:f>
        <x:v>0.7212289042287454</x:v>
      </x:c>
      <x:c r="C10" s="26" t="str">
        <x:v>fraction</x:v>
      </x:c>
      <x:c r="D10" s="83"/>
      <x:c r="E10" s="83"/>
      <x:c r="F10" s="83"/>
      <x:c r="G10" s="83"/>
      <x:c r="H10" s="83"/>
      <x:c r="I10" s="83"/>
      <x:c r="J10" s="83"/>
      <x:c r="K10" s="83"/>
    </x:row>
    <x:row r="11" ht="21.600000381469727" hidden="0" customHeight="1">
      <x:c r="A11" s="27" t="str">
        <x:v>Weighted mobile share</x:v>
      </x:c>
      <x:c r="B11" s="47" t="n">
        <x:f>1-B10</x:f>
        <x:v>0.2787710957712546</x:v>
      </x:c>
      <x:c r="C11" s="27" t="str">
        <x:v>fraction</x:v>
      </x:c>
      <x:c r="D11" s="83"/>
      <x:c r="E11" s="83"/>
      <x:c r="F11" s="83"/>
      <x:c r="G11" s="83"/>
      <x:c r="H11" s="83"/>
      <x:c r="I11" s="83"/>
      <x:c r="J11" s="83"/>
      <x:c r="K11" s="83"/>
    </x:row>
    <x:row r="12" ht="21.600000381469727" hidden="0" customHeight="1">
      <x:c r="A12" s="27" t="str">
        <x:v>Mobile district mass</x:v>
      </x:c>
      <x:c r="B12" s="55" t="n">
        <x:f>'Controls'!C26*B11</x:f>
        <x:v>21.94142476744491</x:v>
      </x:c>
      <x:c r="C12" s="27" t="str">
        <x:v>t</x:v>
      </x:c>
      <x:c r="D12" s="83"/>
      <x:c r="E12" s="83"/>
      <x:c r="F12" s="83"/>
      <x:c r="G12" s="83"/>
      <x:c r="H12" s="83"/>
      <x:c r="I12" s="83"/>
      <x:c r="J12" s="83"/>
      <x:c r="K12" s="83"/>
    </x:row>
    <x:row r="13" ht="54" hidden="0" customHeight="1">
      <x:c r="A13" s="27" t="str">
        <x:v>Mobile district packed volume proxy</x:v>
      </x:c>
      <x:c r="B13" s="55" t="n">
        <x:f>446.600570534179*B11</x:f>
        <x:v>124.49933041988055</x:v>
      </x:c>
      <x:c r="C13" s="27" t="str">
        <x:v>m³</x:v>
      </x:c>
      <x:c r="D13" s="83"/>
      <x:c r="E13" s="83"/>
      <x:c r="F13" s="83"/>
      <x:c r="G13" s="83"/>
      <x:c r="H13" s="83"/>
      <x:c r="I13" s="83"/>
      <x:c r="J13" s="83"/>
      <x:c r="K13" s="83"/>
    </x:row>
    <x:row r="14" ht="21.600000381469727" hidden="0" customHeight="1">
      <x:c r="A14" s="27" t="str">
        <x:v>Fixed district mass</x:v>
      </x:c>
      <x:c r="B14" s="55" t="n">
        <x:f>'Controls'!C26*B10</x:f>
        <x:v>56.76625009655509</x:v>
      </x:c>
      <x:c r="C14" s="27" t="str">
        <x:v>t</x:v>
      </x:c>
      <x:c r="D14" s="83"/>
      <x:c r="E14" s="83"/>
      <x:c r="F14" s="83"/>
      <x:c r="G14" s="83"/>
      <x:c r="H14" s="83"/>
      <x:c r="I14" s="83"/>
      <x:c r="J14" s="83"/>
      <x:c r="K14" s="83"/>
    </x:row>
  </x:sheetData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31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20" hidden="0" customWidth="1"/>
  </x:cols>
  <x:sheetData>
    <x:row r="1" ht="29" customHeight="1">
      <x:c r="A1" s="81" t="str">
        <x:v>Pod mass and hour-72 timing</x:v>
      </x:c>
      <x:c r="B1" s="81"/>
      <x:c r="C1" s="81"/>
      <x:c r="D1" s="81"/>
      <x:c r="E1" s="81"/>
      <x:c r="F1" s="81"/>
      <x:c r="G1" s="81"/>
      <x:c r="H1" s="81"/>
      <x:c r="I1" s="81"/>
      <x:c r="J1" s="81"/>
      <x:c r="K1" s="81"/>
      <x:c r="L1" s="81"/>
      <x:c r="M1" s="81"/>
    </x:row>
    <x:row r="2" ht="28" customHeight="1">
      <x:c r="A2" s="82" t="str">
        <x:v>The lattice changes only imported district mass. All other Pass 29 transformation burdens remain.</x:v>
      </x:c>
      <x:c r="B2" s="82"/>
      <x:c r="C2" s="82"/>
      <x:c r="D2" s="82"/>
      <x:c r="E2" s="82"/>
      <x:c r="F2" s="82"/>
      <x:c r="G2" s="82"/>
      <x:c r="H2" s="82"/>
      <x:c r="I2" s="82"/>
      <x:c r="J2" s="82"/>
      <x:c r="K2" s="82"/>
      <x:c r="L2" s="82"/>
      <x:c r="M2" s="82"/>
    </x:row>
    <x:row r="3">
      <x:c r="A3" s="83"/>
      <x:c r="B3" s="83"/>
      <x:c r="C3" s="83"/>
      <x:c r="D3" s="83"/>
      <x:c r="E3" s="83"/>
      <x:c r="F3" s="83"/>
      <x:c r="G3" s="83"/>
      <x:c r="H3" s="83"/>
      <x:c r="I3" s="83"/>
      <x:c r="J3" s="83"/>
      <x:c r="K3" s="83"/>
      <x:c r="L3" s="83"/>
      <x:c r="M3" s="83"/>
    </x:row>
    <x:row r="4" ht="31" customHeight="1">
      <x:c r="A4" s="84" t="str">
        <x:v>Case</x:v>
      </x:c>
      <x:c r="B4" s="85" t="str">
        <x:v>Fixed district share</x:v>
      </x:c>
      <x:c r="C4" s="85" t="str">
        <x:v>Mobile district t</x:v>
      </x:c>
      <x:c r="D4" s="85" t="str">
        <x:v>PCC-50 imported district t</x:v>
      </x:c>
      <x:c r="E4" s="85" t="str">
        <x:v>Recalculated pod t</x:v>
      </x:c>
      <x:c r="F4" s="85" t="str">
        <x:v>Air margin t</x:v>
      </x:c>
      <x:c r="G4" s="85" t="str">
        <x:v>Offshore margin t</x:v>
      </x:c>
      <x:c r="H4" s="85" t="str">
        <x:v>Air third-pod h</x:v>
      </x:c>
      <x:c r="I4" s="85" t="str">
        <x:v>Offshore third-pod h</x:v>
      </x:c>
      <x:c r="J4" s="85" t="str">
        <x:v>Tenth cargo h</x:v>
      </x:c>
      <x:c r="K4" s="85" t="str">
        <x:v>Hour-72 margin</x:v>
      </x:c>
      <x:c r="L4" s="85" t="str">
        <x:v>Receiver ready h</x:v>
      </x:c>
      <x:c r="M4" s="86" t="str">
        <x:v>Finding</x:v>
      </x:c>
    </x:row>
    <x:row r="5" ht="21.600000381469727" hidden="0" customHeight="1">
      <x:c r="A5" s="28" t="str">
        <x:v>Fully mobile transform</x:v>
      </x:c>
      <x:c r="B5" s="46" t="n">
        <x:v>0</x:v>
      </x:c>
      <x:c r="C5" s="53" t="n">
        <x:f>'Controls'!C26*(1-B5)</x:f>
        <x:v>78.707674864</x:v>
      </x:c>
      <x:c r="D5" s="53" t="n">
        <x:f>C5*50</x:f>
        <x:v>3935.3837432</x:v>
      </x:c>
      <x:c r="E5" s="53" t="n">
        <x:f>'Controls'!C24-'Controls'!C25+D5</x:f>
        <x:v>14451.073743199999</x:v>
      </x:c>
      <x:c r="F5" s="53" t="n">
        <x:f>'Controls'!C27-E5</x:f>
        <x:v>-2402.3237431999987</x:v>
      </x:c>
      <x:c r="G5" s="53" t="n">
        <x:f>'Controls'!C28-E5</x:f>
        <x:v>-2670.0737431999987</x:v>
      </x:c>
      <x:c r="H5" s="53" t="n">
        <x:f>'Controls'!C31+3*E5/'Controls'!C29</x:f>
        <x:v>82.76671705635853</x:v>
      </x:c>
      <x:c r="I5" s="53" t="n">
        <x:f>'Controls'!C32+3*E5/'Controls'!C30</x:f>
        <x:v>81.51897947664884</x:v>
      </x:c>
      <x:c r="J5" s="53" t="n">
        <x:f>MIN(H5,I5)</x:f>
        <x:v>81.51897947664884</x:v>
      </x:c>
      <x:c r="K5" s="53" t="n">
        <x:f>72-J5</x:f>
        <x:v>-9.518979476648838</x:v>
      </x:c>
      <x:c r="L5" s="53" t="n">
        <x:v>27</x:v>
      </x:c>
      <x:c r="M5" s="28" t="str">
        <x:f>IF(AND(J5&lt;=72,L5&lt;=54),"CANDIDATE","FAILS")</x:f>
        <x:v>FAILS</x:v>
      </x:c>
    </x:row>
    <x:row r="6" ht="32.400001525878906" hidden="0" customHeight="1">
      <x:c r="A6" s="27" t="str">
        <x:v>Balanced domestic lattice</x:v>
      </x:c>
      <x:c r="B6" s="47" t="n">
        <x:f>'Fixed Mobile Split'!B10</x:f>
        <x:v>0.7212289042287454</x:v>
      </x:c>
      <x:c r="C6" s="55" t="n">
        <x:f>'Controls'!C26*(1-B6)</x:f>
        <x:v>21.94142476744491</x:v>
      </x:c>
      <x:c r="D6" s="55" t="n">
        <x:f>C6*50</x:f>
        <x:v>1097.0712383722455</x:v>
      </x:c>
      <x:c r="E6" s="55" t="n">
        <x:f>'Controls'!C24-'Controls'!C25+D6</x:f>
        <x:v>11612.761238372244</x:v>
      </x:c>
      <x:c r="F6" s="55" t="n">
        <x:f>'Controls'!C27-E6</x:f>
        <x:v>435.9887616277556</x:v>
      </x:c>
      <x:c r="G6" s="55" t="n">
        <x:f>'Controls'!C28-E6</x:f>
        <x:v>168.2387616277556</x:v>
      </x:c>
      <x:c r="H6" s="55" t="n">
        <x:f>'Controls'!C31+3*E6/'Controls'!C29</x:f>
        <x:v>70.04598874340502</x:v>
      </x:c>
      <x:c r="I6" s="55" t="n">
        <x:f>'Controls'!C32+3*E6/'Controls'!C30</x:f>
        <x:v>71.40021831861762</x:v>
      </x:c>
      <x:c r="J6" s="55" t="n">
        <x:f>MIN(H6,I6)</x:f>
        <x:v>70.04598874340502</x:v>
      </x:c>
      <x:c r="K6" s="55" t="n">
        <x:f>72-J6</x:f>
        <x:v>1.9540112565949812</x:v>
      </x:c>
      <x:c r="L6" s="55" t="n">
        <x:v>24</x:v>
      </x:c>
      <x:c r="M6" s="27" t="str">
        <x:f>IF(AND(J6&lt;=72,L6&lt;=54),"CANDIDATE","FAILS")</x:f>
        <x:v>CANDIDATE</x:v>
      </x:c>
    </x:row>
    <x:row r="7" ht="21.600000381469727" hidden="0" customHeight="1">
      <x:c r="A7" s="29" t="str">
        <x:v>Hardened receiver</x:v>
      </x:c>
      <x:c r="B7" s="48" t="n">
        <x:v>0.85</x:v>
      </x:c>
      <x:c r="C7" s="57" t="n">
        <x:f>'Controls'!C26*(1-B7)</x:f>
        <x:v>11.806151229600001</x:v>
      </x:c>
      <x:c r="D7" s="57" t="n">
        <x:f>C7*50</x:f>
        <x:v>590.30756148</x:v>
      </x:c>
      <x:c r="E7" s="57" t="n">
        <x:f>'Controls'!C24-'Controls'!C25+D7</x:f>
        <x:v>11105.997561479999</x:v>
      </x:c>
      <x:c r="F7" s="57" t="n">
        <x:f>'Controls'!C27-E7</x:f>
        <x:v>942.7524385200013</x:v>
      </x:c>
      <x:c r="G7" s="57" t="n">
        <x:f>'Controls'!C28-E7</x:f>
        <x:v>675.0024385200013</x:v>
      </x:c>
      <x:c r="H7" s="57" t="n">
        <x:f>'Controls'!C31+3*E7/'Controls'!C29</x:f>
        <x:v>67.7747789870252</x:v>
      </x:c>
      <x:c r="I7" s="57" t="n">
        <x:f>'Controls'!C32+3*E7/'Controls'!C30</x:f>
        <x:v>69.5935741942246</x:v>
      </x:c>
      <x:c r="J7" s="57" t="n">
        <x:f>MIN(H7,I7)</x:f>
        <x:v>67.7747789870252</x:v>
      </x:c>
      <x:c r="K7" s="57" t="n">
        <x:f>72-J7</x:f>
        <x:v>4.225221012974799</x:v>
      </x:c>
      <x:c r="L7" s="57" t="n">
        <x:v>16</x:v>
      </x:c>
      <x:c r="M7" s="29" t="str">
        <x:f>IF(AND(J7&lt;=72,L7&lt;=54),"CANDIDATE","FAILS")</x:f>
        <x:v>CANDIDATE</x:v>
      </x:c>
    </x:row>
    <x:row r="8" ht="21.600000381469727" hidden="0" customHeight="1">
      <x:c r="A8" s="27" t="str">
        <x:v>Building-first receiver</x:v>
      </x:c>
      <x:c r="B8" s="47" t="n">
        <x:v>0.55</x:v>
      </x:c>
      <x:c r="C8" s="55" t="n">
        <x:f>'Controls'!C26*(1-B8)</x:f>
        <x:v>35.41845368879999</x:v>
      </x:c>
      <x:c r="D8" s="55" t="n">
        <x:f>C8*50</x:f>
        <x:v>1770.9226844399996</x:v>
      </x:c>
      <x:c r="E8" s="55" t="n">
        <x:f>'Controls'!C24-'Controls'!C25+D8</x:f>
        <x:v>12286.612684439999</x:v>
      </x:c>
      <x:c r="F8" s="55" t="n">
        <x:f>'Controls'!C27-E8</x:f>
        <x:v>-237.8626844399987</x:v>
      </x:c>
      <x:c r="G8" s="55" t="n">
        <x:f>'Controls'!C28-E8</x:f>
        <x:v>-505.6126844399987</x:v>
      </x:c>
      <x:c r="H8" s="55" t="n">
        <x:f>'Controls'!C31+3*E8/'Controls'!C29</x:f>
        <x:v>73.06605124678991</x:v>
      </x:c>
      <x:c r="I8" s="55" t="n">
        <x:f>'Controls'!C32+3*E8/'Controls'!C30</x:f>
        <x:v>73.80254076449197</x:v>
      </x:c>
      <x:c r="J8" s="55" t="n">
        <x:f>MIN(H8,I8)</x:f>
        <x:v>73.06605124678991</x:v>
      </x:c>
      <x:c r="K8" s="55" t="n">
        <x:f>72-J8</x:f>
        <x:v>-1.066051246789911</x:v>
      </x:c>
      <x:c r="L8" s="55" t="n">
        <x:v>30</x:v>
      </x:c>
      <x:c r="M8" s="27" t="str">
        <x:f>IF(AND(J8&lt;=72,L8&lt;=54),"CANDIDATE","FAILS")</x:f>
        <x:v>FAILS</x:v>
      </x:c>
    </x:row>
    <x:row r="9" ht="21.600000381469727" hidden="0" customHeight="1">
      <x:c r="A9" s="29" t="str">
        <x:v>Partner receiver</x:v>
      </x:c>
      <x:c r="B9" s="48" t="n">
        <x:v>0.7</x:v>
      </x:c>
      <x:c r="C9" s="57" t="n">
        <x:f>'Controls'!C26*(1-B9)</x:f>
        <x:v>23.612302459200002</x:v>
      </x:c>
      <x:c r="D9" s="57" t="n">
        <x:f>C9*50</x:f>
        <x:v>1180.61512296</x:v>
      </x:c>
      <x:c r="E9" s="57" t="n">
        <x:f>'Controls'!C24-'Controls'!C25+D9</x:f>
        <x:v>11696.305122959999</x:v>
      </x:c>
      <x:c r="F9" s="57" t="n">
        <x:f>'Controls'!C27-E9</x:f>
        <x:v>352.4448770400013</x:v>
      </x:c>
      <x:c r="G9" s="57" t="n">
        <x:f>'Controls'!C28-E9</x:f>
        <x:v>84.6948770400013</x:v>
      </x:c>
      <x:c r="H9" s="57" t="n">
        <x:f>'Controls'!C31+3*E9/'Controls'!C29</x:f>
        <x:v>70.42041511690756</x:v>
      </x:c>
      <x:c r="I9" s="57" t="n">
        <x:f>'Controls'!C32+3*E9/'Controls'!C30</x:f>
        <x:v>71.69805747935828</x:v>
      </x:c>
      <x:c r="J9" s="57" t="n">
        <x:f>MIN(H9,I9)</x:f>
        <x:v>70.42041511690756</x:v>
      </x:c>
      <x:c r="K9" s="57" t="n">
        <x:f>72-J9</x:f>
        <x:v>1.579584883092437</x:v>
      </x:c>
      <x:c r="L9" s="57" t="n">
        <x:v>30</x:v>
      </x:c>
      <x:c r="M9" s="29" t="str">
        <x:f>IF(AND(J9&lt;=72,L9&lt;=54),"CANDIDATE","FAILS")</x:f>
        <x:v>CANDIDATE</x:v>
      </x:c>
    </x:row>
    <x:row r="10">
      <x:c r="A10" s="83"/>
      <x:c r="B10" s="83"/>
      <x:c r="C10" s="83"/>
      <x:c r="D10" s="83"/>
      <x:c r="E10" s="83"/>
      <x:c r="F10" s="83"/>
      <x:c r="G10" s="83"/>
      <x:c r="H10" s="83"/>
      <x:c r="I10" s="83"/>
      <x:c r="J10" s="83"/>
      <x:c r="K10" s="83"/>
      <x:c r="L10" s="83"/>
      <x:c r="M10" s="83"/>
    </x:row>
    <x:row r="11" ht="34" customHeight="1">
      <x:c r="A11" s="90" t="str">
        <x:v>Receiver-ready hour 54 is a provisional latest-start screen for an eighteen-hour connection path. Actual item sequencing and civil release remain open.</x:v>
      </x:c>
      <x:c r="B11" s="90"/>
      <x:c r="C11" s="90"/>
      <x:c r="D11" s="90"/>
      <x:c r="E11" s="90"/>
      <x:c r="F11" s="90"/>
      <x:c r="G11" s="90"/>
      <x:c r="H11" s="90"/>
      <x:c r="I11" s="90"/>
      <x:c r="J11" s="90"/>
      <x:c r="K11" s="90"/>
      <x:c r="L11" s="90"/>
      <x:c r="M11" s="90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34" hidden="0" customWidth="1"/>
    <x:col min="2" max="2" width="18" hidden="0" customWidth="1"/>
    <x:col min="3" max="3" width="18" hidden="0" customWidth="1"/>
    <x:col min="4" max="4" width="40" hidden="0" customWidth="1"/>
    <x:col min="5" max="5" width="40" hidden="0" customWidth="1"/>
    <x:col min="6" max="6" width="40" hidden="0" customWidth="1"/>
  </x:cols>
  <x:sheetData>
    <x:row r="1" ht="29" customHeight="1">
      <x:c r="A1" s="81" t="str">
        <x:v>Partner and territorial receiving layer</x:v>
      </x:c>
      <x:c r="B1" s="81"/>
      <x:c r="C1" s="81"/>
      <x:c r="D1" s="81"/>
      <x:c r="E1" s="81"/>
      <x:c r="F1" s="81"/>
      <x:c r="G1" s="81"/>
      <x:c r="H1" s="81"/>
      <x:c r="I1" s="81"/>
      <x:c r="J1" s="81"/>
    </x:row>
    <x:row r="2" ht="28" customHeight="1">
      <x:c r="A2" s="82" t="str">
        <x:v>Six assurance cells distribute 144 five-district nodes. Host sovereignty and alternate access remain explicit.</x:v>
      </x:c>
      <x:c r="B2" s="82"/>
      <x:c r="C2" s="82"/>
      <x:c r="D2" s="82"/>
      <x:c r="E2" s="82"/>
      <x:c r="F2" s="82"/>
      <x:c r="G2" s="82"/>
      <x:c r="H2" s="82"/>
      <x:c r="I2" s="82"/>
      <x:c r="J2" s="82"/>
    </x:row>
    <x:row r="3">
      <x:c r="A3" s="83"/>
      <x:c r="B3" s="83"/>
      <x:c r="C3" s="83"/>
      <x:c r="D3" s="83"/>
      <x:c r="E3" s="83"/>
      <x:c r="F3" s="83"/>
      <x:c r="G3" s="83"/>
      <x:c r="H3" s="83"/>
      <x:c r="I3" s="83"/>
      <x:c r="J3" s="83"/>
    </x:row>
    <x:row r="4" ht="31" customHeight="1">
      <x:c r="A4" s="84" t="str">
        <x:v>Measure</x:v>
      </x:c>
      <x:c r="B4" s="85" t="str">
        <x:v>Value</x:v>
      </x:c>
      <x:c r="C4" s="85" t="str">
        <x:v>Unit</x:v>
      </x:c>
      <x:c r="D4" s="85" t="str">
        <x:v>Derivation</x:v>
      </x:c>
      <x:c r="E4" s="85" t="str">
        <x:v>Finding</x:v>
      </x:c>
      <x:c r="F4" s="86" t="str">
        <x:v>Open dependency</x:v>
      </x:c>
      <x:c r="G4" s="83"/>
      <x:c r="H4" s="83"/>
      <x:c r="I4" s="83"/>
      <x:c r="J4" s="83"/>
    </x:row>
    <x:row r="5" ht="21.600000381469727" hidden="0" customHeight="1">
      <x:c r="A5" s="28" t="str">
        <x:v>Partner nodes</x:v>
      </x:c>
      <x:c r="B5" s="53" t="n">
        <x:f>'Site Classes'!D8</x:f>
        <x:v>144</x:v>
      </x:c>
      <x:c r="C5" s="28" t="str">
        <x:v>sites</x:v>
      </x:c>
      <x:c r="D5" s="28" t="str">
        <x:v>site-class inventory</x:v>
      </x:c>
      <x:c r="E5" s="28" t="str">
        <x:v>distributed</x:v>
      </x:c>
      <x:c r="F5" s="28" t="str">
        <x:v>host agreements</x:v>
      </x:c>
      <x:c r="G5" s="83"/>
      <x:c r="H5" s="83"/>
      <x:c r="I5" s="83"/>
      <x:c r="J5" s="83"/>
    </x:row>
    <x:row r="6" ht="21.600000381469727" hidden="0" customHeight="1">
      <x:c r="A6" s="27" t="str">
        <x:v>Nominal capacity</x:v>
      </x:c>
      <x:c r="B6" s="55" t="n">
        <x:f>'Site Classes'!F8</x:f>
        <x:v>720</x:v>
      </x:c>
      <x:c r="C6" s="27" t="str">
        <x:v>CDE</x:v>
      </x:c>
      <x:c r="D6" s="27" t="str">
        <x:v>nodes × five</x:v>
      </x:c>
      <x:c r="E6" s="27" t="str">
        <x:v>720,000 people</x:v>
      </x:c>
      <x:c r="F6" s="27" t="str">
        <x:v>population/catchment fit</x:v>
      </x:c>
      <x:c r="G6" s="83"/>
      <x:c r="H6" s="83"/>
      <x:c r="I6" s="83"/>
      <x:c r="J6" s="83"/>
    </x:row>
    <x:row r="7" ht="32.400001525878906" hidden="0" customHeight="1">
      <x:c r="A7" s="29" t="str">
        <x:v>Readiness-adjusted capacity</x:v>
      </x:c>
      <x:c r="B7" s="57" t="n">
        <x:f>'Site Classes'!M8</x:f>
        <x:v>470.93399999999997</x:v>
      </x:c>
      <x:c r="C7" s="29" t="str">
        <x:v>CDE</x:v>
      </x:c>
      <x:c r="D7" s="29" t="str">
        <x:v>four-factor screen</x:v>
      </x:c>
      <x:c r="E7" s="29" t="str">
        <x:v>before cell loss</x:v>
      </x:c>
      <x:c r="F7" s="29" t="str">
        <x:v>unverified factors</x:v>
      </x:c>
      <x:c r="G7" s="83"/>
      <x:c r="H7" s="83"/>
      <x:c r="I7" s="83"/>
      <x:c r="J7" s="83"/>
    </x:row>
    <x:row r="8" ht="32.400001525878906" hidden="0" customHeight="1">
      <x:c r="A8" s="27" t="str">
        <x:v>After one cell loss</x:v>
      </x:c>
      <x:c r="B8" s="55" t="n">
        <x:f>'Inventory'!F6</x:f>
        <x:v>392.445</x:v>
      </x:c>
      <x:c r="C8" s="27" t="str">
        <x:v>CDE</x:v>
      </x:c>
      <x:c r="D8" s="27" t="str">
        <x:v>five of six cells</x:v>
      </x:c>
      <x:c r="E8" s="27" t="str">
        <x:v>assurance case</x:v>
      </x:c>
      <x:c r="F8" s="27" t="str">
        <x:v>cell independence</x:v>
      </x:c>
      <x:c r="G8" s="83"/>
      <x:c r="H8" s="83"/>
      <x:c r="I8" s="83"/>
      <x:c r="J8" s="83"/>
    </x:row>
    <x:row r="9" ht="32.400001525878906" hidden="0" customHeight="1">
      <x:c r="A9" s="29" t="str">
        <x:v>After common-mode haircut</x:v>
      </x:c>
      <x:c r="B9" s="57" t="n">
        <x:f>'Inventory'!G6</x:f>
        <x:v>372.82275</x:v>
      </x:c>
      <x:c r="C9" s="29" t="str">
        <x:v>CDE</x:v>
      </x:c>
      <x:c r="D9" s="29" t="str">
        <x:v>selected 5%</x:v>
      </x:c>
      <x:c r="E9" s="29" t="str">
        <x:v>reserve-inclusive margin</x:v>
      </x:c>
      <x:c r="F9" s="29" t="str">
        <x:v>shared supplier/authority</x:v>
      </x:c>
      <x:c r="G9" s="83"/>
      <x:c r="H9" s="83"/>
      <x:c r="I9" s="83"/>
      <x:c r="J9" s="83"/>
    </x:row>
    <x:row r="10" ht="32.400001525878906" hidden="0" customHeight="1">
      <x:c r="A10" s="27" t="str">
        <x:v>Requirement</x:v>
      </x:c>
      <x:c r="B10" s="55" t="n">
        <x:f>'Inventory'!H6</x:f>
        <x:v>360</x:v>
      </x:c>
      <x:c r="C10" s="27" t="str">
        <x:v>CDE</x:v>
      </x:c>
      <x:c r="D10" s="27" t="str">
        <x:v>two global campaigns + reserve</x:v>
      </x:c>
      <x:c r="E10" s="27" t="str">
        <x:v>360,000 people</x:v>
      </x:c>
      <x:c r="F10" s="27" t="str">
        <x:v>invitation and consent</x:v>
      </x:c>
      <x:c r="G10" s="83"/>
      <x:c r="H10" s="83"/>
      <x:c r="I10" s="83"/>
      <x:c r="J10" s="83"/>
    </x:row>
    <x:row r="11" ht="32.400001525878906" hidden="0" customHeight="1">
      <x:c r="A11" s="29" t="str">
        <x:v>Margin</x:v>
      </x:c>
      <x:c r="B11" s="57" t="n">
        <x:f>B9-B10</x:f>
        <x:v>12.822749999999985</x:v>
      </x:c>
      <x:c r="C11" s="29" t="str">
        <x:v>CDE</x:v>
      </x:c>
      <x:c r="D11" s="29" t="str">
        <x:v>assured minus requirement</x:v>
      </x:c>
      <x:c r="E11" s="29" t="str">
        <x:v>thin</x:v>
      </x:c>
      <x:c r="F11" s="29" t="str">
        <x:v>queue and geography</x:v>
      </x:c>
      <x:c r="G11" s="83"/>
      <x:c r="H11" s="83"/>
      <x:c r="I11" s="83"/>
      <x:c r="J11" s="83"/>
    </x:row>
    <x:row r="12" ht="21.600000381469727" hidden="0" customHeight="1">
      <x:c r="A12" s="27" t="str">
        <x:v>Partner fixed share</x:v>
      </x:c>
      <x:c r="B12" s="47" t="n">
        <x:f>'Site Classes'!G8</x:f>
        <x:v>0.7</x:v>
      </x:c>
      <x:c r="C12" s="27" t="str">
        <x:v>fraction</x:v>
      </x:c>
      <x:c r="D12" s="27" t="str">
        <x:v>site-class assumption</x:v>
      </x:c>
      <x:c r="E12" s="27" t="str">
        <x:v>70%</x:v>
      </x:c>
      <x:c r="F12" s="27" t="str">
        <x:v>configuration evidence</x:v>
      </x:c>
      <x:c r="G12" s="83"/>
      <x:c r="H12" s="83"/>
      <x:c r="I12" s="83"/>
      <x:c r="J12" s="83"/>
    </x:row>
    <x:row r="13" ht="21.600000381469727" hidden="0" customHeight="1">
      <x:c r="A13" s="29" t="str">
        <x:v>Partner pod mass</x:v>
      </x:c>
      <x:c r="B13" s="57" t="n">
        <x:f>'Pod Timing'!E9</x:f>
        <x:v>11696.305122959999</x:v>
      </x:c>
      <x:c r="C13" s="29" t="str">
        <x:v>t</x:v>
      </x:c>
      <x:c r="D13" s="29" t="str">
        <x:v>district replacement</x:v>
      </x:c>
      <x:c r="E13" s="29" t="str">
        <x:v>movement screen</x:v>
      </x:c>
      <x:c r="F13" s="29" t="str">
        <x:v>mode/access</x:v>
      </x:c>
      <x:c r="G13" s="83"/>
      <x:c r="H13" s="83"/>
      <x:c r="I13" s="83"/>
      <x:c r="J13" s="83"/>
    </x:row>
    <x:row r="14" ht="32.400001525878906" hidden="0" customHeight="1">
      <x:c r="A14" s="27" t="str">
        <x:v>Tenth cargo completion</x:v>
      </x:c>
      <x:c r="B14" s="55" t="n">
        <x:f>'Pod Timing'!J9</x:f>
        <x:v>70.42041511690756</x:v>
      </x:c>
      <x:c r="C14" s="27" t="str">
        <x:v>hour</x:v>
      </x:c>
      <x:c r="D14" s="27" t="str">
        <x:v>faster surviving mode pair</x:v>
      </x:c>
      <x:c r="E14" s="27" t="str">
        <x:v>hour-72 screen</x:v>
      </x:c>
      <x:c r="F14" s="27" t="str">
        <x:v>local release</x:v>
      </x:c>
      <x:c r="G14" s="83"/>
      <x:c r="H14" s="83"/>
      <x:c r="I14" s="83"/>
      <x:c r="J14" s="83"/>
    </x:row>
  </x:sheetData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9" hidden="0" customWidth="1"/>
    <x:col min="2" max="2" width="37" hidden="0" customWidth="1"/>
    <x:col min="3" max="3" width="18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  <x:col min="11" max="11" width="15" hidden="0" customWidth="1"/>
    <x:col min="12" max="12" width="15" hidden="0" customWidth="1"/>
    <x:col min="13" max="13" width="15" hidden="0" customWidth="1"/>
    <x:col min="14" max="14" width="27" hidden="0" customWidth="1"/>
  </x:cols>
  <x:sheetData>
    <x:row r="1" ht="29" customHeight="1">
      <x:c r="A1" s="81" t="str">
        <x:v>Receiver activation sequence</x:v>
      </x:c>
      <x:c r="B1" s="81"/>
      <x:c r="C1" s="81"/>
      <x:c r="D1" s="81"/>
      <x:c r="E1" s="81"/>
      <x:c r="F1" s="81"/>
      <x:c r="G1" s="81"/>
      <x:c r="H1" s="81"/>
      <x:c r="I1" s="81"/>
      <x:c r="J1" s="81"/>
      <x:c r="K1" s="81"/>
      <x:c r="L1" s="81"/>
      <x:c r="M1" s="81"/>
      <x:c r="N1" s="81"/>
    </x:row>
    <x:row r="2" ht="28" customHeight="1">
      <x:c r="A2" s="82" t="str">
        <x:v>A site becomes capacity only after access, inspection, utilities, technical acceptance and civil release.</x:v>
      </x:c>
      <x:c r="B2" s="82"/>
      <x:c r="C2" s="82"/>
      <x:c r="D2" s="82"/>
      <x:c r="E2" s="82"/>
      <x:c r="F2" s="82"/>
      <x:c r="G2" s="82"/>
      <x:c r="H2" s="82"/>
      <x:c r="I2" s="82"/>
      <x:c r="J2" s="82"/>
      <x:c r="K2" s="82"/>
      <x:c r="L2" s="82"/>
      <x:c r="M2" s="82"/>
      <x:c r="N2" s="82"/>
    </x:row>
    <x:row r="3">
      <x:c r="A3" s="83"/>
      <x:c r="B3" s="83"/>
      <x:c r="C3" s="83"/>
      <x:c r="D3" s="83"/>
      <x:c r="E3" s="83"/>
      <x:c r="F3" s="83"/>
      <x:c r="G3" s="83"/>
      <x:c r="H3" s="83"/>
      <x:c r="I3" s="83"/>
      <x:c r="J3" s="83"/>
      <x:c r="K3" s="83"/>
      <x:c r="L3" s="83"/>
      <x:c r="M3" s="83"/>
      <x:c r="N3" s="83"/>
    </x:row>
    <x:row r="4" ht="31" customHeight="1">
      <x:c r="A4" s="84" t="str">
        <x:v>ID</x:v>
      </x:c>
      <x:c r="B4" s="85" t="str">
        <x:v>Activity</x:v>
      </x:c>
      <x:c r="C4" s="85" t="str">
        <x:v>Predecessor</x:v>
      </x:c>
      <x:c r="D4" s="85" t="str">
        <x:v>RRC duration h</x:v>
      </x:c>
      <x:c r="E4" s="85" t="str">
        <x:v>DPS duration h</x:v>
      </x:c>
      <x:c r="F4" s="85" t="str">
        <x:v>BAN duration h</x:v>
      </x:c>
      <x:c r="G4" s="85" t="str">
        <x:v>PTR duration h</x:v>
      </x:c>
      <x:c r="H4" s="85" t="str">
        <x:v>RRC start</x:v>
      </x:c>
      <x:c r="I4" s="85" t="str">
        <x:v>RRC finish</x:v>
      </x:c>
      <x:c r="J4" s="85" t="str">
        <x:v>DPS start</x:v>
      </x:c>
      <x:c r="K4" s="85" t="str">
        <x:v>DPS finish</x:v>
      </x:c>
      <x:c r="L4" s="85" t="str">
        <x:v>BAN start</x:v>
      </x:c>
      <x:c r="M4" s="85" t="str">
        <x:v>BAN finish</x:v>
      </x:c>
      <x:c r="N4" s="86" t="str">
        <x:v>Release owner</x:v>
      </x:c>
    </x:row>
    <x:row r="5" ht="32.400001525878906" hidden="0" customHeight="1">
      <x:c r="A5" s="28" t="str">
        <x:v>A01</x:v>
      </x:c>
      <x:c r="B5" s="28" t="str">
        <x:v>Event characterization</x:v>
      </x:c>
      <x:c r="C5" s="28" t="str"/>
      <x:c r="D5" s="53" t="n">
        <x:v>2</x:v>
      </x:c>
      <x:c r="E5" s="53" t="n">
        <x:v>2</x:v>
      </x:c>
      <x:c r="F5" s="53" t="n">
        <x:v>2</x:v>
      </x:c>
      <x:c r="G5" s="53" t="n">
        <x:v>3</x:v>
      </x:c>
      <x:c r="H5" s="53" t="n">
        <x:f>0</x:f>
        <x:v>0</x:v>
      </x:c>
      <x:c r="I5" s="53" t="n">
        <x:f>H5+D5</x:f>
        <x:v>2</x:v>
      </x:c>
      <x:c r="J5" s="53" t="n">
        <x:f>0</x:f>
        <x:v>0</x:v>
      </x:c>
      <x:c r="K5" s="53" t="n">
        <x:f>J5+E5</x:f>
        <x:v>2</x:v>
      </x:c>
      <x:c r="L5" s="53" t="n">
        <x:f>0</x:f>
        <x:v>0</x:v>
      </x:c>
      <x:c r="M5" s="53" t="n">
        <x:f>L5+F5</x:f>
        <x:v>2</x:v>
      </x:c>
      <x:c r="N5" s="28" t="str">
        <x:v>campaign assurance</x:v>
      </x:c>
    </x:row>
    <x:row r="6" ht="21.600000381469727" hidden="0" customHeight="1">
      <x:c r="A6" s="27" t="str">
        <x:v>A02</x:v>
      </x:c>
      <x:c r="B6" s="27" t="str">
        <x:v>Portfolio allocation</x:v>
      </x:c>
      <x:c r="C6" s="27" t="str">
        <x:v>A01</x:v>
      </x:c>
      <x:c r="D6" s="55" t="n">
        <x:v>2</x:v>
      </x:c>
      <x:c r="E6" s="55" t="n">
        <x:v>2</x:v>
      </x:c>
      <x:c r="F6" s="55" t="n">
        <x:v>2</x:v>
      </x:c>
      <x:c r="G6" s="55" t="n">
        <x:v>3</x:v>
      </x:c>
      <x:c r="H6" s="55" t="n">
        <x:f>I5</x:f>
        <x:v>2</x:v>
      </x:c>
      <x:c r="I6" s="55" t="n">
        <x:f>H6+D6</x:f>
        <x:v>4</x:v>
      </x:c>
      <x:c r="J6" s="55" t="n">
        <x:f>K5</x:f>
        <x:v>2</x:v>
      </x:c>
      <x:c r="K6" s="55" t="n">
        <x:f>J6+E6</x:f>
        <x:v>4</x:v>
      </x:c>
      <x:c r="L6" s="55" t="n">
        <x:f>M5</x:f>
        <x:v>2</x:v>
      </x:c>
      <x:c r="M6" s="55" t="n">
        <x:f>L6+F6</x:f>
        <x:v>4</x:v>
      </x:c>
      <x:c r="N6" s="27" t="str">
        <x:v>lattice command</x:v>
      </x:c>
    </x:row>
    <x:row r="7" ht="43.20000076293945" hidden="0" customHeight="1">
      <x:c r="A7" s="29" t="str">
        <x:v>A03</x:v>
      </x:c>
      <x:c r="B7" s="29" t="str">
        <x:v>Remote telemetry and record pull</x:v>
      </x:c>
      <x:c r="C7" s="29" t="str">
        <x:v>A01</x:v>
      </x:c>
      <x:c r="D7" s="57" t="n">
        <x:v>1</x:v>
      </x:c>
      <x:c r="E7" s="57" t="n">
        <x:v>1</x:v>
      </x:c>
      <x:c r="F7" s="57" t="n">
        <x:v>1</x:v>
      </x:c>
      <x:c r="G7" s="57" t="n">
        <x:v>2</x:v>
      </x:c>
      <x:c r="H7" s="57" t="n">
        <x:f>I5</x:f>
        <x:v>2</x:v>
      </x:c>
      <x:c r="I7" s="57" t="n">
        <x:f>H7+D7</x:f>
        <x:v>3</x:v>
      </x:c>
      <x:c r="J7" s="57" t="n">
        <x:f>K5</x:f>
        <x:v>2</x:v>
      </x:c>
      <x:c r="K7" s="57" t="n">
        <x:f>J7+E7</x:f>
        <x:v>3</x:v>
      </x:c>
      <x:c r="L7" s="57" t="n">
        <x:f>M5</x:f>
        <x:v>2</x:v>
      </x:c>
      <x:c r="M7" s="57" t="n">
        <x:f>L7+F7</x:f>
        <x:v>3</x:v>
      </x:c>
      <x:c r="N7" s="29" t="str">
        <x:v>site control</x:v>
      </x:c>
    </x:row>
    <x:row r="8" ht="32.400001525878906" hidden="0" customHeight="1">
      <x:c r="A8" s="27" t="str">
        <x:v>A04</x:v>
      </x:c>
      <x:c r="B8" s="27" t="str">
        <x:v>Site access and legal control</x:v>
      </x:c>
      <x:c r="C8" s="27" t="str">
        <x:v>A02</x:v>
      </x:c>
      <x:c r="D8" s="55" t="n">
        <x:v>2</x:v>
      </x:c>
      <x:c r="E8" s="55" t="n">
        <x:v>4</x:v>
      </x:c>
      <x:c r="F8" s="55" t="n">
        <x:v>4</x:v>
      </x:c>
      <x:c r="G8" s="55" t="n">
        <x:v>6</x:v>
      </x:c>
      <x:c r="H8" s="55" t="n">
        <x:f>I6</x:f>
        <x:v>4</x:v>
      </x:c>
      <x:c r="I8" s="55" t="n">
        <x:f>H8+D8</x:f>
        <x:v>6</x:v>
      </x:c>
      <x:c r="J8" s="55" t="n">
        <x:f>K6</x:f>
        <x:v>4</x:v>
      </x:c>
      <x:c r="K8" s="55" t="n">
        <x:f>J8+E8</x:f>
        <x:v>8</x:v>
      </x:c>
      <x:c r="L8" s="55" t="n">
        <x:f>M6</x:f>
        <x:v>4</x:v>
      </x:c>
      <x:c r="M8" s="55" t="n">
        <x:f>L8+F8</x:f>
        <x:v>8</x:v>
      </x:c>
      <x:c r="N8" s="27" t="str">
        <x:v>civil authority</x:v>
      </x:c>
    </x:row>
    <x:row r="9" ht="32.400001525878906" hidden="0" customHeight="1">
      <x:c r="A9" s="29" t="str">
        <x:v>A05</x:v>
      </x:c>
      <x:c r="B9" s="29" t="str">
        <x:v>Rapid structural/site inspection</x:v>
      </x:c>
      <x:c r="C9" s="29" t="str">
        <x:v>A03,A04</x:v>
      </x:c>
      <x:c r="D9" s="57" t="n">
        <x:v>3</x:v>
      </x:c>
      <x:c r="E9" s="57" t="n">
        <x:v>5</x:v>
      </x:c>
      <x:c r="F9" s="57" t="n">
        <x:v>8</x:v>
      </x:c>
      <x:c r="G9" s="57" t="n">
        <x:v>8</x:v>
      </x:c>
      <x:c r="H9" s="57" t="n">
        <x:f>MAX(I7,I8)</x:f>
        <x:v>6</x:v>
      </x:c>
      <x:c r="I9" s="57" t="n">
        <x:f>H9+D9</x:f>
        <x:v>9</x:v>
      </x:c>
      <x:c r="J9" s="57" t="n">
        <x:f>MAX(K7,K8)</x:f>
        <x:v>8</x:v>
      </x:c>
      <x:c r="K9" s="57" t="n">
        <x:f>J9+E9</x:f>
        <x:v>13</x:v>
      </x:c>
      <x:c r="L9" s="57" t="n">
        <x:f>MAX(M7,M8)</x:f>
        <x:v>8</x:v>
      </x:c>
      <x:c r="M9" s="57" t="n">
        <x:f>L9+F9</x:f>
        <x:v>16</x:v>
      </x:c>
      <x:c r="N9" s="29" t="str">
        <x:v>independent inspection</x:v>
      </x:c>
    </x:row>
    <x:row r="10" ht="32.400001525878906" hidden="0" customHeight="1">
      <x:c r="A10" s="27" t="str">
        <x:v>A06</x:v>
      </x:c>
      <x:c r="B10" s="27" t="str">
        <x:v>Debris and access clearance</x:v>
      </x:c>
      <x:c r="C10" s="27" t="str">
        <x:v>A04</x:v>
      </x:c>
      <x:c r="D10" s="55" t="n">
        <x:v>4</x:v>
      </x:c>
      <x:c r="E10" s="55" t="n">
        <x:v>8</x:v>
      </x:c>
      <x:c r="F10" s="55" t="n">
        <x:v>10</x:v>
      </x:c>
      <x:c r="G10" s="55" t="n">
        <x:v>10</x:v>
      </x:c>
      <x:c r="H10" s="55" t="n">
        <x:f>I8</x:f>
        <x:v>6</x:v>
      </x:c>
      <x:c r="I10" s="55" t="n">
        <x:f>H10+D10</x:f>
        <x:v>10</x:v>
      </x:c>
      <x:c r="J10" s="55" t="n">
        <x:f>K8</x:f>
        <x:v>8</x:v>
      </x:c>
      <x:c r="K10" s="55" t="n">
        <x:f>J10+E10</x:f>
        <x:v>16</x:v>
      </x:c>
      <x:c r="L10" s="55" t="n">
        <x:f>M8</x:f>
        <x:v>8</x:v>
      </x:c>
      <x:c r="M10" s="55" t="n">
        <x:f>L10+F10</x:f>
        <x:v>18</x:v>
      </x:c>
      <x:c r="N10" s="27" t="str">
        <x:v>access group</x:v>
      </x:c>
    </x:row>
    <x:row r="11" ht="32.400001525878906" hidden="0" customHeight="1">
      <x:c r="A11" s="29" t="str">
        <x:v>A07</x:v>
      </x:c>
      <x:c r="B11" s="29" t="str">
        <x:v>Utility isolation and black start</x:v>
      </x:c>
      <x:c r="C11" s="29" t="str">
        <x:v>A05</x:v>
      </x:c>
      <x:c r="D11" s="57" t="n">
        <x:v>3</x:v>
      </x:c>
      <x:c r="E11" s="57" t="n">
        <x:v>5</x:v>
      </x:c>
      <x:c r="F11" s="57" t="n">
        <x:v>6</x:v>
      </x:c>
      <x:c r="G11" s="57" t="n">
        <x:v>6</x:v>
      </x:c>
      <x:c r="H11" s="57" t="n">
        <x:f>I9</x:f>
        <x:v>9</x:v>
      </x:c>
      <x:c r="I11" s="57" t="n">
        <x:f>H11+D11</x:f>
        <x:v>12</x:v>
      </x:c>
      <x:c r="J11" s="57" t="n">
        <x:f>K9</x:f>
        <x:v>13</x:v>
      </x:c>
      <x:c r="K11" s="57" t="n">
        <x:f>J11+E11</x:f>
        <x:v>18</x:v>
      </x:c>
      <x:c r="L11" s="57" t="n">
        <x:f>M9</x:f>
        <x:v>16</x:v>
      </x:c>
      <x:c r="M11" s="57" t="n">
        <x:f>L11+F11</x:f>
        <x:v>22</x:v>
      </x:c>
      <x:c r="N11" s="29" t="str">
        <x:v>utility authority</x:v>
      </x:c>
    </x:row>
    <x:row r="12" ht="43.20000076293945" hidden="0" customHeight="1">
      <x:c r="A12" s="27" t="str">
        <x:v>A08</x:v>
      </x:c>
      <x:c r="B12" s="27" t="str">
        <x:v>Receive connection teams and stocks</x:v>
      </x:c>
      <x:c r="C12" s="27" t="str">
        <x:v>A06</x:v>
      </x:c>
      <x:c r="D12" s="55" t="n">
        <x:v>3</x:v>
      </x:c>
      <x:c r="E12" s="55" t="n">
        <x:v>4</x:v>
      </x:c>
      <x:c r="F12" s="55" t="n">
        <x:v>5</x:v>
      </x:c>
      <x:c r="G12" s="55" t="n">
        <x:v>6</x:v>
      </x:c>
      <x:c r="H12" s="55" t="n">
        <x:f>I10</x:f>
        <x:v>10</x:v>
      </x:c>
      <x:c r="I12" s="55" t="n">
        <x:f>H12+D12</x:f>
        <x:v>13</x:v>
      </x:c>
      <x:c r="J12" s="55" t="n">
        <x:f>K10</x:f>
        <x:v>16</x:v>
      </x:c>
      <x:c r="K12" s="55" t="n">
        <x:f>J12+E12</x:f>
        <x:v>20</x:v>
      </x:c>
      <x:c r="L12" s="55" t="n">
        <x:f>M10</x:f>
        <x:v>18</x:v>
      </x:c>
      <x:c r="M12" s="55" t="n">
        <x:f>L12+F12</x:f>
        <x:v>23</x:v>
      </x:c>
      <x:c r="N12" s="27" t="str">
        <x:v>site command</x:v>
      </x:c>
    </x:row>
    <x:row r="13" ht="43.20000076293945" hidden="0" customHeight="1">
      <x:c r="A13" s="29" t="str">
        <x:v>A09</x:v>
      </x:c>
      <x:c r="B13" s="29" t="str">
        <x:v>Connect district adapter package</x:v>
      </x:c>
      <x:c r="C13" s="29" t="str">
        <x:v>A07,A08</x:v>
      </x:c>
      <x:c r="D13" s="57" t="n">
        <x:v>4</x:v>
      </x:c>
      <x:c r="E13" s="57" t="n">
        <x:v>6</x:v>
      </x:c>
      <x:c r="F13" s="57" t="n">
        <x:v>8</x:v>
      </x:c>
      <x:c r="G13" s="57" t="n">
        <x:v>8</x:v>
      </x:c>
      <x:c r="H13" s="57" t="n">
        <x:f>MAX(I11,I12)</x:f>
        <x:v>13</x:v>
      </x:c>
      <x:c r="I13" s="57" t="n">
        <x:f>H13+D13</x:f>
        <x:v>17</x:v>
      </x:c>
      <x:c r="J13" s="57" t="n">
        <x:f>MAX(K11,K12)</x:f>
        <x:v>20</x:v>
      </x:c>
      <x:c r="K13" s="57" t="n">
        <x:f>J13+E13</x:f>
        <x:v>26</x:v>
      </x:c>
      <x:c r="L13" s="57" t="n">
        <x:f>MAX(M11,M12)</x:f>
        <x:v>23</x:v>
      </x:c>
      <x:c r="M13" s="57" t="n">
        <x:f>L13+F13</x:f>
        <x:v>31</x:v>
      </x:c>
      <x:c r="N13" s="29" t="str">
        <x:v>occupied systems</x:v>
      </x:c>
    </x:row>
    <x:row r="14" ht="21.600000381469727" hidden="0" customHeight="1">
      <x:c r="A14" s="27" t="str">
        <x:v>A10</x:v>
      </x:c>
      <x:c r="B14" s="27" t="str">
        <x:v>Technical acceptance</x:v>
      </x:c>
      <x:c r="C14" s="27" t="str">
        <x:v>A09</x:v>
      </x:c>
      <x:c r="D14" s="55" t="n">
        <x:v>2</x:v>
      </x:c>
      <x:c r="E14" s="55" t="n">
        <x:v>2</x:v>
      </x:c>
      <x:c r="F14" s="55" t="n">
        <x:v>3</x:v>
      </x:c>
      <x:c r="G14" s="55" t="n">
        <x:v>3</x:v>
      </x:c>
      <x:c r="H14" s="55" t="n">
        <x:f>I13</x:f>
        <x:v>17</x:v>
      </x:c>
      <x:c r="I14" s="55" t="n">
        <x:f>H14+D14</x:f>
        <x:v>19</x:v>
      </x:c>
      <x:c r="J14" s="55" t="n">
        <x:f>K13</x:f>
        <x:v>26</x:v>
      </x:c>
      <x:c r="K14" s="55" t="n">
        <x:f>J14+E14</x:f>
        <x:v>28</x:v>
      </x:c>
      <x:c r="L14" s="55" t="n">
        <x:f>M13</x:f>
        <x:v>31</x:v>
      </x:c>
      <x:c r="M14" s="55" t="n">
        <x:f>L14+F14</x:f>
        <x:v>34</x:v>
      </x:c>
      <x:c r="N14" s="27" t="str">
        <x:v>technical authority</x:v>
      </x:c>
    </x:row>
    <x:row r="15" ht="32.400001525878906" hidden="0" customHeight="1">
      <x:c r="A15" s="29" t="str">
        <x:v>A11</x:v>
      </x:c>
      <x:c r="B15" s="29" t="str">
        <x:v>Civil occupancy release</x:v>
      </x:c>
      <x:c r="C15" s="29" t="str">
        <x:v>A10</x:v>
      </x:c>
      <x:c r="D15" s="57" t="n">
        <x:v>2</x:v>
      </x:c>
      <x:c r="E15" s="57" t="n">
        <x:v>2</x:v>
      </x:c>
      <x:c r="F15" s="57" t="n">
        <x:v>3</x:v>
      </x:c>
      <x:c r="G15" s="57" t="n">
        <x:v>3</x:v>
      </x:c>
      <x:c r="H15" s="57" t="n">
        <x:f>I14</x:f>
        <x:v>19</x:v>
      </x:c>
      <x:c r="I15" s="57" t="n">
        <x:f>H15+D15</x:f>
        <x:v>21</x:v>
      </x:c>
      <x:c r="J15" s="57" t="n">
        <x:f>K14</x:f>
        <x:v>28</x:v>
      </x:c>
      <x:c r="K15" s="57" t="n">
        <x:f>J15+E15</x:f>
        <x:v>30</x:v>
      </x:c>
      <x:c r="L15" s="57" t="n">
        <x:f>M14</x:f>
        <x:v>34</x:v>
      </x:c>
      <x:c r="M15" s="57" t="n">
        <x:f>L15+F15</x:f>
        <x:v>37</x:v>
      </x:c>
      <x:c r="N15" s="29" t="str">
        <x:v>civil release authority</x:v>
      </x:c>
    </x:row>
    <x:row r="16">
      <x:c r="A16" s="83"/>
      <x:c r="B16" s="83"/>
      <x:c r="C16" s="83"/>
      <x:c r="D16" s="83"/>
      <x:c r="E16" s="83"/>
      <x:c r="F16" s="83"/>
      <x:c r="G16" s="83"/>
      <x:c r="H16" s="83"/>
      <x:c r="I16" s="83"/>
      <x:c r="J16" s="83"/>
      <x:c r="K16" s="83"/>
      <x:c r="L16" s="83"/>
      <x:c r="M16" s="83"/>
      <x:c r="N16" s="83"/>
    </x:row>
    <x:row r="17" ht="34" customHeight="1">
      <x:c r="A17" s="90" t="str">
        <x:v>PTR durations are recorded but the visible network compares domestic classes. Partner sequencing adds customs, sovereign consent and alternate-mode release gates.</x:v>
      </x:c>
      <x:c r="B17" s="90"/>
      <x:c r="C17" s="90"/>
      <x:c r="D17" s="90"/>
      <x:c r="E17" s="90"/>
      <x:c r="F17" s="90"/>
      <x:c r="G17" s="90"/>
      <x:c r="H17" s="90"/>
      <x:c r="I17" s="90"/>
      <x:c r="J17" s="90"/>
      <x:c r="K17" s="90"/>
      <x:c r="L17" s="90"/>
      <x:c r="M17" s="90"/>
      <x:c r="N17" s="90"/>
    </x:row>
  </x:sheetData>
  <x:pageMargins left="0.7" right="0.7" top="0.75" bottom="0.75" header="0.3" footer="0.3"/>
</x:worksheet>
</file>

<file path=xl/worksheets/sheet15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2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17" hidden="0" customWidth="1"/>
    <x:col min="8" max="8" width="17" hidden="0" customWidth="1"/>
    <x:col min="9" max="9" width="17" hidden="0" customWidth="1"/>
    <x:col min="10" max="10" width="35" hidden="0" customWidth="1"/>
    <x:col min="11" max="11" width="35" hidden="0" customWidth="1"/>
    <x:col min="12" max="12" width="35" hidden="0" customWidth="1"/>
  </x:cols>
  <x:sheetData>
    <x:row r="1" ht="29" customHeight="1">
      <x:c r="A1" s="81" t="str">
        <x:v>Inspection and maintenance cycle</x:v>
      </x:c>
      <x:c r="B1" s="81"/>
      <x:c r="C1" s="81"/>
      <x:c r="D1" s="81"/>
      <x:c r="E1" s="81"/>
      <x:c r="F1" s="81"/>
      <x:c r="G1" s="81"/>
      <x:c r="H1" s="81"/>
      <x:c r="I1" s="81"/>
      <x:c r="J1" s="81"/>
      <x:c r="K1" s="81"/>
      <x:c r="L1" s="81"/>
    </x:row>
    <x:row r="2" ht="28" customHeight="1">
      <x:c r="A2" s="82" t="str">
        <x:v>Pre-event condition evidence and post-event safety evaluation are separate readiness obligations.</x:v>
      </x:c>
      <x:c r="B2" s="82"/>
      <x:c r="C2" s="82"/>
      <x:c r="D2" s="82"/>
      <x:c r="E2" s="82"/>
      <x:c r="F2" s="82"/>
      <x:c r="G2" s="82"/>
      <x:c r="H2" s="82"/>
      <x:c r="I2" s="82"/>
      <x:c r="J2" s="82"/>
      <x:c r="K2" s="82"/>
      <x:c r="L2" s="82"/>
    </x:row>
    <x:row r="3">
      <x:c r="A3" s="83"/>
      <x:c r="B3" s="83"/>
      <x:c r="C3" s="83"/>
      <x:c r="D3" s="83"/>
      <x:c r="E3" s="83"/>
      <x:c r="F3" s="83"/>
      <x:c r="G3" s="83"/>
      <x:c r="H3" s="83"/>
      <x:c r="I3" s="83"/>
      <x:c r="J3" s="83"/>
      <x:c r="K3" s="83"/>
      <x:c r="L3" s="83"/>
    </x:row>
    <x:row r="4" ht="31" customHeight="1">
      <x:c r="A4" s="84" t="str">
        <x:v>Class</x:v>
      </x:c>
      <x:c r="B4" s="85" t="str">
        <x:v>Remote status</x:v>
      </x:c>
      <x:c r="C4" s="85" t="str">
        <x:v>Routine physical</x:v>
      </x:c>
      <x:c r="D4" s="85" t="str">
        <x:v>Full functional exercise</x:v>
      </x:c>
      <x:c r="E4" s="85" t="str">
        <x:v>Joint/occupied conversion</x:v>
      </x:c>
      <x:c r="F4" s="85" t="str">
        <x:v>Post-event evaluation</x:v>
      </x:c>
      <x:c r="G4" s="85" t="str">
        <x:v>Annual labor h/site</x:v>
      </x:c>
      <x:c r="H4" s="85" t="str">
        <x:v>Sites</x:v>
      </x:c>
      <x:c r="I4" s="85" t="str">
        <x:v>Annual labor h</x:v>
      </x:c>
      <x:c r="J4" s="85" t="str">
        <x:v>Condition record max age</x:v>
      </x:c>
      <x:c r="K4" s="85" t="str">
        <x:v>Failure rule</x:v>
      </x:c>
      <x:c r="L4" s="86" t="str">
        <x:v>Source boundary</x:v>
      </x:c>
    </x:row>
    <x:row r="5" ht="32.400001525878906" hidden="0" customHeight="1">
      <x:c r="A5" s="28" t="str">
        <x:v>RRC</x:v>
      </x:c>
      <x:c r="B5" s="28" t="str">
        <x:v>continuous</x:v>
      </x:c>
      <x:c r="C5" s="28" t="str">
        <x:v>quarterly</x:v>
      </x:c>
      <x:c r="D5" s="28" t="str">
        <x:v>annual</x:v>
      </x:c>
      <x:c r="E5" s="28" t="str">
        <x:v>annual</x:v>
      </x:c>
      <x:c r="F5" s="28" t="str">
        <x:v>every event</x:v>
      </x:c>
      <x:c r="G5" s="50" t="n">
        <x:v>4200</x:v>
      </x:c>
      <x:c r="H5" s="50" t="n">
        <x:f>'Site Classes'!D5</x:f>
        <x:v>48</x:v>
      </x:c>
      <x:c r="I5" s="50" t="n">
        <x:f>G5*H5</x:f>
        <x:v>201600</x:v>
      </x:c>
      <x:c r="J5" s="28" t="str">
        <x:v>24 h telemetry / 1 y structural</x:v>
      </x:c>
      <x:c r="K5" s="28" t="str">
        <x:v>stale record denies credit</x:v>
      </x:c>
      <x:c r="L5" s="28" t="str">
        <x:v>FEMA P-2055 analogue</x:v>
      </x:c>
    </x:row>
    <x:row r="6" ht="32.400001525878906" hidden="0" customHeight="1">
      <x:c r="A6" s="27" t="str">
        <x:v>DPS</x:v>
      </x:c>
      <x:c r="B6" s="27" t="str">
        <x:v>daily</x:v>
      </x:c>
      <x:c r="C6" s="27" t="str">
        <x:v>quarterly</x:v>
      </x:c>
      <x:c r="D6" s="27" t="str">
        <x:v>annual</x:v>
      </x:c>
      <x:c r="E6" s="27" t="str">
        <x:v>biennial</x:v>
      </x:c>
      <x:c r="F6" s="27" t="str">
        <x:v>every event</x:v>
      </x:c>
      <x:c r="G6" s="44" t="n">
        <x:v>1800</x:v>
      </x:c>
      <x:c r="H6" s="44" t="n">
        <x:f>'Site Classes'!D6</x:f>
        <x:v>192</x:v>
      </x:c>
      <x:c r="I6" s="44" t="n">
        <x:f>G6*H6</x:f>
        <x:v>345600</x:v>
      </x:c>
      <x:c r="J6" s="27" t="str">
        <x:v>7 d telemetry / 1 y site</x:v>
      </x:c>
      <x:c r="K6" s="27" t="str">
        <x:v>failed utility test denies credit</x:v>
      </x:c>
      <x:c r="L6" s="27" t="str">
        <x:v>design assumption</x:v>
      </x:c>
    </x:row>
    <x:row r="7" ht="32.400001525878906" hidden="0" customHeight="1">
      <x:c r="A7" s="29" t="str">
        <x:v>BAN</x:v>
      </x:c>
      <x:c r="B7" s="29" t="str">
        <x:v>monthly</x:v>
      </x:c>
      <x:c r="C7" s="29" t="str">
        <x:v>annual</x:v>
      </x:c>
      <x:c r="D7" s="29" t="str">
        <x:v>triennial</x:v>
      </x:c>
      <x:c r="E7" s="29" t="str">
        <x:v>triennial</x:v>
      </x:c>
      <x:c r="F7" s="29" t="str">
        <x:v>every event</x:v>
      </x:c>
      <x:c r="G7" s="52" t="n">
        <x:v>320</x:v>
      </x:c>
      <x:c r="H7" s="52" t="n">
        <x:f>'Site Classes'!D7</x:f>
        <x:v>1440</x:v>
      </x:c>
      <x:c r="I7" s="52" t="n">
        <x:f>G7*H7</x:f>
        <x:v>460800</x:v>
      </x:c>
      <x:c r="J7" s="29" t="str">
        <x:v>30 d data / 1 y building</x:v>
      </x:c>
      <x:c r="K7" s="29" t="str">
        <x:v>no placard/QA denies credit</x:v>
      </x:c>
      <x:c r="L7" s="29" t="str">
        <x:v>FEMA P-2055 analogue</x:v>
      </x:c>
    </x:row>
    <x:row r="8" ht="21.600000381469727" hidden="0" customHeight="1">
      <x:c r="A8" s="27" t="str">
        <x:v>PTR</x:v>
      </x:c>
      <x:c r="B8" s="27" t="str">
        <x:v>weekly</x:v>
      </x:c>
      <x:c r="C8" s="27" t="str">
        <x:v>quarterly</x:v>
      </x:c>
      <x:c r="D8" s="27" t="str">
        <x:v>annual</x:v>
      </x:c>
      <x:c r="E8" s="27" t="str">
        <x:v>biennial joint</x:v>
      </x:c>
      <x:c r="F8" s="27" t="str">
        <x:v>every event</x:v>
      </x:c>
      <x:c r="G8" s="44" t="n">
        <x:v>700</x:v>
      </x:c>
      <x:c r="H8" s="44" t="n">
        <x:f>'Site Classes'!D8</x:f>
        <x:v>144</x:v>
      </x:c>
      <x:c r="I8" s="44" t="n">
        <x:f>G8*H8</x:f>
        <x:v>100800</x:v>
      </x:c>
      <x:c r="J8" s="27" t="str">
        <x:v>7 d data / 1 y joint</x:v>
      </x:c>
      <x:c r="K8" s="27" t="str">
        <x:v>host release required</x:v>
      </x:c>
      <x:c r="L8" s="27" t="str">
        <x:v>partner assumption</x:v>
      </x:c>
    </x:row>
    <x:row r="9">
      <x:c r="A9" s="83"/>
      <x:c r="B9" s="83"/>
      <x:c r="C9" s="83"/>
      <x:c r="D9" s="83"/>
      <x:c r="E9" s="83"/>
      <x:c r="F9" s="83"/>
      <x:c r="G9" s="83"/>
      <x:c r="H9" s="83"/>
      <x:c r="I9" s="83"/>
      <x:c r="J9" s="83"/>
      <x:c r="K9" s="83"/>
      <x:c r="L9" s="83"/>
    </x:row>
    <x:row r="10" ht="23" customHeight="1">
      <x:c r="A10" s="87" t="str">
        <x:v>Annual program</x:v>
      </x:c>
      <x:c r="B10" s="87"/>
      <x:c r="C10" s="87"/>
      <x:c r="D10" s="87"/>
      <x:c r="E10" s="87"/>
      <x:c r="F10" s="87"/>
      <x:c r="G10" s="87"/>
      <x:c r="H10" s="87"/>
      <x:c r="I10" s="87"/>
      <x:c r="J10" s="87"/>
      <x:c r="K10" s="87"/>
      <x:c r="L10" s="87"/>
    </x:row>
    <x:row r="11" ht="21.600000381469727" hidden="0" customHeight="1">
      <x:c r="A11" s="26" t="str">
        <x:v>Routine inspection and exercise labor</x:v>
      </x:c>
      <x:c r="B11" s="62" t="n">
        <x:f>SUM(I5:I8)</x:f>
        <x:v>1108800</x:v>
      </x:c>
      <x:c r="C11" s="26" t="str">
        <x:v>hours</x:v>
      </x:c>
      <x:c r="D11" s="83"/>
      <x:c r="E11" s="83"/>
      <x:c r="F11" s="83"/>
      <x:c r="G11" s="83"/>
      <x:c r="H11" s="83"/>
      <x:c r="I11" s="83"/>
      <x:c r="J11" s="83"/>
      <x:c r="K11" s="83"/>
      <x:c r="L11" s="83"/>
    </x:row>
    <x:row r="12" ht="21.600000381469727" hidden="0" customHeight="1">
      <x:c r="A12" s="27" t="str">
        <x:v>Equivalent FTE at 1,650 productive h</x:v>
      </x:c>
      <x:c r="B12" s="55" t="n">
        <x:f>B11/1650</x:f>
        <x:v>672</x:v>
      </x:c>
      <x:c r="C12" s="27" t="str">
        <x:v>FTE</x:v>
      </x:c>
      <x:c r="D12" s="83"/>
      <x:c r="E12" s="83"/>
      <x:c r="F12" s="83"/>
      <x:c r="G12" s="83"/>
      <x:c r="H12" s="83"/>
      <x:c r="I12" s="83"/>
      <x:c r="J12" s="83"/>
      <x:c r="K12" s="83"/>
      <x:c r="L12" s="83"/>
    </x:row>
    <x:row r="13" ht="32.400001525878906" hidden="0" customHeight="1">
      <x:c r="A13" s="27" t="str">
        <x:v>Post-event domestic inspection surge</x:v>
      </x:c>
      <x:c r="B13" s="55" t="n">
        <x:f>'Service Contract'!B11*0.8</x:f>
        <x:v>2400</x:v>
      </x:c>
      <x:c r="C13" s="27" t="str">
        <x:v>people</x:v>
      </x:c>
      <x:c r="D13" s="83"/>
      <x:c r="E13" s="83"/>
      <x:c r="F13" s="83"/>
      <x:c r="G13" s="83"/>
      <x:c r="H13" s="83"/>
      <x:c r="I13" s="83"/>
      <x:c r="J13" s="83"/>
      <x:c r="K13" s="83"/>
      <x:c r="L13" s="83"/>
    </x:row>
    <x:row r="14" ht="21.600000381469727" hidden="0" customHeight="1">
      <x:c r="A14" s="27" t="str">
        <x:v>Post-event civil release surge</x:v>
      </x:c>
      <x:c r="B14" s="55" t="n">
        <x:f>'Service Contract'!B11*0.25</x:f>
        <x:v>750</x:v>
      </x:c>
      <x:c r="C14" s="27" t="str">
        <x:v>people</x:v>
      </x:c>
      <x:c r="D14" s="83"/>
      <x:c r="E14" s="83"/>
      <x:c r="F14" s="83"/>
      <x:c r="G14" s="83"/>
      <x:c r="H14" s="83"/>
      <x:c r="I14" s="83"/>
      <x:c r="J14" s="83"/>
      <x:c r="K14" s="83"/>
      <x:c r="L14" s="83"/>
    </x:row>
  </x:sheetData>
  <x:pageMargins left="0.7" right="0.7" top="0.75" bottom="0.75" header="0.3" footer="0.3"/>
</x:worksheet>
</file>

<file path=xl/worksheets/sheet16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9" hidden="0" customWidth="1"/>
    <x:col min="2" max="2" width="39" hidden="0" customWidth="1"/>
    <x:col min="3" max="3" width="39" hidden="0" customWidth="1"/>
    <x:col min="4" max="4" width="39" hidden="0" customWidth="1"/>
    <x:col min="5" max="5" width="18" hidden="0" customWidth="1"/>
    <x:col min="6" max="6" width="18" hidden="0" customWidth="1"/>
    <x:col min="7" max="7" width="18" hidden="0" customWidth="1"/>
    <x:col min="8" max="8" width="31" hidden="0" customWidth="1"/>
    <x:col min="9" max="9" width="12" hidden="0" customWidth="1"/>
    <x:col min="10" max="10" width="12" hidden="0" customWidth="1"/>
  </x:cols>
  <x:sheetData>
    <x:row r="1" ht="29" customHeight="1">
      <x:c r="A1" s="81" t="str">
        <x:v>Site and building passport</x:v>
      </x:c>
      <x:c r="B1" s="81"/>
      <x:c r="C1" s="81"/>
      <x:c r="D1" s="81"/>
      <x:c r="E1" s="81"/>
      <x:c r="F1" s="81"/>
      <x:c r="G1" s="81"/>
      <x:c r="H1" s="81"/>
      <x:c r="I1" s="81"/>
      <x:c r="J1" s="81"/>
    </x:row>
    <x:row r="2" ht="28" customHeight="1">
      <x:c r="A2" s="82" t="str">
        <x:v>The passport is a controlled configuration record, not a database claim that a structure survived.</x:v>
      </x:c>
      <x:c r="B2" s="82"/>
      <x:c r="C2" s="82"/>
      <x:c r="D2" s="82"/>
      <x:c r="E2" s="82"/>
      <x:c r="F2" s="82"/>
      <x:c r="G2" s="82"/>
      <x:c r="H2" s="82"/>
      <x:c r="I2" s="82"/>
      <x:c r="J2" s="82"/>
    </x:row>
    <x:row r="3">
      <x:c r="A3" s="83"/>
      <x:c r="B3" s="83"/>
      <x:c r="C3" s="83"/>
      <x:c r="D3" s="83"/>
      <x:c r="E3" s="83"/>
      <x:c r="F3" s="83"/>
      <x:c r="G3" s="83"/>
      <x:c r="H3" s="83"/>
      <x:c r="I3" s="83"/>
      <x:c r="J3" s="83"/>
    </x:row>
    <x:row r="4" ht="31" customHeight="1">
      <x:c r="A4" s="84" t="str">
        <x:v>Section</x:v>
      </x:c>
      <x:c r="B4" s="85" t="str">
        <x:v>Required record</x:v>
      </x:c>
      <x:c r="C4" s="85" t="str">
        <x:v>Pre-event evidence</x:v>
      </x:c>
      <x:c r="D4" s="85" t="str">
        <x:v>Post-event action</x:v>
      </x:c>
      <x:c r="E4" s="85" t="str">
        <x:v>Maximum age</x:v>
      </x:c>
      <x:c r="F4" s="85" t="str">
        <x:v>Authority</x:v>
      </x:c>
      <x:c r="G4" s="85" t="str">
        <x:v>Offline copy</x:v>
      </x:c>
      <x:c r="H4" s="85" t="str">
        <x:v>Failure consequence</x:v>
      </x:c>
      <x:c r="I4" s="85" t="str">
        <x:v>State</x:v>
      </x:c>
      <x:c r="J4" s="86" t="str">
        <x:v>Gate</x:v>
      </x:c>
    </x:row>
    <x:row r="5" ht="54" hidden="0" customHeight="1">
      <x:c r="A5" s="28" t="str">
        <x:v>Identity</x:v>
      </x:c>
      <x:c r="B5" s="28" t="str">
        <x:v>parcel, owner, control rights, contacts</x:v>
      </x:c>
      <x:c r="C5" s="28" t="str">
        <x:v>executed agreement</x:v>
      </x:c>
      <x:c r="D5" s="28" t="str">
        <x:v>confirm custody</x:v>
      </x:c>
      <x:c r="E5" s="28" t="str">
        <x:v>annual</x:v>
      </x:c>
      <x:c r="F5" s="28" t="str">
        <x:v>civil</x:v>
      </x:c>
      <x:c r="G5" s="28" t="str">
        <x:v>yes</x:v>
      </x:c>
      <x:c r="H5" s="28" t="str">
        <x:v>site unavailable</x:v>
      </x:c>
      <x:c r="I5" s="28" t="str">
        <x:v>OPEN</x:v>
      </x:c>
      <x:c r="J5" s="28" t="str">
        <x:v>G01</x:v>
      </x:c>
    </x:row>
    <x:row r="6" ht="54" hidden="0" customHeight="1">
      <x:c r="A6" s="27" t="str">
        <x:v>Capacity</x:v>
      </x:c>
      <x:c r="B6" s="27" t="str">
        <x:v>usable area, district count, access routes</x:v>
      </x:c>
      <x:c r="C6" s="27" t="str">
        <x:v>survey and measured drawing</x:v>
      </x:c>
      <x:c r="D6" s="27" t="str">
        <x:v>verify obstructions</x:v>
      </x:c>
      <x:c r="E6" s="27" t="str">
        <x:v>annual</x:v>
      </x:c>
      <x:c r="F6" s="27" t="str">
        <x:v>occupied systems</x:v>
      </x:c>
      <x:c r="G6" s="27" t="str">
        <x:v>yes</x:v>
      </x:c>
      <x:c r="H6" s="27" t="str">
        <x:v>capacity reduced</x:v>
      </x:c>
      <x:c r="I6" s="27" t="str">
        <x:v>OPEN</x:v>
      </x:c>
      <x:c r="J6" s="27" t="str">
        <x:v>G02</x:v>
      </x:c>
    </x:row>
    <x:row r="7" ht="54" hidden="0" customHeight="1">
      <x:c r="A7" s="29" t="str">
        <x:v>Structure</x:v>
      </x:c>
      <x:c r="B7" s="29" t="str">
        <x:v>system, condition, alterations, load envelope</x:v>
      </x:c>
      <x:c r="C7" s="29" t="str">
        <x:v>engineering baseline</x:v>
      </x:c>
      <x:c r="D7" s="29" t="str">
        <x:v>hazard-specific evaluation</x:v>
      </x:c>
      <x:c r="E7" s="29" t="str">
        <x:v>annual + change</x:v>
      </x:c>
      <x:c r="F7" s="29" t="str">
        <x:v>technical</x:v>
      </x:c>
      <x:c r="G7" s="29" t="str">
        <x:v>yes</x:v>
      </x:c>
      <x:c r="H7" s="29" t="str">
        <x:v>occupancy denied</x:v>
      </x:c>
      <x:c r="I7" s="29" t="str">
        <x:v>OPEN</x:v>
      </x:c>
      <x:c r="J7" s="29" t="str">
        <x:v>G03</x:v>
      </x:c>
    </x:row>
    <x:row r="8" ht="43.20000076293945" hidden="0" customHeight="1">
      <x:c r="A8" s="27" t="str">
        <x:v>Hazards</x:v>
      </x:c>
      <x:c r="B8" s="27" t="str">
        <x:v>flood, wind, fire, seismic, heat, smoke, industrial</x:v>
      </x:c>
      <x:c r="C8" s="27" t="str">
        <x:v>multi-hazard model</x:v>
      </x:c>
      <x:c r="D8" s="27" t="str">
        <x:v>update event footprint</x:v>
      </x:c>
      <x:c r="E8" s="27" t="str">
        <x:v>annual</x:v>
      </x:c>
      <x:c r="F8" s="27" t="str">
        <x:v>assurance</x:v>
      </x:c>
      <x:c r="G8" s="27" t="str">
        <x:v>yes</x:v>
      </x:c>
      <x:c r="H8" s="27" t="str">
        <x:v>wrong survival credit</x:v>
      </x:c>
      <x:c r="I8" s="27" t="str">
        <x:v>OPEN</x:v>
      </x:c>
      <x:c r="J8" s="27" t="str">
        <x:v>G04</x:v>
      </x:c>
    </x:row>
    <x:row r="9" ht="54" hidden="0" customHeight="1">
      <x:c r="A9" s="29" t="str">
        <x:v>Accessibility</x:v>
      </x:c>
      <x:c r="B9" s="29" t="str">
        <x:v>routes, toilets, charging, transfer, refuge</x:v>
      </x:c>
      <x:c r="C9" s="29" t="str">
        <x:v>representative-user audit</x:v>
      </x:c>
      <x:c r="D9" s="29" t="str">
        <x:v>inspect and remedy</x:v>
      </x:c>
      <x:c r="E9" s="29" t="str">
        <x:v>annual</x:v>
      </x:c>
      <x:c r="F9" s="29" t="str">
        <x:v>civil rights</x:v>
      </x:c>
      <x:c r="G9" s="29" t="str">
        <x:v>yes</x:v>
      </x:c>
      <x:c r="H9" s="29" t="str">
        <x:v>cohort excluded</x:v>
      </x:c>
      <x:c r="I9" s="29" t="str">
        <x:v>OPEN</x:v>
      </x:c>
      <x:c r="J9" s="29" t="str">
        <x:v>G05</x:v>
      </x:c>
    </x:row>
    <x:row r="10" ht="43.20000076293945" hidden="0" customHeight="1">
      <x:c r="A10" s="27" t="str">
        <x:v>Fire/life safety</x:v>
      </x:c>
      <x:c r="B10" s="27" t="str">
        <x:v>egress, alarm, suppression, separation</x:v>
      </x:c>
      <x:c r="C10" s="27" t="str">
        <x:v>acceptance test</x:v>
      </x:c>
      <x:c r="D10" s="27" t="str">
        <x:v>retest after event</x:v>
      </x:c>
      <x:c r="E10" s="27" t="str">
        <x:v>quarterly status</x:v>
      </x:c>
      <x:c r="F10" s="27" t="str">
        <x:v>fire authority</x:v>
      </x:c>
      <x:c r="G10" s="27" t="str">
        <x:v>yes</x:v>
      </x:c>
      <x:c r="H10" s="27" t="str">
        <x:v>occupancy denied</x:v>
      </x:c>
      <x:c r="I10" s="27" t="str">
        <x:v>OPEN</x:v>
      </x:c>
      <x:c r="J10" s="27" t="str">
        <x:v>G06</x:v>
      </x:c>
    </x:row>
    <x:row r="11" ht="54" hidden="0" customHeight="1">
      <x:c r="A11" s="29" t="str">
        <x:v>Power</x:v>
      </x:c>
      <x:c r="B11" s="29" t="str">
        <x:v>sources, one-line, protection, grounding, connectors</x:v>
      </x:c>
      <x:c r="C11" s="29" t="str">
        <x:v>commissioned configuration</x:v>
      </x:c>
      <x:c r="D11" s="29" t="str">
        <x:v>isolate and black start</x:v>
      </x:c>
      <x:c r="E11" s="29" t="str">
        <x:v>quarterly</x:v>
      </x:c>
      <x:c r="F11" s="29" t="str">
        <x:v>utility</x:v>
      </x:c>
      <x:c r="G11" s="29" t="str">
        <x:v>yes</x:v>
      </x:c>
      <x:c r="H11" s="29" t="str">
        <x:v>service island fails</x:v>
      </x:c>
      <x:c r="I11" s="29" t="str">
        <x:v>OPEN</x:v>
      </x:c>
      <x:c r="J11" s="29" t="str">
        <x:v>G07</x:v>
      </x:c>
    </x:row>
    <x:row r="12" ht="54" hidden="0" customHeight="1">
      <x:c r="A12" s="27" t="str">
        <x:v>Water/wastewater</x:v>
      </x:c>
      <x:c r="B12" s="27" t="str">
        <x:v>source, pressure, quality, storage, custody</x:v>
      </x:c>
      <x:c r="C12" s="27" t="str">
        <x:v>sample and flow test</x:v>
      </x:c>
      <x:c r="D12" s="27" t="str">
        <x:v>isolate/test/connect</x:v>
      </x:c>
      <x:c r="E12" s="27" t="str">
        <x:v>quarterly</x:v>
      </x:c>
      <x:c r="F12" s="27" t="str">
        <x:v>public health</x:v>
      </x:c>
      <x:c r="G12" s="27" t="str">
        <x:v>yes</x:v>
      </x:c>
      <x:c r="H12" s="27" t="str">
        <x:v>sanitation fails</x:v>
      </x:c>
      <x:c r="I12" s="27" t="str">
        <x:v>OPEN</x:v>
      </x:c>
      <x:c r="J12" s="27" t="str">
        <x:v>G08</x:v>
      </x:c>
    </x:row>
    <x:row r="13" ht="43.20000076293945" hidden="0" customHeight="1">
      <x:c r="A13" s="29" t="str">
        <x:v>Thermal/air</x:v>
      </x:c>
      <x:c r="B13" s="29" t="str">
        <x:v>zones, equipment, filtration, smoke mode</x:v>
      </x:c>
      <x:c r="C13" s="29" t="str">
        <x:v>functional test</x:v>
      </x:c>
      <x:c r="D13" s="29" t="str">
        <x:v>test envelope and leaks</x:v>
      </x:c>
      <x:c r="E13" s="29" t="str">
        <x:v>quarterly</x:v>
      </x:c>
      <x:c r="F13" s="29" t="str">
        <x:v>health/technical</x:v>
      </x:c>
      <x:c r="G13" s="29" t="str">
        <x:v>yes</x:v>
      </x:c>
      <x:c r="H13" s="29" t="str">
        <x:v>exposure threshold</x:v>
      </x:c>
      <x:c r="I13" s="29" t="str">
        <x:v>OPEN</x:v>
      </x:c>
      <x:c r="J13" s="29" t="str">
        <x:v>G09</x:v>
      </x:c>
    </x:row>
    <x:row r="14" ht="54" hidden="0" customHeight="1">
      <x:c r="A14" s="27" t="str">
        <x:v>Data/communications</x:v>
      </x:c>
      <x:c r="B14" s="27" t="str">
        <x:v>local copy, identity, public access, backhaul</x:v>
      </x:c>
      <x:c r="C14" s="27" t="str">
        <x:v>disconnected exercise</x:v>
      </x:c>
      <x:c r="D14" s="27" t="str">
        <x:v>establish local authority</x:v>
      </x:c>
      <x:c r="E14" s="27" t="str">
        <x:v>monthly</x:v>
      </x:c>
      <x:c r="F14" s="27" t="str">
        <x:v>information</x:v>
      </x:c>
      <x:c r="G14" s="27" t="str">
        <x:v>yes</x:v>
      </x:c>
      <x:c r="H14" s="27" t="str">
        <x:v>accountability fails</x:v>
      </x:c>
      <x:c r="I14" s="27" t="str">
        <x:v>OPEN</x:v>
      </x:c>
      <x:c r="J14" s="27" t="str">
        <x:v>G10</x:v>
      </x:c>
    </x:row>
    <x:row r="15" ht="43.20000076293945" hidden="0" customHeight="1">
      <x:c r="A15" s="29" t="str">
        <x:v>Stocks</x:v>
      </x:c>
      <x:c r="B15" s="29" t="str">
        <x:v>quantity, condition, lot, expiry, substitutes</x:v>
      </x:c>
      <x:c r="C15" s="29" t="str">
        <x:v>cycle count and test</x:v>
      </x:c>
      <x:c r="D15" s="29" t="str">
        <x:v>issue/reconcile</x:v>
      </x:c>
      <x:c r="E15" s="29" t="str">
        <x:v>monthly</x:v>
      </x:c>
      <x:c r="F15" s="29" t="str">
        <x:v>logistics</x:v>
      </x:c>
      <x:c r="G15" s="29" t="str">
        <x:v>yes</x:v>
      </x:c>
      <x:c r="H15" s="29" t="str">
        <x:v>configuration incomplete</x:v>
      </x:c>
      <x:c r="I15" s="29" t="str">
        <x:v>OPEN</x:v>
      </x:c>
      <x:c r="J15" s="29" t="str">
        <x:v>G11</x:v>
      </x:c>
    </x:row>
    <x:row r="16" ht="43.20000076293945" hidden="0" customHeight="1">
      <x:c r="A16" s="27" t="str">
        <x:v>Inspection history</x:v>
      </x:c>
      <x:c r="B16" s="27" t="str">
        <x:v>findings, repairs, waivers, configuration</x:v>
      </x:c>
      <x:c r="C16" s="27" t="str">
        <x:v>independent QA</x:v>
      </x:c>
      <x:c r="D16" s="27" t="str">
        <x:v>event placard and rationale</x:v>
      </x:c>
      <x:c r="E16" s="27" t="str">
        <x:v>continuous</x:v>
      </x:c>
      <x:c r="F16" s="27" t="str">
        <x:v>independent test</x:v>
      </x:c>
      <x:c r="G16" s="27" t="str">
        <x:v>yes</x:v>
      </x:c>
      <x:c r="H16" s="27" t="str">
        <x:v>false-safe release</x:v>
      </x:c>
      <x:c r="I16" s="27" t="str">
        <x:v>OPEN</x:v>
      </x:c>
      <x:c r="J16" s="27" t="str">
        <x:v>G12</x:v>
      </x:c>
    </x:row>
    <x:row r="17" ht="54" hidden="0" customHeight="1">
      <x:c r="A17" s="29" t="str">
        <x:v>Fallback</x:v>
      </x:c>
      <x:c r="B17" s="29" t="str">
        <x:v>alternate site, mobile substitute, evacuation route</x:v>
      </x:c>
      <x:c r="C17" s="29" t="str">
        <x:v>exercise</x:v>
      </x:c>
      <x:c r="D17" s="29" t="str">
        <x:v>activate if site fails</x:v>
      </x:c>
      <x:c r="E17" s="29" t="str">
        <x:v>annual</x:v>
      </x:c>
      <x:c r="F17" s="29" t="str">
        <x:v>campaign command</x:v>
      </x:c>
      <x:c r="G17" s="29" t="str">
        <x:v>yes</x:v>
      </x:c>
      <x:c r="H17" s="29" t="str">
        <x:v>single-point failure</x:v>
      </x:c>
      <x:c r="I17" s="29" t="str">
        <x:v>OPEN</x:v>
      </x:c>
      <x:c r="J17" s="29" t="str">
        <x:v>G13</x:v>
      </x:c>
    </x:row>
  </x:sheetData>
  <x:pageMargins left="0.7" right="0.7" top="0.75" bottom="0.75" header="0.3" footer="0.3"/>
</x:worksheet>
</file>

<file path=xl/worksheets/sheet17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7" hidden="0" customWidth="1"/>
    <x:col min="2" max="2" width="39" hidden="0" customWidth="1"/>
    <x:col min="3" max="3" width="39" hidden="0" customWidth="1"/>
    <x:col min="4" max="4" width="39" hidden="0" customWidth="1"/>
    <x:col min="5" max="5" width="39" hidden="0" customWidth="1"/>
    <x:col min="6" max="6" width="39" hidden="0" customWidth="1"/>
    <x:col min="7" max="7" width="39" hidden="0" customWidth="1"/>
    <x:col min="8" max="8" width="39" hidden="0" customWidth="1"/>
    <x:col min="9" max="9" width="17" hidden="0" customWidth="1"/>
    <x:col min="10" max="10" width="28" hidden="0" customWidth="1"/>
    <x:col min="11" max="11" width="28" hidden="0" customWidth="1"/>
  </x:cols>
  <x:sheetData>
    <x:row r="1" ht="29" customHeight="1">
      <x:c r="A1" s="81" t="str">
        <x:v>Receiving utility interfaces</x:v>
      </x:c>
      <x:c r="B1" s="81"/>
      <x:c r="C1" s="81"/>
      <x:c r="D1" s="81"/>
      <x:c r="E1" s="81"/>
      <x:c r="F1" s="81"/>
      <x:c r="G1" s="81"/>
      <x:c r="H1" s="81"/>
      <x:c r="I1" s="81"/>
      <x:c r="J1" s="81"/>
      <x:c r="K1" s="81"/>
    </x:row>
    <x:row r="2" ht="28" customHeight="1">
      <x:c r="A2" s="82" t="str">
        <x:v>Standard boundaries allow competing implementations; adapters do not waive protection, quality or release.</x:v>
      </x:c>
      <x:c r="B2" s="82"/>
      <x:c r="C2" s="82"/>
      <x:c r="D2" s="82"/>
      <x:c r="E2" s="82"/>
      <x:c r="F2" s="82"/>
      <x:c r="G2" s="82"/>
      <x:c r="H2" s="82"/>
      <x:c r="I2" s="82"/>
      <x:c r="J2" s="82"/>
      <x:c r="K2" s="82"/>
    </x:row>
    <x:row r="3">
      <x:c r="A3" s="83"/>
      <x:c r="B3" s="83"/>
      <x:c r="C3" s="83"/>
      <x:c r="D3" s="83"/>
      <x:c r="E3" s="83"/>
      <x:c r="F3" s="83"/>
      <x:c r="G3" s="83"/>
      <x:c r="H3" s="83"/>
      <x:c r="I3" s="83"/>
      <x:c r="J3" s="83"/>
      <x:c r="K3" s="83"/>
    </x:row>
    <x:row r="4" ht="31" customHeight="1">
      <x:c r="A4" s="84" t="str">
        <x:v>Interface</x:v>
      </x:c>
      <x:c r="B4" s="85" t="str">
        <x:v>Fixed receiver provides</x:v>
      </x:c>
      <x:c r="C4" s="85" t="str">
        <x:v>Mobile force provides</x:v>
      </x:c>
      <x:c r="D4" s="85" t="str">
        <x:v>Connection evidence</x:v>
      </x:c>
      <x:c r="E4" s="85" t="str">
        <x:v>Isolation</x:v>
      </x:c>
      <x:c r="F4" s="85" t="str">
        <x:v>Degraded state</x:v>
      </x:c>
      <x:c r="G4" s="85" t="str">
        <x:v>Authority</x:v>
      </x:c>
      <x:c r="H4" s="85" t="str">
        <x:v>Common-mode control</x:v>
      </x:c>
      <x:c r="I4" s="85" t="str">
        <x:v>Acceptance time target</x:v>
      </x:c>
      <x:c r="J4" s="85" t="str">
        <x:v>Failure consequence</x:v>
      </x:c>
      <x:c r="K4" s="86" t="str">
        <x:v>State</x:v>
      </x:c>
    </x:row>
    <x:row r="5" ht="43.20000076293945" hidden="0" customHeight="1">
      <x:c r="A5" s="28" t="str">
        <x:v>Medium-voltage power</x:v>
      </x:c>
      <x:c r="B5" s="28" t="str">
        <x:v>vault, bus, grounding, protected routes</x:v>
      </x:c>
      <x:c r="C5" s="28" t="str">
        <x:v>source/transformer/cable as passport requires</x:v>
      </x:c>
      <x:c r="D5" s="28" t="str">
        <x:v>one-line, fault, relay, ground test</x:v>
      </x:c>
      <x:c r="E5" s="28" t="str">
        <x:v>sectional disconnect</x:v>
      </x:c>
      <x:c r="F5" s="28" t="str">
        <x:v>priority island</x:v>
      </x:c>
      <x:c r="G5" s="28" t="str">
        <x:v>utility technical</x:v>
      </x:c>
      <x:c r="H5" s="28" t="str">
        <x:v>two protection implementations</x:v>
      </x:c>
      <x:c r="I5" s="63" t="n">
        <x:v>2</x:v>
      </x:c>
      <x:c r="J5" s="28" t="str">
        <x:v>thermal/water/service loss</x:v>
      </x:c>
      <x:c r="K5" s="28" t="str">
        <x:v>OPEN</x:v>
      </x:c>
    </x:row>
    <x:row r="6" ht="32.400001525878906" hidden="0" customHeight="1">
      <x:c r="A6" s="27" t="str">
        <x:v>Low-voltage district</x:v>
      </x:c>
      <x:c r="B6" s="27" t="str">
        <x:v>trunks, panels or pathways</x:v>
      </x:c>
      <x:c r="C6" s="27" t="str">
        <x:v>district distribution and loads</x:v>
      </x:c>
      <x:c r="D6" s="27" t="str">
        <x:v>polarity, insulation, load test</x:v>
      </x:c>
      <x:c r="E6" s="27" t="str">
        <x:v>district breaker</x:v>
      </x:c>
      <x:c r="F6" s="27" t="str">
        <x:v>critical circuits only</x:v>
      </x:c>
      <x:c r="G6" s="27" t="str">
        <x:v>occupied systems</x:v>
      </x:c>
      <x:c r="H6" s="27" t="str">
        <x:v>manual local control</x:v>
      </x:c>
      <x:c r="I6" s="64" t="n">
        <x:v>1</x:v>
      </x:c>
      <x:c r="J6" s="27" t="str">
        <x:v>life safety loss</x:v>
      </x:c>
      <x:c r="K6" s="27" t="str">
        <x:v>OPEN</x:v>
      </x:c>
    </x:row>
    <x:row r="7" ht="54" hidden="0" customHeight="1">
      <x:c r="A7" s="29" t="str">
        <x:v>Potable water</x:v>
      </x:c>
      <x:c r="B7" s="29" t="str">
        <x:v>storage, pressure zones, flushed mains</x:v>
      </x:c>
      <x:c r="C7" s="29" t="str">
        <x:v>treatment/source or tested supply</x:v>
      </x:c>
      <x:c r="D7" s="29" t="str">
        <x:v>sample, pressure and residual test</x:v>
      </x:c>
      <x:c r="E7" s="29" t="str">
        <x:v>backflow/isolation</x:v>
      </x:c>
      <x:c r="F7" s="29" t="str">
        <x:v>bottled/point supply</x:v>
      </x:c>
      <x:c r="G7" s="29" t="str">
        <x:v>public health</x:v>
      </x:c>
      <x:c r="H7" s="29" t="str">
        <x:v>two source paths</x:v>
      </x:c>
      <x:c r="I7" s="65" t="n">
        <x:v>3</x:v>
      </x:c>
      <x:c r="J7" s="29" t="str">
        <x:v>campus water fails</x:v>
      </x:c>
      <x:c r="K7" s="29" t="str">
        <x:v>OPEN</x:v>
      </x:c>
    </x:row>
    <x:row r="8" ht="43.20000076293945" hidden="0" customHeight="1">
      <x:c r="A8" s="27" t="str">
        <x:v>Wastewater</x:v>
      </x:c>
      <x:c r="B8" s="27" t="str">
        <x:v>sealed collection and connection</x:v>
      </x:c>
      <x:c r="C8" s="27" t="str">
        <x:v>treatment/storage/haul as needed</x:v>
      </x:c>
      <x:c r="D8" s="27" t="str">
        <x:v>leak, capacity and custody test</x:v>
      </x:c>
      <x:c r="E8" s="27" t="str">
        <x:v>district valve</x:v>
      </x:c>
      <x:c r="F8" s="27" t="str">
        <x:v>sealed hold</x:v>
      </x:c>
      <x:c r="G8" s="27" t="str">
        <x:v>environmental health</x:v>
      </x:c>
      <x:c r="H8" s="27" t="str">
        <x:v>alternate custody path</x:v>
      </x:c>
      <x:c r="I8" s="64" t="n">
        <x:v>2</x:v>
      </x:c>
      <x:c r="J8" s="27" t="str">
        <x:v>occupancy denied</x:v>
      </x:c>
      <x:c r="K8" s="27" t="str">
        <x:v>OPEN</x:v>
      </x:c>
    </x:row>
    <x:row r="9" ht="43.20000076293945" hidden="0" customHeight="1">
      <x:c r="A9" s="29" t="str">
        <x:v>Thermal and clean air</x:v>
      </x:c>
      <x:c r="B9" s="29" t="str">
        <x:v>zones, penetrations, protected plant pads</x:v>
      </x:c>
      <x:c r="C9" s="29" t="str">
        <x:v>air handlers, filters, heat rejection</x:v>
      </x:c>
      <x:c r="D9" s="29" t="str">
        <x:v>airflow, pressure, leakage and sensor test</x:v>
      </x:c>
      <x:c r="E9" s="29" t="str">
        <x:v>zone dampers</x:v>
      </x:c>
      <x:c r="F9" s="29" t="str">
        <x:v>refuge zones only</x:v>
      </x:c>
      <x:c r="G9" s="29" t="str">
        <x:v>health/technical</x:v>
      </x:c>
      <x:c r="H9" s="29" t="str">
        <x:v>manual ventilation mode</x:v>
      </x:c>
      <x:c r="I9" s="65" t="n">
        <x:v>2</x:v>
      </x:c>
      <x:c r="J9" s="29" t="str">
        <x:v>exposure threshold</x:v>
      </x:c>
      <x:c r="K9" s="29" t="str">
        <x:v>OPEN</x:v>
      </x:c>
    </x:row>
    <x:row r="10" ht="43.20000076293945" hidden="0" customHeight="1">
      <x:c r="A10" s="27" t="str">
        <x:v>Fire water and life safety</x:v>
      </x:c>
      <x:c r="B10" s="27" t="str">
        <x:v>loop, alarms, egress geometry</x:v>
      </x:c>
      <x:c r="C10" s="27" t="str">
        <x:v>supplemental pumps/detection</x:v>
      </x:c>
      <x:c r="D10" s="27" t="str">
        <x:v>flow, alarm and egress acceptance</x:v>
      </x:c>
      <x:c r="E10" s="27" t="str">
        <x:v>sectional valves</x:v>
      </x:c>
      <x:c r="F10" s="27" t="str">
        <x:v>fire watch/reduced occupancy</x:v>
      </x:c>
      <x:c r="G10" s="27" t="str">
        <x:v>fire authority</x:v>
      </x:c>
      <x:c r="H10" s="27" t="str">
        <x:v>independent local alarm</x:v>
      </x:c>
      <x:c r="I10" s="64" t="n">
        <x:v>2</x:v>
      </x:c>
      <x:c r="J10" s="27" t="str">
        <x:v>occupancy denied</x:v>
      </x:c>
      <x:c r="K10" s="27" t="str">
        <x:v>OPEN</x:v>
      </x:c>
    </x:row>
    <x:row r="11" ht="54" hidden="0" customHeight="1">
      <x:c r="A11" s="29" t="str">
        <x:v>Data and public communications</x:v>
      </x:c>
      <x:c r="B11" s="29" t="str">
        <x:v>local network, cached records, public nodes</x:v>
      </x:c>
      <x:c r="C11" s="29" t="str">
        <x:v>backhaul and incident federation</x:v>
      </x:c>
      <x:c r="D11" s="29" t="str">
        <x:v>offline identity and message test</x:v>
      </x:c>
      <x:c r="E11" s="29" t="str">
        <x:v>local enclave</x:v>
      </x:c>
      <x:c r="F11" s="29" t="str">
        <x:v>paper/local radio</x:v>
      </x:c>
      <x:c r="G11" s="29" t="str">
        <x:v>civil/information</x:v>
      </x:c>
      <x:c r="H11" s="29" t="str">
        <x:v>provider-diverse backhaul</x:v>
      </x:c>
      <x:c r="I11" s="65" t="n">
        <x:v>1</x:v>
      </x:c>
      <x:c r="J11" s="29" t="str">
        <x:v>accountability loss</x:v>
      </x:c>
      <x:c r="K11" s="29" t="str">
        <x:v>OPEN</x:v>
      </x:c>
    </x:row>
    <x:row r="12" ht="54" hidden="0" customHeight="1">
      <x:c r="A12" s="27" t="str">
        <x:v>Logistics and waste</x:v>
      </x:c>
      <x:c r="B12" s="27" t="str">
        <x:v>load zones, custody areas, reverse-flow path</x:v>
      </x:c>
      <x:c r="C12" s="27" t="str">
        <x:v>handling, collection and haul</x:v>
      </x:c>
      <x:c r="D12" s="27" t="str">
        <x:v>route, lift and custody acceptance</x:v>
      </x:c>
      <x:c r="E12" s="27" t="str">
        <x:v>quarantine zones</x:v>
      </x:c>
      <x:c r="F12" s="27" t="str">
        <x:v>reduced issue rate</x:v>
      </x:c>
      <x:c r="G12" s="27" t="str">
        <x:v>site/logistics</x:v>
      </x:c>
      <x:c r="H12" s="27" t="str">
        <x:v>two route families</x:v>
      </x:c>
      <x:c r="I12" s="64" t="n">
        <x:v>2</x:v>
      </x:c>
      <x:c r="J12" s="27" t="str">
        <x:v>site saturation</x:v>
      </x:c>
      <x:c r="K12" s="27" t="str">
        <x:v>OPEN</x:v>
      </x:c>
    </x:row>
  </x:sheetData>
  <x:pageMargins left="0.7" right="0.7" top="0.75" bottom="0.75" header="0.3" footer="0.3"/>
</x:worksheet>
</file>

<file path=xl/worksheets/sheet18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3" hidden="0" customWidth="1"/>
    <x:col min="2" max="2" width="17" hidden="0" customWidth="1"/>
    <x:col min="3" max="3" width="17" hidden="0" customWidth="1"/>
    <x:col min="4" max="4" width="17" hidden="0" customWidth="1"/>
    <x:col min="5" max="5" width="17" hidden="0" customWidth="1"/>
    <x:col min="6" max="6" width="17" hidden="0" customWidth="1"/>
    <x:col min="7" max="7" width="34" hidden="0" customWidth="1"/>
    <x:col min="8" max="8" width="34" hidden="0" customWidth="1"/>
    <x:col min="9" max="9" width="34" hidden="0" customWidth="1"/>
    <x:col min="10" max="10" width="34" hidden="0" customWidth="1"/>
    <x:col min="11" max="11" width="34" hidden="0" customWidth="1"/>
    <x:col min="12" max="12" width="34" hidden="0" customWidth="1"/>
  </x:cols>
  <x:sheetData>
    <x:row r="1" ht="29" customHeight="1">
      <x:c r="A1" s="81" t="str">
        <x:v>Prepositioned local stocks</x:v>
      </x:c>
      <x:c r="B1" s="81"/>
      <x:c r="C1" s="81"/>
      <x:c r="D1" s="81"/>
      <x:c r="E1" s="81"/>
      <x:c r="F1" s="81"/>
      <x:c r="G1" s="81"/>
      <x:c r="H1" s="81"/>
      <x:c r="I1" s="81"/>
      <x:c r="J1" s="81"/>
      <x:c r="K1" s="81"/>
      <x:c r="L1" s="81"/>
    </x:row>
    <x:row r="2" ht="28" customHeight="1">
      <x:c r="A2" s="82" t="str">
        <x:v>Stock mass is part of fixed readiness. Unfilled, expired or unserviceable sets contribute no district credit.</x:v>
      </x:c>
      <x:c r="B2" s="82"/>
      <x:c r="C2" s="82"/>
      <x:c r="D2" s="82"/>
      <x:c r="E2" s="82"/>
      <x:c r="F2" s="82"/>
      <x:c r="G2" s="82"/>
      <x:c r="H2" s="82"/>
      <x:c r="I2" s="82"/>
      <x:c r="J2" s="82"/>
      <x:c r="K2" s="82"/>
      <x:c r="L2" s="82"/>
    </x:row>
    <x:row r="3">
      <x:c r="A3" s="83"/>
      <x:c r="B3" s="83"/>
      <x:c r="C3" s="83"/>
      <x:c r="D3" s="83"/>
      <x:c r="E3" s="83"/>
      <x:c r="F3" s="83"/>
      <x:c r="G3" s="83"/>
      <x:c r="H3" s="83"/>
      <x:c r="I3" s="83"/>
      <x:c r="J3" s="83"/>
      <x:c r="K3" s="83"/>
      <x:c r="L3" s="83"/>
    </x:row>
    <x:row r="4" ht="31" customHeight="1">
      <x:c r="A4" s="84" t="str">
        <x:v>Class</x:v>
      </x:c>
      <x:c r="B4" s="85" t="str">
        <x:v>Nominal CDE</x:v>
      </x:c>
      <x:c r="C4" s="85" t="str">
        <x:v>Stock t/CDE</x:v>
      </x:c>
      <x:c r="D4" s="85" t="str">
        <x:v>Total stock t</x:v>
      </x:c>
      <x:c r="E4" s="85" t="str">
        <x:v>Replacement cycle y</x:v>
      </x:c>
      <x:c r="F4" s="85" t="str">
        <x:v>Annual rotation t</x:v>
      </x:c>
      <x:c r="G4" s="85" t="str">
        <x:v>Protected storage</x:v>
      </x:c>
      <x:c r="H4" s="85" t="str">
        <x:v>Condition telemetry</x:v>
      </x:c>
      <x:c r="I4" s="85" t="str">
        <x:v>Substitution rule</x:v>
      </x:c>
      <x:c r="J4" s="85" t="str">
        <x:v>Mobile fallback</x:v>
      </x:c>
      <x:c r="K4" s="85" t="str">
        <x:v>Readiness owner</x:v>
      </x:c>
      <x:c r="L4" s="86" t="str">
        <x:v>State</x:v>
      </x:c>
    </x:row>
    <x:row r="5" ht="32.400001525878906" hidden="0" customHeight="1">
      <x:c r="A5" s="28" t="str">
        <x:v>RRC</x:v>
      </x:c>
      <x:c r="B5" s="53" t="n">
        <x:f>'Site Classes'!F5</x:f>
        <x:v>3840</x:v>
      </x:c>
      <x:c r="C5" s="53" t="n">
        <x:v>55</x:v>
      </x:c>
      <x:c r="D5" s="53" t="n">
        <x:f>B5*C5</x:f>
        <x:v>211200</x:v>
      </x:c>
      <x:c r="E5" s="53" t="n">
        <x:v>10</x:v>
      </x:c>
      <x:c r="F5" s="53" t="n">
        <x:f>D5/E5</x:f>
        <x:v>21120</x:v>
      </x:c>
      <x:c r="G5" s="28" t="str">
        <x:v>hardened distributed magazines</x:v>
      </x:c>
      <x:c r="H5" s="28" t="str">
        <x:v>continuous</x:v>
      </x:c>
      <x:c r="I5" s="28" t="str">
        <x:v>qualified interface-equivalent</x:v>
      </x:c>
      <x:c r="J5" s="28" t="str">
        <x:v>full district import</x:v>
      </x:c>
      <x:c r="K5" s="28" t="str">
        <x:v>cell logistics</x:v>
      </x:c>
      <x:c r="L5" s="28" t="str">
        <x:v>OPEN</x:v>
      </x:c>
    </x:row>
    <x:row r="6" ht="32.400001525878906" hidden="0" customHeight="1">
      <x:c r="A6" s="27" t="str">
        <x:v>DPS</x:v>
      </x:c>
      <x:c r="B6" s="55" t="n">
        <x:f>'Site Classes'!F6</x:f>
        <x:v>1920</x:v>
      </x:c>
      <x:c r="C6" s="55" t="n">
        <x:v>35</x:v>
      </x:c>
      <x:c r="D6" s="55" t="n">
        <x:f>B6*C6</x:f>
        <x:v>67200</x:v>
      </x:c>
      <x:c r="E6" s="55" t="n">
        <x:v>8</x:v>
      </x:c>
      <x:c r="F6" s="55" t="n">
        <x:f>D6/E6</x:f>
        <x:v>8400</x:v>
      </x:c>
      <x:c r="G6" s="27" t="str">
        <x:v>weather/flood protected</x:v>
      </x:c>
      <x:c r="H6" s="27" t="str">
        <x:v>daily</x:v>
      </x:c>
      <x:c r="I6" s="27" t="str">
        <x:v>qualified interface-equivalent</x:v>
      </x:c>
      <x:c r="J6" s="27" t="str">
        <x:v>independent district</x:v>
      </x:c>
      <x:c r="K6" s="27" t="str">
        <x:v>site logistics</x:v>
      </x:c>
      <x:c r="L6" s="27" t="str">
        <x:v>OPEN</x:v>
      </x:c>
    </x:row>
    <x:row r="7" ht="32.400001525878906" hidden="0" customHeight="1">
      <x:c r="A7" s="29" t="str">
        <x:v>BAN</x:v>
      </x:c>
      <x:c r="B7" s="57" t="n">
        <x:f>'Site Classes'!F7</x:f>
        <x:v>1440</x:v>
      </x:c>
      <x:c r="C7" s="57" t="n">
        <x:v>18</x:v>
      </x:c>
      <x:c r="D7" s="57" t="n">
        <x:f>B7*C7</x:f>
        <x:v>25920</x:v>
      </x:c>
      <x:c r="E7" s="57" t="n">
        <x:v>5</x:v>
      </x:c>
      <x:c r="F7" s="57" t="n">
        <x:f>D7/E7</x:f>
        <x:v>5184</x:v>
      </x:c>
      <x:c r="G7" s="29" t="str">
        <x:v>distributed building cache</x:v>
      </x:c>
      <x:c r="H7" s="29" t="str">
        <x:v>monthly</x:v>
      </x:c>
      <x:c r="I7" s="29" t="str">
        <x:v>passport-specific only</x:v>
      </x:c>
      <x:c r="J7" s="29" t="str">
        <x:v>adapter and shelter</x:v>
      </x:c>
      <x:c r="K7" s="29" t="str">
        <x:v>regional logistics</x:v>
      </x:c>
      <x:c r="L7" s="29" t="str">
        <x:v>OPEN</x:v>
      </x:c>
    </x:row>
    <x:row r="8" ht="32.400001525878906" hidden="0" customHeight="1">
      <x:c r="A8" s="27" t="str">
        <x:v>PTR</x:v>
      </x:c>
      <x:c r="B8" s="55" t="n">
        <x:f>'Site Classes'!F8</x:f>
        <x:v>720</x:v>
      </x:c>
      <x:c r="C8" s="55" t="n">
        <x:v>25</x:v>
      </x:c>
      <x:c r="D8" s="55" t="n">
        <x:f>B8*C8</x:f>
        <x:v>18000</x:v>
      </x:c>
      <x:c r="E8" s="55" t="n">
        <x:v>7</x:v>
      </x:c>
      <x:c r="F8" s="55" t="n">
        <x:f>D8/E8</x:f>
        <x:v>2571.4285714285716</x:v>
      </x:c>
      <x:c r="G8" s="27" t="str">
        <x:v>host-controlled joint custody</x:v>
      </x:c>
      <x:c r="H8" s="27" t="str">
        <x:v>weekly</x:v>
      </x:c>
      <x:c r="I8" s="27" t="str">
        <x:v>jointly accepted substitute</x:v>
      </x:c>
      <x:c r="J8" s="27" t="str">
        <x:v>air/sea resupply</x:v>
      </x:c>
      <x:c r="K8" s="27" t="str">
        <x:v>partner cell</x:v>
      </x:c>
      <x:c r="L8" s="27" t="str">
        <x:v>OPEN</x:v>
      </x:c>
    </x:row>
    <x:row r="9">
      <x:c r="A9" s="83"/>
      <x:c r="B9" s="83"/>
      <x:c r="C9" s="83"/>
      <x:c r="D9" s="83"/>
      <x:c r="E9" s="83"/>
      <x:c r="F9" s="83"/>
      <x:c r="G9" s="83"/>
      <x:c r="H9" s="83"/>
      <x:c r="I9" s="83"/>
      <x:c r="J9" s="83"/>
      <x:c r="K9" s="83"/>
      <x:c r="L9" s="83"/>
    </x:row>
    <x:row r="10" ht="23" customHeight="1">
      <x:c r="A10" s="87" t="str">
        <x:v>Portfolio totals</x:v>
      </x:c>
      <x:c r="B10" s="87"/>
      <x:c r="C10" s="87"/>
      <x:c r="D10" s="87"/>
      <x:c r="E10" s="87"/>
      <x:c r="F10" s="87"/>
      <x:c r="G10" s="87"/>
      <x:c r="H10" s="87"/>
      <x:c r="I10" s="87"/>
      <x:c r="J10" s="87"/>
      <x:c r="K10" s="87"/>
      <x:c r="L10" s="87"/>
    </x:row>
    <x:row r="11" ht="15" hidden="0" customHeight="1">
      <x:c r="A11" s="26" t="str">
        <x:v>Stored mass</x:v>
      </x:c>
      <x:c r="B11" s="62" t="n">
        <x:f>SUM(D5:D8)</x:f>
        <x:v>322320</x:v>
      </x:c>
      <x:c r="C11" s="26" t="str">
        <x:v>t</x:v>
      </x:c>
      <x:c r="D11" s="83"/>
      <x:c r="E11" s="83"/>
      <x:c r="F11" s="83"/>
      <x:c r="G11" s="83"/>
      <x:c r="H11" s="83"/>
      <x:c r="I11" s="83"/>
      <x:c r="J11" s="83"/>
      <x:c r="K11" s="83"/>
      <x:c r="L11" s="83"/>
    </x:row>
    <x:row r="12" ht="15" hidden="0" customHeight="1">
      <x:c r="A12" s="27" t="str">
        <x:v>Annual rotation</x:v>
      </x:c>
      <x:c r="B12" s="55" t="n">
        <x:f>SUM(F5:F8)</x:f>
        <x:v>37275.42857142857</x:v>
      </x:c>
      <x:c r="C12" s="27" t="str">
        <x:v>t/year</x:v>
      </x:c>
      <x:c r="D12" s="83"/>
      <x:c r="E12" s="83"/>
      <x:c r="F12" s="83"/>
      <x:c r="G12" s="83"/>
      <x:c r="H12" s="83"/>
      <x:c r="I12" s="83"/>
      <x:c r="J12" s="83"/>
      <x:c r="K12" s="83"/>
      <x:c r="L12" s="83"/>
    </x:row>
    <x:row r="13" ht="21.600000381469727" hidden="0" customHeight="1">
      <x:c r="A13" s="27" t="str">
        <x:v>Stock-to-mobile-mass comparison</x:v>
      </x:c>
      <x:c r="B13" s="55" t="n">
        <x:f>B11/('Fixed Mobile Split'!B12*'Service Contract'!B11)</x:f>
        <x:v>4.896673809415132</x:v>
      </x:c>
      <x:c r="C13" s="27" t="str">
        <x:v>multiple of domestic mobile district mass</x:v>
      </x:c>
      <x:c r="D13" s="83"/>
      <x:c r="E13" s="83"/>
      <x:c r="F13" s="83"/>
      <x:c r="G13" s="83"/>
      <x:c r="H13" s="83"/>
      <x:c r="I13" s="83"/>
      <x:c r="J13" s="83"/>
      <x:c r="K13" s="83"/>
      <x:c r="L13" s="83"/>
    </x:row>
  </x:sheetData>
  <x:pageMargins left="0.7" right="0.7" top="0.75" bottom="0.75" header="0.3" footer="0.3"/>
</x:worksheet>
</file>

<file path=xl/worksheets/sheet19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34" hidden="0" customWidth="1"/>
    <x:col min="2" max="2" width="18" hidden="0" customWidth="1"/>
    <x:col min="3" max="3" width="18" hidden="0" customWidth="1"/>
    <x:col min="4" max="4" width="18" hidden="0" customWidth="1"/>
    <x:col min="5" max="5" width="17" hidden="0" customWidth="1"/>
    <x:col min="6" max="6" width="17" hidden="0" customWidth="1"/>
    <x:col min="7" max="7" width="17" hidden="0" customWidth="1"/>
    <x:col min="8" max="8" width="17" hidden="0" customWidth="1"/>
    <x:col min="9" max="9" width="38" hidden="0" customWidth="1"/>
    <x:col min="10" max="10" width="38" hidden="0" customWidth="1"/>
    <x:col min="11" max="11" width="38" hidden="0" customWidth="1"/>
  </x:cols>
  <x:sheetData>
    <x:row r="1" ht="29" customHeight="1">
      <x:c r="A1" s="81" t="str">
        <x:v>Receiving lattice workforce</x:v>
      </x:c>
      <x:c r="B1" s="81"/>
      <x:c r="C1" s="81"/>
      <x:c r="D1" s="81"/>
      <x:c r="E1" s="81"/>
      <x:c r="F1" s="81"/>
      <x:c r="G1" s="81"/>
      <x:c r="H1" s="81"/>
      <x:c r="I1" s="81"/>
      <x:c r="J1" s="81"/>
      <x:c r="K1" s="81"/>
    </x:row>
    <x:row r="2" ht="28" customHeight="1">
      <x:c r="A2" s="82" t="str">
        <x:v>Permanent readiness labor is distinct from PCC operations and district construction. Affiliated billets include generation depth.</x:v>
      </x:c>
      <x:c r="B2" s="82"/>
      <x:c r="C2" s="82"/>
      <x:c r="D2" s="82"/>
      <x:c r="E2" s="82"/>
      <x:c r="F2" s="82"/>
      <x:c r="G2" s="82"/>
      <x:c r="H2" s="82"/>
      <x:c r="I2" s="82"/>
      <x:c r="J2" s="82"/>
      <x:c r="K2" s="82"/>
    </x:row>
    <x:row r="3">
      <x:c r="A3" s="83"/>
      <x:c r="B3" s="83"/>
      <x:c r="C3" s="83"/>
      <x:c r="D3" s="83"/>
      <x:c r="E3" s="83"/>
      <x:c r="F3" s="83"/>
      <x:c r="G3" s="83"/>
      <x:c r="H3" s="83"/>
      <x:c r="I3" s="83"/>
      <x:c r="J3" s="83"/>
      <x:c r="K3" s="83"/>
    </x:row>
    <x:row r="4" ht="31" customHeight="1">
      <x:c r="A4" s="84" t="str">
        <x:v>Function</x:v>
      </x:c>
      <x:c r="B4" s="85" t="str">
        <x:v>Permanent positions</x:v>
      </x:c>
      <x:c r="C4" s="85" t="str">
        <x:v>Generation multiplier</x:v>
      </x:c>
      <x:c r="D4" s="85" t="str">
        <x:v>Affiliated billets</x:v>
      </x:c>
      <x:c r="E4" s="85" t="str">
        <x:v>Federal active</x:v>
      </x:c>
      <x:c r="F4" s="85" t="str">
        <x:v>Reserve/state/territorial</x:v>
      </x:c>
      <x:c r="G4" s="85" t="str">
        <x:v>Certified industry</x:v>
      </x:c>
      <x:c r="H4" s="85" t="str">
        <x:v>Partner/local</x:v>
      </x:c>
      <x:c r="I4" s="85" t="str">
        <x:v>Peak event role</x:v>
      </x:c>
      <x:c r="J4" s="85" t="str">
        <x:v>Scarce occupations</x:v>
      </x:c>
      <x:c r="K4" s="86" t="str">
        <x:v>Boundary</x:v>
      </x:c>
    </x:row>
    <x:row r="5" ht="43.20000076293945" hidden="0" customHeight="1">
      <x:c r="A5" s="28" t="str">
        <x:v>Site operations and maintenance</x:v>
      </x:c>
      <x:c r="B5" s="53" t="n">
        <x:v>25632</x:v>
      </x:c>
      <x:c r="C5" s="53" t="n">
        <x:v>2.2</x:v>
      </x:c>
      <x:c r="D5" s="53" t="n">
        <x:f>B5*C5</x:f>
        <x:v>56390.4</x:v>
      </x:c>
      <x:c r="E5" s="46" t="n">
        <x:v>0.35</x:v>
      </x:c>
      <x:c r="F5" s="46" t="n">
        <x:v>0.3</x:v>
      </x:c>
      <x:c r="G5" s="46" t="n">
        <x:v>0.25</x:v>
      </x:c>
      <x:c r="H5" s="46" t="n">
        <x:v>0.1</x:v>
      </x:c>
      <x:c r="I5" s="28" t="str">
        <x:v>open and sustain receivers</x:v>
      </x:c>
      <x:c r="J5" s="28" t="str">
        <x:v>facility, electrical, water, HVAC</x:v>
      </x:c>
      <x:c r="K5" s="28" t="str">
        <x:v>includes site-class staffing</x:v>
      </x:c>
    </x:row>
    <x:row r="6" ht="32.400001525878906" hidden="0" customHeight="1">
      <x:c r="A6" s="27" t="str">
        <x:v>Regional and cell command</x:v>
      </x:c>
      <x:c r="B6" s="55" t="n">
        <x:v>4800</x:v>
      </x:c>
      <x:c r="C6" s="55" t="n">
        <x:v>3</x:v>
      </x:c>
      <x:c r="D6" s="55" t="n">
        <x:f>B6*C6</x:f>
        <x:v>14400</x:v>
      </x:c>
      <x:c r="E6" s="47" t="n">
        <x:v>0.6</x:v>
      </x:c>
      <x:c r="F6" s="47" t="n">
        <x:v>0.25</x:v>
      </x:c>
      <x:c r="G6" s="47" t="n">
        <x:v>0.05</x:v>
      </x:c>
      <x:c r="H6" s="47" t="n">
        <x:v>0.1</x:v>
      </x:c>
      <x:c r="I6" s="27" t="str">
        <x:v>allocate and control capacity</x:v>
      </x:c>
      <x:c r="J6" s="27" t="str">
        <x:v>campaign planners, logisticians</x:v>
      </x:c>
      <x:c r="K6" s="27" t="str">
        <x:v>sixteen regions/eight cells</x:v>
      </x:c>
    </x:row>
    <x:row r="7" ht="32.400001525878906" hidden="0" customHeight="1">
      <x:c r="A7" s="29" t="str">
        <x:v>Inspection and engineering</x:v>
      </x:c>
      <x:c r="B7" s="57" t="n">
        <x:v>8000</x:v>
      </x:c>
      <x:c r="C7" s="57" t="n">
        <x:v>2.5</x:v>
      </x:c>
      <x:c r="D7" s="57" t="n">
        <x:f>B7*C7</x:f>
        <x:v>20000</x:v>
      </x:c>
      <x:c r="E7" s="48" t="n">
        <x:v>0.45</x:v>
      </x:c>
      <x:c r="F7" s="48" t="n">
        <x:v>0.3</x:v>
      </x:c>
      <x:c r="G7" s="48" t="n">
        <x:v>0.2</x:v>
      </x:c>
      <x:c r="H7" s="48" t="n">
        <x:v>0.05</x:v>
      </x:c>
      <x:c r="I7" s="29" t="str">
        <x:v>post-event evaluation</x:v>
      </x:c>
      <x:c r="J7" s="29" t="str">
        <x:v>structural, fire, utility, accessibility</x:v>
      </x:c>
      <x:c r="K7" s="29" t="str">
        <x:v>independent QA required</x:v>
      </x:c>
    </x:row>
    <x:row r="8" ht="32.400001525878906" hidden="0" customHeight="1">
      <x:c r="A8" s="27" t="str">
        <x:v>Depots and inventory</x:v>
      </x:c>
      <x:c r="B8" s="55" t="n">
        <x:v>6500</x:v>
      </x:c>
      <x:c r="C8" s="55" t="n">
        <x:v>2.4</x:v>
      </x:c>
      <x:c r="D8" s="55" t="n">
        <x:f>B8*C8</x:f>
        <x:v>15600</x:v>
      </x:c>
      <x:c r="E8" s="47" t="n">
        <x:v>0.3</x:v>
      </x:c>
      <x:c r="F8" s="47" t="n">
        <x:v>0.25</x:v>
      </x:c>
      <x:c r="G8" s="47" t="n">
        <x:v>0.4</x:v>
      </x:c>
      <x:c r="H8" s="47" t="n">
        <x:v>0.05</x:v>
      </x:c>
      <x:c r="I8" s="27" t="str">
        <x:v>issue, repair, rotate</x:v>
      </x:c>
      <x:c r="J8" s="27" t="str">
        <x:v>warehouse, maintenance, quality</x:v>
      </x:c>
      <x:c r="K8" s="27" t="str">
        <x:v>stock labor only</x:v>
      </x:c>
    </x:row>
    <x:row r="9" ht="43.20000076293945" hidden="0" customHeight="1">
      <x:c r="A9" s="29" t="str">
        <x:v>Training and exercises</x:v>
      </x:c>
      <x:c r="B9" s="57" t="n">
        <x:v>4500</x:v>
      </x:c>
      <x:c r="C9" s="57" t="n">
        <x:v>2</x:v>
      </x:c>
      <x:c r="D9" s="57" t="n">
        <x:f>B9*C9</x:f>
        <x:v>9000</x:v>
      </x:c>
      <x:c r="E9" s="48" t="n">
        <x:v>0.55</x:v>
      </x:c>
      <x:c r="F9" s="48" t="n">
        <x:v>0.25</x:v>
      </x:c>
      <x:c r="G9" s="48" t="n">
        <x:v>0.1</x:v>
      </x:c>
      <x:c r="H9" s="48" t="n">
        <x:v>0.1</x:v>
      </x:c>
      <x:c r="I9" s="29" t="str">
        <x:v>surge evaluators and controllers</x:v>
      </x:c>
      <x:c r="J9" s="29" t="str">
        <x:v>instructors, exercise design</x:v>
      </x:c>
      <x:c r="K9" s="29" t="str">
        <x:v>standing schools/ranges</x:v>
      </x:c>
    </x:row>
    <x:row r="10" ht="32.400001525878906" hidden="0" customHeight="1">
      <x:c r="A10" s="27" t="str">
        <x:v>Data, passport and cyber</x:v>
      </x:c>
      <x:c r="B10" s="55" t="n">
        <x:v>2800</x:v>
      </x:c>
      <x:c r="C10" s="55" t="n">
        <x:v>2.2</x:v>
      </x:c>
      <x:c r="D10" s="55" t="n">
        <x:f>B10*C10</x:f>
        <x:v>6160.000000000001</x:v>
      </x:c>
      <x:c r="E10" s="47" t="n">
        <x:v>0.55</x:v>
      </x:c>
      <x:c r="F10" s="47" t="n">
        <x:v>0.2</x:v>
      </x:c>
      <x:c r="G10" s="47" t="n">
        <x:v>0.2</x:v>
      </x:c>
      <x:c r="H10" s="47" t="n">
        <x:v>0.05</x:v>
      </x:c>
      <x:c r="I10" s="27" t="str">
        <x:v>restore local records and identity</x:v>
      </x:c>
      <x:c r="J10" s="27" t="str">
        <x:v>cyber, geospatial, configuration</x:v>
      </x:c>
      <x:c r="K10" s="27" t="str">
        <x:v>offline operation</x:v>
      </x:c>
    </x:row>
    <x:row r="11" ht="43.20000076293945" hidden="0" customHeight="1">
      <x:c r="A11" s="29" t="str">
        <x:v>Civil occupancy authority</x:v>
      </x:c>
      <x:c r="B11" s="57" t="n">
        <x:v>2600</x:v>
      </x:c>
      <x:c r="C11" s="57" t="n">
        <x:v>2.5</x:v>
      </x:c>
      <x:c r="D11" s="57" t="n">
        <x:f>B11*C11</x:f>
        <x:v>6500</x:v>
      </x:c>
      <x:c r="E11" s="48" t="n">
        <x:v>0.6</x:v>
      </x:c>
      <x:c r="F11" s="48" t="n">
        <x:v>0.3</x:v>
      </x:c>
      <x:c r="G11" s="48" t="n">
        <x:v>0</x:v>
      </x:c>
      <x:c r="H11" s="48" t="n">
        <x:v>0.1</x:v>
      </x:c>
      <x:c r="I11" s="29" t="str">
        <x:v>release or deny occupancy</x:v>
      </x:c>
      <x:c r="J11" s="29" t="str">
        <x:v>building officials, public health, rights</x:v>
      </x:c>
      <x:c r="K11" s="29" t="str">
        <x:v>separate from delivery</x:v>
      </x:c>
    </x:row>
    <x:row r="12" ht="32.400001525878906" hidden="0" customHeight="1">
      <x:c r="A12" s="27" t="str">
        <x:v>Science, test and acquisition</x:v>
      </x:c>
      <x:c r="B12" s="55" t="n">
        <x:v>3000</x:v>
      </x:c>
      <x:c r="C12" s="55" t="n">
        <x:v>1.6</x:v>
      </x:c>
      <x:c r="D12" s="55" t="n">
        <x:f>B12*C12</x:f>
        <x:v>4800</x:v>
      </x:c>
      <x:c r="E12" s="47" t="n">
        <x:v>0.65</x:v>
      </x:c>
      <x:c r="F12" s="47" t="n">
        <x:v>0.1</x:v>
      </x:c>
      <x:c r="G12" s="47" t="n">
        <x:v>0.2</x:v>
      </x:c>
      <x:c r="H12" s="47" t="n">
        <x:v>0.05</x:v>
      </x:c>
      <x:c r="I12" s="27" t="str">
        <x:v>failure analysis and substitution</x:v>
      </x:c>
      <x:c r="J12" s="27" t="str">
        <x:v>materials, systems, test</x:v>
      </x:c>
      <x:c r="K12" s="27" t="str">
        <x:v>not event operations</x:v>
      </x:c>
    </x:row>
    <x:row r="13" ht="43.20000076293945" hidden="0" customHeight="1">
      <x:c r="A13" s="29" t="str">
        <x:v>Land, environment and agreements</x:v>
      </x:c>
      <x:c r="B13" s="57" t="n">
        <x:v>2000</x:v>
      </x:c>
      <x:c r="C13" s="57" t="n">
        <x:v>1.5</x:v>
      </x:c>
      <x:c r="D13" s="57" t="n">
        <x:f>B13*C13</x:f>
        <x:v>3000</x:v>
      </x:c>
      <x:c r="E13" s="48" t="n">
        <x:v>0.4</x:v>
      </x:c>
      <x:c r="F13" s="48" t="n">
        <x:v>0.2</x:v>
      </x:c>
      <x:c r="G13" s="48" t="n">
        <x:v>0.1</x:v>
      </x:c>
      <x:c r="H13" s="48" t="n">
        <x:v>0.3</x:v>
      </x:c>
      <x:c r="I13" s="29" t="str">
        <x:v>secure access and custody</x:v>
      </x:c>
      <x:c r="J13" s="29" t="str">
        <x:v>real estate, environmental, legal</x:v>
      </x:c>
      <x:c r="K13" s="29" t="str">
        <x:v>sovereign/host interface</x:v>
      </x:c>
    </x:row>
    <x:row r="14">
      <x:c r="A14" s="83"/>
      <x:c r="B14" s="83"/>
      <x:c r="C14" s="83"/>
      <x:c r="D14" s="83"/>
      <x:c r="E14" s="83"/>
      <x:c r="F14" s="83"/>
      <x:c r="G14" s="83"/>
      <x:c r="H14" s="83"/>
      <x:c r="I14" s="83"/>
      <x:c r="J14" s="83"/>
      <x:c r="K14" s="83"/>
    </x:row>
    <x:row r="15" ht="23" customHeight="1">
      <x:c r="A15" s="87" t="str">
        <x:v>Totals and event surge</x:v>
      </x:c>
      <x:c r="B15" s="87"/>
      <x:c r="C15" s="87"/>
      <x:c r="D15" s="87"/>
      <x:c r="E15" s="87"/>
      <x:c r="F15" s="87"/>
      <x:c r="G15" s="87"/>
      <x:c r="H15" s="87"/>
      <x:c r="I15" s="87"/>
      <x:c r="J15" s="87"/>
      <x:c r="K15" s="87"/>
    </x:row>
    <x:row r="16" ht="15" hidden="0" customHeight="1">
      <x:c r="A16" s="26" t="str">
        <x:v>Permanent positions</x:v>
      </x:c>
      <x:c r="B16" s="43" t="n">
        <x:f>SUM(B5:B13)</x:f>
        <x:v>59832</x:v>
      </x:c>
      <x:c r="C16" s="26" t="str">
        <x:v>people</x:v>
      </x:c>
      <x:c r="D16" s="83"/>
      <x:c r="E16" s="83"/>
      <x:c r="F16" s="83"/>
      <x:c r="G16" s="83"/>
      <x:c r="H16" s="83"/>
      <x:c r="I16" s="83"/>
      <x:c r="J16" s="83"/>
      <x:c r="K16" s="83"/>
    </x:row>
    <x:row r="17" ht="15" hidden="0" customHeight="1">
      <x:c r="A17" s="27" t="str">
        <x:v>Affiliated billets before institutional overhead</x:v>
      </x:c>
      <x:c r="B17" s="44" t="n">
        <x:f>SUM(D5:D13)</x:f>
        <x:v>135850.4</x:v>
      </x:c>
      <x:c r="C17" s="27" t="str">
        <x:v>billets</x:v>
      </x:c>
      <x:c r="D17" s="83"/>
      <x:c r="E17" s="83"/>
      <x:c r="F17" s="83"/>
      <x:c r="G17" s="83"/>
      <x:c r="H17" s="83"/>
      <x:c r="I17" s="83"/>
      <x:c r="J17" s="83"/>
      <x:c r="K17" s="83"/>
    </x:row>
    <x:row r="18" ht="15" hidden="0" customHeight="1">
      <x:c r="A18" s="27" t="str">
        <x:v>Institutional overhead</x:v>
      </x:c>
      <x:c r="B18" s="44" t="n">
        <x:f>B17*0.20</x:f>
        <x:v>27170.08</x:v>
      </x:c>
      <x:c r="C18" s="27" t="str">
        <x:v>billets</x:v>
      </x:c>
      <x:c r="D18" s="83"/>
      <x:c r="E18" s="83"/>
      <x:c r="F18" s="83"/>
      <x:c r="G18" s="83"/>
      <x:c r="H18" s="83"/>
      <x:c r="I18" s="83"/>
      <x:c r="J18" s="83"/>
      <x:c r="K18" s="83"/>
    </x:row>
    <x:row r="19" ht="15" hidden="0" customHeight="1">
      <x:c r="A19" s="27" t="str">
        <x:v>Total affiliated billets</x:v>
      </x:c>
      <x:c r="B19" s="44" t="n">
        <x:f>B17+B18</x:f>
        <x:v>163020.47999999998</x:v>
      </x:c>
      <x:c r="C19" s="27" t="str">
        <x:v>billets</x:v>
      </x:c>
      <x:c r="D19" s="83"/>
      <x:c r="E19" s="83"/>
      <x:c r="F19" s="83"/>
      <x:c r="G19" s="83"/>
      <x:c r="H19" s="83"/>
      <x:c r="I19" s="83"/>
      <x:c r="J19" s="83"/>
      <x:c r="K19" s="83"/>
    </x:row>
    <x:row r="20" ht="15" hidden="0" customHeight="1">
      <x:c r="A20" s="27" t="str">
        <x:v>Domestic activation hands</x:v>
      </x:c>
      <x:c r="B20" s="44" t="n">
        <x:f>'Service Contract'!B11*2.273286527</x:f>
        <x:v>6819.859581</x:v>
      </x:c>
      <x:c r="C20" s="27" t="str">
        <x:v>people</x:v>
      </x:c>
      <x:c r="D20" s="83"/>
      <x:c r="E20" s="83"/>
      <x:c r="F20" s="83"/>
      <x:c r="G20" s="83"/>
      <x:c r="H20" s="83"/>
      <x:c r="I20" s="83"/>
      <x:c r="J20" s="83"/>
      <x:c r="K20" s="83"/>
    </x:row>
    <x:row r="21" ht="15" hidden="0" customHeight="1">
      <x:c r="A21" s="27" t="str">
        <x:v>Post-event inspection surge</x:v>
      </x:c>
      <x:c r="B21" s="44" t="n">
        <x:f>'Inspection'!B13</x:f>
        <x:v>2400</x:v>
      </x:c>
      <x:c r="C21" s="27" t="str">
        <x:v>people</x:v>
      </x:c>
      <x:c r="D21" s="83"/>
      <x:c r="E21" s="83"/>
      <x:c r="F21" s="83"/>
      <x:c r="G21" s="83"/>
      <x:c r="H21" s="83"/>
      <x:c r="I21" s="83"/>
      <x:c r="J21" s="83"/>
      <x:c r="K21" s="83"/>
    </x:row>
    <x:row r="22" ht="15" hidden="0" customHeight="1">
      <x:c r="A22" s="27" t="str">
        <x:v>Civil release surge</x:v>
      </x:c>
      <x:c r="B22" s="44" t="n">
        <x:f>'Inspection'!B14</x:f>
        <x:v>750</x:v>
      </x:c>
      <x:c r="C22" s="27" t="str">
        <x:v>people</x:v>
      </x:c>
      <x:c r="D22" s="83"/>
      <x:c r="E22" s="83"/>
      <x:c r="F22" s="83"/>
      <x:c r="G22" s="83"/>
      <x:c r="H22" s="83"/>
      <x:c r="I22" s="83"/>
      <x:c r="J22" s="83"/>
      <x:c r="K22" s="83"/>
    </x:row>
    <x:row r="23" ht="15" hidden="0" customHeight="1">
      <x:c r="A23" s="27" t="str">
        <x:v>Utility/interface surge</x:v>
      </x:c>
      <x:c r="B23" s="44" t="n">
        <x:f>'Service Contract'!B11*0.5</x:f>
        <x:v>1500</x:v>
      </x:c>
      <x:c r="C23" s="27" t="str">
        <x:v>people</x:v>
      </x:c>
      <x:c r="D23" s="83"/>
      <x:c r="E23" s="83"/>
      <x:c r="F23" s="83"/>
      <x:c r="G23" s="83"/>
      <x:c r="H23" s="83"/>
      <x:c r="I23" s="83"/>
      <x:c r="J23" s="83"/>
      <x:c r="K23" s="83"/>
    </x:row>
    <x:row r="24" ht="15" hidden="0" customHeight="1">
      <x:c r="A24" s="27" t="str">
        <x:v>Logistics surge</x:v>
      </x:c>
      <x:c r="B24" s="44" t="n">
        <x:f>'Service Contract'!B11*0.6</x:f>
        <x:v>1800</x:v>
      </x:c>
      <x:c r="C24" s="27" t="str">
        <x:v>people</x:v>
      </x:c>
      <x:c r="D24" s="83"/>
      <x:c r="E24" s="83"/>
      <x:c r="F24" s="83"/>
      <x:c r="G24" s="83"/>
      <x:c r="H24" s="83"/>
      <x:c r="I24" s="83"/>
      <x:c r="J24" s="83"/>
      <x:c r="K24" s="83"/>
    </x:row>
    <x:row r="25" ht="15" hidden="0" customHeight="1">
      <x:c r="A25" s="27" t="str">
        <x:v>Domestic command surge</x:v>
      </x:c>
      <x:c r="B25" s="44" t="n">
        <x:f>'Service Contract'!B11*0.1</x:f>
        <x:v>300</x:v>
      </x:c>
      <x:c r="C25" s="27" t="str">
        <x:v>people</x:v>
      </x:c>
      <x:c r="D25" s="83"/>
      <x:c r="E25" s="83"/>
      <x:c r="F25" s="83"/>
      <x:c r="G25" s="83"/>
      <x:c r="H25" s="83"/>
      <x:c r="I25" s="83"/>
      <x:c r="J25" s="83"/>
      <x:c r="K25" s="83"/>
    </x:row>
    <x:row r="26" ht="15" hidden="0" customHeight="1">
      <x:c r="A26" s="27" t="str">
        <x:v>Domestic event total</x:v>
      </x:c>
      <x:c r="B26" s="44" t="n">
        <x:f>SUM(B20:B25)</x:f>
        <x:v>13569.859581</x:v>
      </x:c>
      <x:c r="C26" s="27" t="str">
        <x:v>people</x:v>
      </x:c>
      <x:c r="D26" s="83"/>
      <x:c r="E26" s="83"/>
      <x:c r="F26" s="83"/>
      <x:c r="G26" s="83"/>
      <x:c r="H26" s="83"/>
      <x:c r="I26" s="83"/>
      <x:c r="J26" s="83"/>
      <x:c r="K26" s="83"/>
    </x:row>
  </x:sheetData>
  <x:pageMargins left="0.7" right="0.7" top="0.75" bottom="0.75" header="0.3" footer="0.3"/>
</x:worksheet>
</file>

<file path=xl/worksheets/sheet20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31" hidden="0" customWidth="1"/>
    <x:col min="2" max="2" width="17" hidden="0" customWidth="1"/>
    <x:col min="3" max="3" width="17" hidden="0" customWidth="1"/>
    <x:col min="4" max="4" width="17" hidden="0" customWidth="1"/>
    <x:col min="5" max="5" width="17" hidden="0" customWidth="1"/>
    <x:col min="6" max="6" width="17" hidden="0" customWidth="1"/>
    <x:col min="7" max="7" width="17" hidden="0" customWidth="1"/>
    <x:col min="8" max="8" width="39" hidden="0" customWidth="1"/>
    <x:col min="9" max="9" width="39" hidden="0" customWidth="1"/>
    <x:col min="10" max="10" width="39" hidden="0" customWidth="1"/>
    <x:col min="11" max="11" width="39" hidden="0" customWidth="1"/>
  </x:cols>
  <x:sheetData>
    <x:row r="1" ht="29" customHeight="1">
      <x:c r="A1" s="81" t="str">
        <x:v>Industrial and construction capacity</x:v>
      </x:c>
      <x:c r="B1" s="81"/>
      <x:c r="C1" s="81"/>
      <x:c r="D1" s="81"/>
      <x:c r="E1" s="81"/>
      <x:c r="F1" s="81"/>
      <x:c r="G1" s="81"/>
      <x:c r="H1" s="81"/>
      <x:c r="I1" s="81"/>
      <x:c r="J1" s="81"/>
      <x:c r="K1" s="81"/>
    </x:row>
    <x:row r="2" ht="28" customHeight="1">
      <x:c r="A2" s="82" t="str">
        <x:v>The lattice is a national industrial program with repeat production, maintenance and supplier-diversity requirements.</x:v>
      </x:c>
      <x:c r="B2" s="82"/>
      <x:c r="C2" s="82"/>
      <x:c r="D2" s="82"/>
      <x:c r="E2" s="82"/>
      <x:c r="F2" s="82"/>
      <x:c r="G2" s="82"/>
      <x:c r="H2" s="82"/>
      <x:c r="I2" s="82"/>
      <x:c r="J2" s="82"/>
      <x:c r="K2" s="82"/>
    </x:row>
    <x:row r="3">
      <x:c r="A3" s="83"/>
      <x:c r="B3" s="83"/>
      <x:c r="C3" s="83"/>
      <x:c r="D3" s="83"/>
      <x:c r="E3" s="83"/>
      <x:c r="F3" s="83"/>
      <x:c r="G3" s="83"/>
      <x:c r="H3" s="83"/>
      <x:c r="I3" s="83"/>
      <x:c r="J3" s="83"/>
      <x:c r="K3" s="83"/>
    </x:row>
    <x:row r="4" ht="31" customHeight="1">
      <x:c r="A4" s="84" t="str">
        <x:v>Product</x:v>
      </x:c>
      <x:c r="B4" s="85" t="str">
        <x:v>Program quantity</x:v>
      </x:c>
      <x:c r="C4" s="85" t="str">
        <x:v>Build years</x:v>
      </x:c>
      <x:c r="D4" s="85" t="str">
        <x:v>Average annual</x:v>
      </x:c>
      <x:c r="E4" s="85" t="str">
        <x:v>Peak annual target</x:v>
      </x:c>
      <x:c r="F4" s="85" t="str">
        <x:v>Qualified primes</x:v>
      </x:c>
      <x:c r="G4" s="85" t="str">
        <x:v>Max provider share</x:v>
      </x:c>
      <x:c r="H4" s="85" t="str">
        <x:v>Evidence unit</x:v>
      </x:c>
      <x:c r="I4" s="85" t="str">
        <x:v>Industrial bottleneck</x:v>
      </x:c>
      <x:c r="J4" s="85" t="str">
        <x:v>Mobilization reserve</x:v>
      </x:c>
      <x:c r="K4" s="86" t="str">
        <x:v>State</x:v>
      </x:c>
    </x:row>
    <x:row r="5" ht="32.400001525878906" hidden="0" customHeight="1">
      <x:c r="A5" s="28" t="str">
        <x:v>Hardened receiver complexes</x:v>
      </x:c>
      <x:c r="B5" s="53" t="n">
        <x:v>48</x:v>
      </x:c>
      <x:c r="C5" s="53" t="n">
        <x:v>15</x:v>
      </x:c>
      <x:c r="D5" s="53" t="n">
        <x:f>B5/C5</x:f>
        <x:v>3.2</x:v>
      </x:c>
      <x:c r="E5" s="53" t="n">
        <x:v>5</x:v>
      </x:c>
      <x:c r="F5" s="28" t="n">
        <x:v>4</x:v>
      </x:c>
      <x:c r="G5" s="46" t="n">
        <x:v>0.25</x:v>
      </x:c>
      <x:c r="H5" s="28" t="str">
        <x:v>complete accepted complex</x:v>
      </x:c>
      <x:c r="I5" s="28" t="str">
        <x:v>civil works, switchgear, controls</x:v>
      </x:c>
      <x:c r="J5" s="28" t="str">
        <x:v>two extra/year</x:v>
      </x:c>
      <x:c r="K5" s="28" t="str">
        <x:v>OPEN</x:v>
      </x:c>
    </x:row>
    <x:row r="6" ht="32.400001525878906" hidden="0" customHeight="1">
      <x:c r="A6" s="27" t="str">
        <x:v>Distributed prepared sites</x:v>
      </x:c>
      <x:c r="B6" s="55" t="n">
        <x:v>192</x:v>
      </x:c>
      <x:c r="C6" s="55" t="n">
        <x:v>15</x:v>
      </x:c>
      <x:c r="D6" s="55" t="n">
        <x:f>B6/C6</x:f>
        <x:v>12.8</x:v>
      </x:c>
      <x:c r="E6" s="55" t="n">
        <x:v>20</x:v>
      </x:c>
      <x:c r="F6" s="27" t="n">
        <x:v>4</x:v>
      </x:c>
      <x:c r="G6" s="47" t="n">
        <x:v>0.25</x:v>
      </x:c>
      <x:c r="H6" s="27" t="str">
        <x:v>complete accepted site</x:v>
      </x:c>
      <x:c r="I6" s="27" t="str">
        <x:v>land, utility vaults, storage</x:v>
      </x:c>
      <x:c r="J6" s="27" t="str">
        <x:v>eight extra/year</x:v>
      </x:c>
      <x:c r="K6" s="27" t="str">
        <x:v>OPEN</x:v>
      </x:c>
    </x:row>
    <x:row r="7" ht="43.20000076293945" hidden="0" customHeight="1">
      <x:c r="A7" s="29" t="str">
        <x:v>Building adapter nodes</x:v>
      </x:c>
      <x:c r="B7" s="57" t="n">
        <x:v>1440</x:v>
      </x:c>
      <x:c r="C7" s="57" t="n">
        <x:v>15</x:v>
      </x:c>
      <x:c r="D7" s="57" t="n">
        <x:f>B7/C7</x:f>
        <x:v>96</x:v>
      </x:c>
      <x:c r="E7" s="57" t="n">
        <x:v>150</x:v>
      </x:c>
      <x:c r="F7" s="29" t="n">
        <x:v>6</x:v>
      </x:c>
      <x:c r="G7" s="48" t="n">
        <x:v>0.2</x:v>
      </x:c>
      <x:c r="H7" s="29" t="str">
        <x:v>converted and exercised building</x:v>
      </x:c>
      <x:c r="I7" s="29" t="str">
        <x:v>owner agreements, inspection, adapters</x:v>
      </x:c>
      <x:c r="J7" s="29" t="str">
        <x:v>300 kits/year</x:v>
      </x:c>
      <x:c r="K7" s="29" t="str">
        <x:v>OPEN</x:v>
      </x:c>
    </x:row>
    <x:row r="8" ht="43.20000076293945" hidden="0" customHeight="1">
      <x:c r="A8" s="27" t="str">
        <x:v>Partner/territorial nodes</x:v>
      </x:c>
      <x:c r="B8" s="55" t="n">
        <x:v>144</x:v>
      </x:c>
      <x:c r="C8" s="55" t="n">
        <x:v>15</x:v>
      </x:c>
      <x:c r="D8" s="55" t="n">
        <x:f>B8/C8</x:f>
        <x:v>9.6</x:v>
      </x:c>
      <x:c r="E8" s="55" t="n">
        <x:v>15</x:v>
      </x:c>
      <x:c r="F8" s="27" t="n">
        <x:v>4</x:v>
      </x:c>
      <x:c r="G8" s="47" t="n">
        <x:v>0.25</x:v>
      </x:c>
      <x:c r="H8" s="27" t="str">
        <x:v>jointly accepted node</x:v>
      </x:c>
      <x:c r="I8" s="27" t="str">
        <x:v>host standards, transport, custody</x:v>
      </x:c>
      <x:c r="J8" s="27" t="str">
        <x:v>twenty kits/year</x:v>
      </x:c>
      <x:c r="K8" s="27" t="str">
        <x:v>OPEN</x:v>
      </x:c>
    </x:row>
    <x:row r="9" ht="32.400001525878906" hidden="0" customHeight="1">
      <x:c r="A9" s="29" t="str">
        <x:v>Utility interface sets</x:v>
      </x:c>
      <x:c r="B9" s="57" t="n">
        <x:v>7920</x:v>
      </x:c>
      <x:c r="C9" s="57" t="n">
        <x:v>12</x:v>
      </x:c>
      <x:c r="D9" s="57" t="n">
        <x:f>B9/C9</x:f>
        <x:v>660</x:v>
      </x:c>
      <x:c r="E9" s="57" t="n">
        <x:v>900</x:v>
      </x:c>
      <x:c r="F9" s="29" t="n">
        <x:v>6</x:v>
      </x:c>
      <x:c r="G9" s="48" t="n">
        <x:v>0.2</x:v>
      </x:c>
      <x:c r="H9" s="29" t="str">
        <x:v>tested interface set</x:v>
      </x:c>
      <x:c r="I9" s="29" t="str">
        <x:v>transformers, protection, couplers</x:v>
      </x:c>
      <x:c r="J9" s="29" t="str">
        <x:v>1200/year</x:v>
      </x:c>
      <x:c r="K9" s="29" t="str">
        <x:v>OPEN</x:v>
      </x:c>
    </x:row>
    <x:row r="10" ht="32.400001525878906" hidden="0" customHeight="1">
      <x:c r="A10" s="27" t="str">
        <x:v>Local stock sets</x:v>
      </x:c>
      <x:c r="B10" s="55" t="n">
        <x:v>7920</x:v>
      </x:c>
      <x:c r="C10" s="55" t="n">
        <x:v>10</x:v>
      </x:c>
      <x:c r="D10" s="55" t="n">
        <x:f>B10/C10</x:f>
        <x:v>792</x:v>
      </x:c>
      <x:c r="E10" s="55" t="n">
        <x:v>1000</x:v>
      </x:c>
      <x:c r="F10" s="27" t="n">
        <x:v>8</x:v>
      </x:c>
      <x:c r="G10" s="47" t="n">
        <x:v>0.15</x:v>
      </x:c>
      <x:c r="H10" s="27" t="str">
        <x:v>complete serviceable set</x:v>
      </x:c>
      <x:c r="I10" s="27" t="str">
        <x:v>materials, storage, rotation</x:v>
      </x:c>
      <x:c r="J10" s="27" t="str">
        <x:v>1500/year</x:v>
      </x:c>
      <x:c r="K10" s="27" t="str">
        <x:v>OPEN</x:v>
      </x:c>
    </x:row>
    <x:row r="11" ht="32.400001525878906" hidden="0" customHeight="1">
      <x:c r="A11" s="29" t="str">
        <x:v>Passport/inspection systems</x:v>
      </x:c>
      <x:c r="B11" s="57" t="n">
        <x:v>1824</x:v>
      </x:c>
      <x:c r="C11" s="57" t="n">
        <x:v>8</x:v>
      </x:c>
      <x:c r="D11" s="57" t="n">
        <x:f>B11/C11</x:f>
        <x:v>228</x:v>
      </x:c>
      <x:c r="E11" s="57" t="n">
        <x:v>300</x:v>
      </x:c>
      <x:c r="F11" s="29" t="n">
        <x:v>4</x:v>
      </x:c>
      <x:c r="G11" s="48" t="n">
        <x:v>0.25</x:v>
      </x:c>
      <x:c r="H11" s="29" t="str">
        <x:v>offline verified record/site</x:v>
      </x:c>
      <x:c r="I11" s="29" t="str">
        <x:v>data rights, sensors, calibration</x:v>
      </x:c>
      <x:c r="J11" s="29" t="str">
        <x:v>500/year</x:v>
      </x:c>
      <x:c r="K11" s="29" t="str">
        <x:v>OPEN</x:v>
      </x:c>
    </x:row>
  </x:sheetData>
  <x:pageMargins left="0.7" right="0.7" top="0.75" bottom="0.75" header="0.3" footer="0.3"/>
</x:worksheet>
</file>

<file path=xl/worksheets/sheet21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39" hidden="0" customWidth="1"/>
    <x:col min="2" max="2" width="18" hidden="0" customWidth="1"/>
    <x:col min="3" max="3" width="18" hidden="0" customWidth="1"/>
    <x:col min="4" max="4" width="18" hidden="0" customWidth="1"/>
    <x:col min="5" max="5" width="17" hidden="0" customWidth="1"/>
    <x:col min="6" max="6" width="17" hidden="0" customWidth="1"/>
    <x:col min="7" max="7" width="42" hidden="0" customWidth="1"/>
    <x:col min="8" max="8" width="42" hidden="0" customWidth="1"/>
  </x:cols>
  <x:sheetData>
    <x:row r="1" ht="29" customHeight="1">
      <x:c r="A1" s="81" t="str">
        <x:v>Capital program</x:v>
      </x:c>
      <x:c r="B1" s="81"/>
      <x:c r="C1" s="81"/>
      <x:c r="D1" s="81"/>
      <x:c r="E1" s="81"/>
      <x:c r="F1" s="81"/>
      <x:c r="G1" s="81"/>
      <x:c r="H1" s="81"/>
    </x:row>
    <x:row r="2" ht="28" customHeight="1">
      <x:c r="A2" s="82" t="str">
        <x:v>Real 2026 USD. Site-class costs are design assumptions; common programs are explicit to avoid burying readiness infrastructure.</x:v>
      </x:c>
      <x:c r="B2" s="82"/>
      <x:c r="C2" s="82"/>
      <x:c r="D2" s="82"/>
      <x:c r="E2" s="82"/>
      <x:c r="F2" s="82"/>
      <x:c r="G2" s="82"/>
      <x:c r="H2" s="82"/>
    </x:row>
    <x:row r="3">
      <x:c r="A3" s="83"/>
      <x:c r="B3" s="83"/>
      <x:c r="C3" s="83"/>
      <x:c r="D3" s="83"/>
      <x:c r="E3" s="83"/>
      <x:c r="F3" s="83"/>
      <x:c r="G3" s="83"/>
      <x:c r="H3" s="83"/>
    </x:row>
    <x:row r="4" ht="31" customHeight="1">
      <x:c r="A4" s="84" t="str">
        <x:v>Program</x:v>
      </x:c>
      <x:c r="B4" s="85" t="str">
        <x:v>Quantity</x:v>
      </x:c>
      <x:c r="C4" s="85" t="str">
        <x:v>Unit cost $M</x:v>
      </x:c>
      <x:c r="D4" s="85" t="str">
        <x:v>Subtotal $B</x:v>
      </x:c>
      <x:c r="E4" s="85" t="str">
        <x:v>Class</x:v>
      </x:c>
      <x:c r="F4" s="85" t="str">
        <x:v>Cost status</x:v>
      </x:c>
      <x:c r="G4" s="85" t="str">
        <x:v>Included</x:v>
      </x:c>
      <x:c r="H4" s="86" t="str">
        <x:v>Boundary</x:v>
      </x:c>
    </x:row>
    <x:row r="5" ht="43.20000076293945" hidden="0" customHeight="1">
      <x:c r="A5" s="28" t="str">
        <x:v>Hardened regional receiver complexes</x:v>
      </x:c>
      <x:c r="B5" s="53" t="n">
        <x:f>'Site Classes'!D5</x:f>
        <x:v>48</x:v>
      </x:c>
      <x:c r="C5" s="53" t="n">
        <x:f>'Site Classes'!O5</x:f>
        <x:v>4200</x:v>
      </x:c>
      <x:c r="D5" s="53" t="n">
        <x:f>B5*C5/1000</x:f>
        <x:v>201.6</x:v>
      </x:c>
      <x:c r="E5" s="28" t="str">
        <x:v>site</x:v>
      </x:c>
      <x:c r="F5" s="28" t="str">
        <x:v>assumption</x:v>
      </x:c>
      <x:c r="G5" s="28" t="str">
        <x:v>site, fixed systems, stocks, acceptance</x:v>
      </x:c>
      <x:c r="H5" s="28" t="str">
        <x:v>land variance open</x:v>
      </x:c>
    </x:row>
    <x:row r="6" ht="54" hidden="0" customHeight="1">
      <x:c r="A6" s="27" t="str">
        <x:v>Distributed prepared sites</x:v>
      </x:c>
      <x:c r="B6" s="55" t="n">
        <x:f>'Site Classes'!D6</x:f>
        <x:v>192</x:v>
      </x:c>
      <x:c r="C6" s="55" t="n">
        <x:f>'Site Classes'!O6</x:f>
        <x:v>420</x:v>
      </x:c>
      <x:c r="D6" s="55" t="n">
        <x:f>B6*C6/1000</x:f>
        <x:v>80.64</x:v>
      </x:c>
      <x:c r="E6" s="27" t="str">
        <x:v>site</x:v>
      </x:c>
      <x:c r="F6" s="27" t="str">
        <x:v>assumption</x:v>
      </x:c>
      <x:c r="G6" s="27" t="str">
        <x:v>prepared ground, spine, storage, acceptance</x:v>
      </x:c>
      <x:c r="H6" s="27" t="str">
        <x:v>local civil work open</x:v>
      </x:c>
    </x:row>
    <x:row r="7" ht="54" hidden="0" customHeight="1">
      <x:c r="A7" s="29" t="str">
        <x:v>Building adapter nodes</x:v>
      </x:c>
      <x:c r="B7" s="57" t="n">
        <x:f>'Site Classes'!D7</x:f>
        <x:v>1440</x:v>
      </x:c>
      <x:c r="C7" s="57" t="n">
        <x:f>'Site Classes'!O7</x:f>
        <x:v>18</x:v>
      </x:c>
      <x:c r="D7" s="57" t="n">
        <x:f>B7*C7/1000</x:f>
        <x:v>25.92</x:v>
      </x:c>
      <x:c r="E7" s="29" t="str">
        <x:v>site</x:v>
      </x:c>
      <x:c r="F7" s="29" t="str">
        <x:v>assumption</x:v>
      </x:c>
      <x:c r="G7" s="29" t="str">
        <x:v>passport, adapter, protected stock, exercises</x:v>
      </x:c>
      <x:c r="H7" s="29" t="str">
        <x:v>building retrofit varies</x:v>
      </x:c>
    </x:row>
    <x:row r="8" ht="32.400001525878906" hidden="0" customHeight="1">
      <x:c r="A8" s="27" t="str">
        <x:v>Partner and territorial receivers</x:v>
      </x:c>
      <x:c r="B8" s="55" t="n">
        <x:f>'Site Classes'!D8</x:f>
        <x:v>144</x:v>
      </x:c>
      <x:c r="C8" s="55" t="n">
        <x:f>'Site Classes'!O8</x:f>
        <x:v>95</x:v>
      </x:c>
      <x:c r="D8" s="55" t="n">
        <x:f>B8*C8/1000</x:f>
        <x:v>13.68</x:v>
      </x:c>
      <x:c r="E8" s="27" t="str">
        <x:v>site</x:v>
      </x:c>
      <x:c r="F8" s="27" t="str">
        <x:v>assumption</x:v>
      </x:c>
      <x:c r="G8" s="27" t="str">
        <x:v>joint interface, stocks, test</x:v>
      </x:c>
      <x:c r="H8" s="27" t="str">
        <x:v>host contribution excluded</x:v>
      </x:c>
    </x:row>
    <x:row r="9" ht="43.20000076293945" hidden="0" customHeight="1">
      <x:c r="A9" s="29" t="str">
        <x:v>Land and access rights</x:v>
      </x:c>
      <x:c r="B9" s="57" t="n">
        <x:v>1</x:v>
      </x:c>
      <x:c r="C9" s="57" t="n">
        <x:v>28000</x:v>
      </x:c>
      <x:c r="D9" s="57" t="n">
        <x:f>B9*C9/1000</x:f>
        <x:v>28</x:v>
      </x:c>
      <x:c r="E9" s="29" t="str">
        <x:v>common</x:v>
      </x:c>
      <x:c r="F9" s="29" t="str">
        <x:v>assumption</x:v>
      </x:c>
      <x:c r="G9" s="29" t="str">
        <x:v>easements, options, environmental baseline</x:v>
      </x:c>
      <x:c r="H9" s="29" t="str">
        <x:v>not eminent-domain proposal</x:v>
      </x:c>
    </x:row>
    <x:row r="10" ht="54" hidden="0" customHeight="1">
      <x:c r="A10" s="27" t="str">
        <x:v>Regional commands and depots</x:v>
      </x:c>
      <x:c r="B10" s="55" t="n">
        <x:v>1</x:v>
      </x:c>
      <x:c r="C10" s="55" t="n">
        <x:v>36000</x:v>
      </x:c>
      <x:c r="D10" s="55" t="n">
        <x:f>B10*C10/1000</x:f>
        <x:v>36</x:v>
      </x:c>
      <x:c r="E10" s="27" t="str">
        <x:v>common</x:v>
      </x:c>
      <x:c r="F10" s="27" t="str">
        <x:v>assumption</x:v>
      </x:c>
      <x:c r="G10" s="27" t="str">
        <x:v>sixteen regions, cell nodes, repair/storage</x:v>
      </x:c>
      <x:c r="H10" s="27" t="str">
        <x:v>overlap with site cost controlled</x:v>
      </x:c>
    </x:row>
    <x:row r="11" ht="43.20000076293945" hidden="0" customHeight="1">
      <x:c r="A11" s="29" t="str">
        <x:v>Common service spine and standards</x:v>
      </x:c>
      <x:c r="B11" s="57" t="n">
        <x:v>1</x:v>
      </x:c>
      <x:c r="C11" s="57" t="n">
        <x:v>18000</x:v>
      </x:c>
      <x:c r="D11" s="57" t="n">
        <x:f>B11*C11/1000</x:f>
        <x:v>18</x:v>
      </x:c>
      <x:c r="E11" s="29" t="str">
        <x:v>common</x:v>
      </x:c>
      <x:c r="F11" s="29" t="str">
        <x:v>assumption</x:v>
      </x:c>
      <x:c r="G11" s="29" t="str">
        <x:v>interfaces, conformance, adapters</x:v>
      </x:c>
      <x:c r="H11" s="29" t="str">
        <x:v>not all physical utility work</x:v>
      </x:c>
    </x:row>
    <x:row r="12" ht="54" hidden="0" customHeight="1">
      <x:c r="A12" s="27" t="str">
        <x:v>Digital passport and decision environment</x:v>
      </x:c>
      <x:c r="B12" s="55" t="n">
        <x:v>1</x:v>
      </x:c>
      <x:c r="C12" s="55" t="n">
        <x:v>12000</x:v>
      </x:c>
      <x:c r="D12" s="55" t="n">
        <x:f>B12*C12/1000</x:f>
        <x:v>12</x:v>
      </x:c>
      <x:c r="E12" s="27" t="str">
        <x:v>common</x:v>
      </x:c>
      <x:c r="F12" s="27" t="str">
        <x:v>assumption</x:v>
      </x:c>
      <x:c r="G12" s="27" t="str">
        <x:v>offline records, sensing, configuration control</x:v>
      </x:c>
      <x:c r="H12" s="27" t="str">
        <x:v>privacy/cyber open</x:v>
      </x:c>
    </x:row>
    <x:row r="13" ht="54" hidden="0" customHeight="1">
      <x:c r="A13" s="29" t="str">
        <x:v>Training and test facilities</x:v>
      </x:c>
      <x:c r="B13" s="57" t="n">
        <x:v>1</x:v>
      </x:c>
      <x:c r="C13" s="57" t="n">
        <x:v>18000</x:v>
      </x:c>
      <x:c r="D13" s="57" t="n">
        <x:f>B13*C13/1000</x:f>
        <x:v>18</x:v>
      </x:c>
      <x:c r="E13" s="29" t="str">
        <x:v>common</x:v>
      </x:c>
      <x:c r="F13" s="29" t="str">
        <x:v>assumption</x:v>
      </x:c>
      <x:c r="G13" s="29" t="str">
        <x:v>conversion, inspection and degraded-mode ranges</x:v>
      </x:c>
      <x:c r="H13" s="29" t="str">
        <x:v>nested with proving network pending</x:v>
      </x:c>
    </x:row>
    <x:row r="14" ht="43.20000076293945" hidden="0" customHeight="1">
      <x:c r="A14" s="27" t="str">
        <x:v>Initial strategic stock reserve</x:v>
      </x:c>
      <x:c r="B14" s="55" t="n">
        <x:v>1</x:v>
      </x:c>
      <x:c r="C14" s="55" t="n">
        <x:v>24000</x:v>
      </x:c>
      <x:c r="D14" s="55" t="n">
        <x:f>B14*C14/1000</x:f>
        <x:v>24</x:v>
      </x:c>
      <x:c r="E14" s="27" t="str">
        <x:v>common</x:v>
      </x:c>
      <x:c r="F14" s="27" t="str">
        <x:v>assumption</x:v>
      </x:c>
      <x:c r="G14" s="27" t="str">
        <x:v>replacement sets and surge inventory</x:v>
      </x:c>
      <x:c r="H14" s="27" t="str">
        <x:v>site stocks in unit costs</x:v>
      </x:c>
    </x:row>
    <x:row r="15" ht="54" hidden="0" customHeight="1">
      <x:c r="A15" s="29" t="str">
        <x:v>Supplier and industrial activation</x:v>
      </x:c>
      <x:c r="B15" s="57" t="n">
        <x:v>1</x:v>
      </x:c>
      <x:c r="C15" s="57" t="n">
        <x:v>12000</x:v>
      </x:c>
      <x:c r="D15" s="57" t="n">
        <x:f>B15*C15/1000</x:f>
        <x:v>12</x:v>
      </x:c>
      <x:c r="E15" s="29" t="str">
        <x:v>common</x:v>
      </x:c>
      <x:c r="F15" s="29" t="str">
        <x:v>assumption</x:v>
      </x:c>
      <x:c r="G15" s="29" t="str">
        <x:v>second sources, tooling, surge contracts</x:v>
      </x:c>
      <x:c r="H15" s="29" t="str">
        <x:v>economic spillover excluded</x:v>
      </x:c>
    </x:row>
    <x:row r="16">
      <x:c r="A16" s="83"/>
      <x:c r="B16" s="83"/>
      <x:c r="C16" s="83"/>
      <x:c r="D16" s="83"/>
      <x:c r="E16" s="83"/>
      <x:c r="F16" s="83"/>
      <x:c r="G16" s="83"/>
      <x:c r="H16" s="83"/>
    </x:row>
    <x:row r="17" ht="23" customHeight="1">
      <x:c r="A17" s="87" t="str">
        <x:v>Program total</x:v>
      </x:c>
      <x:c r="B17" s="87"/>
      <x:c r="C17" s="87"/>
      <x:c r="D17" s="87"/>
      <x:c r="E17" s="87"/>
      <x:c r="F17" s="87"/>
      <x:c r="G17" s="87"/>
      <x:c r="H17" s="87"/>
    </x:row>
    <x:row r="18" ht="15" hidden="0" customHeight="1">
      <x:c r="A18" s="26" t="str">
        <x:v>Site and common subtotal</x:v>
      </x:c>
      <x:c r="B18" s="66" t="n">
        <x:f>SUM(D5:D15)</x:f>
        <x:v>469.84000000000003</x:v>
      </x:c>
      <x:c r="C18" s="26" t="str">
        <x:v>$B</x:v>
      </x:c>
      <x:c r="D18" s="83"/>
      <x:c r="E18" s="83"/>
      <x:c r="F18" s="83"/>
      <x:c r="G18" s="83"/>
      <x:c r="H18" s="83"/>
    </x:row>
    <x:row r="19" ht="15" hidden="0" customHeight="1">
      <x:c r="A19" s="27" t="str">
        <x:v>Capital reserve</x:v>
      </x:c>
      <x:c r="B19" s="67" t="n">
        <x:f>B18*'Controls'!C35</x:f>
        <x:v>93.96800000000002</x:v>
      </x:c>
      <x:c r="C19" s="27" t="str">
        <x:v>$B</x:v>
      </x:c>
      <x:c r="D19" s="83"/>
      <x:c r="E19" s="83"/>
      <x:c r="F19" s="83"/>
      <x:c r="G19" s="83"/>
      <x:c r="H19" s="83"/>
    </x:row>
    <x:row r="20" ht="15" hidden="0" customHeight="1">
      <x:c r="A20" s="27" t="str">
        <x:v>Total 25-year capital authority</x:v>
      </x:c>
      <x:c r="B20" s="67" t="n">
        <x:f>SUM(B18:B19)</x:f>
        <x:v>563.808</x:v>
      </x:c>
      <x:c r="C20" s="27" t="str">
        <x:v>$B</x:v>
      </x:c>
      <x:c r="D20" s="83"/>
      <x:c r="E20" s="83"/>
      <x:c r="F20" s="83"/>
      <x:c r="G20" s="83"/>
      <x:c r="H20" s="83"/>
    </x:row>
  </x:sheetData>
  <x:pageMargins left="0.7" right="0.7" top="0.75" bottom="0.75" header="0.3" footer="0.3"/>
</x:worksheet>
</file>

<file path=xl/worksheets/sheet22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3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</x:cols>
  <x:sheetData>
    <x:row r="1" ht="29" customHeight="1">
      <x:c r="A1" s="81" t="str">
        <x:v>Twenty-five-year expenditure profile</x:v>
      </x:c>
      <x:c r="B1" s="81"/>
      <x:c r="C1" s="81"/>
      <x:c r="D1" s="81"/>
      <x:c r="E1" s="81"/>
      <x:c r="F1" s="81"/>
      <x:c r="G1" s="81"/>
      <x:c r="H1" s="81"/>
      <x:c r="I1" s="81"/>
    </x:row>
    <x:row r="2" ht="28" customHeight="1">
      <x:c r="A2" s="82" t="str">
        <x:v>Capital follows a front-loaded build curve. Operations ramp with cumulative fielded capital.</x:v>
      </x:c>
      <x:c r="B2" s="82"/>
      <x:c r="C2" s="82"/>
      <x:c r="D2" s="82"/>
      <x:c r="E2" s="82"/>
      <x:c r="F2" s="82"/>
      <x:c r="G2" s="82"/>
      <x:c r="H2" s="82"/>
      <x:c r="I2" s="82"/>
    </x:row>
    <x:row r="3">
      <x:c r="A3" s="83"/>
      <x:c r="B3" s="83"/>
      <x:c r="C3" s="83"/>
      <x:c r="D3" s="83"/>
      <x:c r="E3" s="83"/>
      <x:c r="F3" s="83"/>
      <x:c r="G3" s="83"/>
      <x:c r="H3" s="83"/>
      <x:c r="I3" s="83"/>
    </x:row>
    <x:row r="4" ht="31" customHeight="1">
      <x:c r="A4" s="84" t="str">
        <x:v>Year</x:v>
      </x:c>
      <x:c r="B4" s="85" t="str">
        <x:v>Capital weight</x:v>
      </x:c>
      <x:c r="C4" s="85" t="str">
        <x:v>Capital $B</x:v>
      </x:c>
      <x:c r="D4" s="85" t="str">
        <x:v>Cumulative capital</x:v>
      </x:c>
      <x:c r="E4" s="85" t="str">
        <x:v>Fielded share</x:v>
      </x:c>
      <x:c r="F4" s="85" t="str">
        <x:v>Site O&amp;M $B</x:v>
      </x:c>
      <x:c r="G4" s="85" t="str">
        <x:v>Common O&amp;M $B</x:v>
      </x:c>
      <x:c r="H4" s="85" t="str">
        <x:v>Total O&amp;M $B</x:v>
      </x:c>
      <x:c r="I4" s="86" t="str">
        <x:v>Total spend $B</x:v>
      </x:c>
    </x:row>
    <x:row r="5" ht="15" hidden="0" customHeight="1">
      <x:c r="A5" s="68" t="n">
        <x:v>2027</x:v>
      </x:c>
      <x:c r="B5" s="46" t="n">
        <x:v>0.01</x:v>
      </x:c>
      <x:c r="C5" s="71" t="n">
        <x:f>B5*'Capital Build'!B20</x:f>
        <x:v>5.63808</x:v>
      </x:c>
      <x:c r="D5" s="71" t="n">
        <x:f>C5</x:f>
        <x:v>5.63808</x:v>
      </x:c>
      <x:c r="E5" s="71" t="n">
        <x:f>D5/'Capital Build'!B20</x:f>
        <x:v>0.01</x:v>
      </x:c>
      <x:c r="F5" s="71" t="n">
        <x:f>SUM('Site Classes'!R5:R8)*E5</x:f>
        <x:v>0.12119999999999999</x:v>
      </x:c>
      <x:c r="G5" s="71" t="n">
        <x:f>24.2*E5</x:f>
        <x:v>0.242</x:v>
      </x:c>
      <x:c r="H5" s="71" t="n">
        <x:f>SUM(F5:G5)</x:f>
        <x:v>0.36319999999999997</x:v>
      </x:c>
      <x:c r="I5" s="71" t="n">
        <x:f>C5+H5</x:f>
        <x:v>6.00128</x:v>
      </x:c>
    </x:row>
    <x:row r="6" ht="15" hidden="0" customHeight="1">
      <x:c r="A6" s="69" t="n">
        <x:v>2028</x:v>
      </x:c>
      <x:c r="B6" s="47" t="n">
        <x:v>0.02</x:v>
      </x:c>
      <x:c r="C6" s="67" t="n">
        <x:f>B6*'Capital Build'!B20</x:f>
        <x:v>11.27616</x:v>
      </x:c>
      <x:c r="D6" s="67" t="n">
        <x:f>D5+C6</x:f>
        <x:v>16.91424</x:v>
      </x:c>
      <x:c r="E6" s="67" t="n">
        <x:f>D6/'Capital Build'!B20</x:f>
        <x:v>0.03</x:v>
      </x:c>
      <x:c r="F6" s="67" t="n">
        <x:f>SUM('Site Classes'!R5:R8)*E6</x:f>
        <x:v>0.3636</x:v>
      </x:c>
      <x:c r="G6" s="67" t="n">
        <x:f>24.2*E6</x:f>
        <x:v>0.726</x:v>
      </x:c>
      <x:c r="H6" s="67" t="n">
        <x:f>SUM(F6:G6)</x:f>
        <x:v>1.0896</x:v>
      </x:c>
      <x:c r="I6" s="67" t="n">
        <x:f>C6+H6</x:f>
        <x:v>12.365760000000002</x:v>
      </x:c>
    </x:row>
    <x:row r="7" ht="15" hidden="0" customHeight="1">
      <x:c r="A7" s="70" t="n">
        <x:v>2029</x:v>
      </x:c>
      <x:c r="B7" s="48" t="n">
        <x:v>0.03</x:v>
      </x:c>
      <x:c r="C7" s="72" t="n">
        <x:f>B7*'Capital Build'!B20</x:f>
        <x:v>16.91424</x:v>
      </x:c>
      <x:c r="D7" s="72" t="n">
        <x:f>D6+C7</x:f>
        <x:v>33.82848</x:v>
      </x:c>
      <x:c r="E7" s="72" t="n">
        <x:f>D7/'Capital Build'!B20</x:f>
        <x:v>0.06</x:v>
      </x:c>
      <x:c r="F7" s="72" t="n">
        <x:f>SUM('Site Classes'!R5:R8)*E7</x:f>
        <x:v>0.7272</x:v>
      </x:c>
      <x:c r="G7" s="72" t="n">
        <x:f>24.2*E7</x:f>
        <x:v>1.452</x:v>
      </x:c>
      <x:c r="H7" s="72" t="n">
        <x:f>SUM(F7:G7)</x:f>
        <x:v>2.1792</x:v>
      </x:c>
      <x:c r="I7" s="72" t="n">
        <x:f>C7+H7</x:f>
        <x:v>19.09344</x:v>
      </x:c>
    </x:row>
    <x:row r="8" ht="15" hidden="0" customHeight="1">
      <x:c r="A8" s="69" t="n">
        <x:v>2030</x:v>
      </x:c>
      <x:c r="B8" s="47" t="n">
        <x:v>0.04</x:v>
      </x:c>
      <x:c r="C8" s="67" t="n">
        <x:f>B8*'Capital Build'!B20</x:f>
        <x:v>22.55232</x:v>
      </x:c>
      <x:c r="D8" s="67" t="n">
        <x:f>D7+C8</x:f>
        <x:v>56.3808</x:v>
      </x:c>
      <x:c r="E8" s="67" t="n">
        <x:f>D8/'Capital Build'!B20</x:f>
        <x:v>0.1</x:v>
      </x:c>
      <x:c r="F8" s="67" t="n">
        <x:f>SUM('Site Classes'!R5:R8)*E8</x:f>
        <x:v>1.212</x:v>
      </x:c>
      <x:c r="G8" s="67" t="n">
        <x:f>24.2*E8</x:f>
        <x:v>2.42</x:v>
      </x:c>
      <x:c r="H8" s="67" t="n">
        <x:f>SUM(F8:G8)</x:f>
        <x:v>3.6319999999999997</x:v>
      </x:c>
      <x:c r="I8" s="67" t="n">
        <x:f>C8+H8</x:f>
        <x:v>26.18432</x:v>
      </x:c>
    </x:row>
    <x:row r="9" ht="15" hidden="0" customHeight="1">
      <x:c r="A9" s="70" t="n">
        <x:v>2031</x:v>
      </x:c>
      <x:c r="B9" s="48" t="n">
        <x:v>0.05</x:v>
      </x:c>
      <x:c r="C9" s="72" t="n">
        <x:f>B9*'Capital Build'!B20</x:f>
        <x:v>28.1904</x:v>
      </x:c>
      <x:c r="D9" s="72" t="n">
        <x:f>D8+C9</x:f>
        <x:v>84.5712</x:v>
      </x:c>
      <x:c r="E9" s="72" t="n">
        <x:f>D9/'Capital Build'!B20</x:f>
        <x:v>0.15000000000000002</x:v>
      </x:c>
      <x:c r="F9" s="72" t="n">
        <x:f>SUM('Site Classes'!R5:R8)*E9</x:f>
        <x:v>1.818</x:v>
      </x:c>
      <x:c r="G9" s="72" t="n">
        <x:f>24.2*E9</x:f>
        <x:v>3.6300000000000003</x:v>
      </x:c>
      <x:c r="H9" s="72" t="n">
        <x:f>SUM(F9:G9)</x:f>
        <x:v>5.448</x:v>
      </x:c>
      <x:c r="I9" s="72" t="n">
        <x:f>C9+H9</x:f>
        <x:v>33.638400000000004</x:v>
      </x:c>
    </x:row>
    <x:row r="10" ht="15" hidden="0" customHeight="1">
      <x:c r="A10" s="69" t="n">
        <x:v>2032</x:v>
      </x:c>
      <x:c r="B10" s="47" t="n">
        <x:v>0.07</x:v>
      </x:c>
      <x:c r="C10" s="67" t="n">
        <x:f>B10*'Capital Build'!B20</x:f>
        <x:v>39.46656</x:v>
      </x:c>
      <x:c r="D10" s="67" t="n">
        <x:f>D9+C10</x:f>
        <x:v>124.03776</x:v>
      </x:c>
      <x:c r="E10" s="67" t="n">
        <x:f>D10/'Capital Build'!B20</x:f>
        <x:v>0.22</x:v>
      </x:c>
      <x:c r="F10" s="67" t="n">
        <x:f>SUM('Site Classes'!R5:R8)*E10</x:f>
        <x:v>2.6664</x:v>
      </x:c>
      <x:c r="G10" s="67" t="n">
        <x:f>24.2*E10</x:f>
        <x:v>5.324</x:v>
      </x:c>
      <x:c r="H10" s="67" t="n">
        <x:f>SUM(F10:G10)</x:f>
        <x:v>7.990399999999999</x:v>
      </x:c>
      <x:c r="I10" s="67" t="n">
        <x:f>C10+H10</x:f>
        <x:v>47.45696</x:v>
      </x:c>
    </x:row>
    <x:row r="11" ht="15" hidden="0" customHeight="1">
      <x:c r="A11" s="70" t="n">
        <x:v>2033</x:v>
      </x:c>
      <x:c r="B11" s="48" t="n">
        <x:v>0.08</x:v>
      </x:c>
      <x:c r="C11" s="72" t="n">
        <x:f>B11*'Capital Build'!B20</x:f>
        <x:v>45.10464</x:v>
      </x:c>
      <x:c r="D11" s="72" t="n">
        <x:f>D10+C11</x:f>
        <x:v>169.1424</x:v>
      </x:c>
      <x:c r="E11" s="72" t="n">
        <x:f>D11/'Capital Build'!B20</x:f>
        <x:v>0.30000000000000004</x:v>
      </x:c>
      <x:c r="F11" s="72" t="n">
        <x:f>SUM('Site Classes'!R5:R8)*E11</x:f>
        <x:v>3.636</x:v>
      </x:c>
      <x:c r="G11" s="72" t="n">
        <x:f>24.2*E11</x:f>
        <x:v>7.260000000000001</x:v>
      </x:c>
      <x:c r="H11" s="72" t="n">
        <x:f>SUM(F11:G11)</x:f>
        <x:v>10.896</x:v>
      </x:c>
      <x:c r="I11" s="72" t="n">
        <x:f>C11+H11</x:f>
        <x:v>56.000640000000004</x:v>
      </x:c>
    </x:row>
    <x:row r="12" ht="15" hidden="0" customHeight="1">
      <x:c r="A12" s="69" t="n">
        <x:v>2034</x:v>
      </x:c>
      <x:c r="B12" s="47" t="n">
        <x:v>0.09</x:v>
      </x:c>
      <x:c r="C12" s="67" t="n">
        <x:f>B12*'Capital Build'!B20</x:f>
        <x:v>50.74272</x:v>
      </x:c>
      <x:c r="D12" s="67" t="n">
        <x:f>D11+C12</x:f>
        <x:v>219.88512</x:v>
      </x:c>
      <x:c r="E12" s="67" t="n">
        <x:f>D12/'Capital Build'!B20</x:f>
        <x:v>0.39</x:v>
      </x:c>
      <x:c r="F12" s="67" t="n">
        <x:f>SUM('Site Classes'!R5:R8)*E12</x:f>
        <x:v>4.7268</x:v>
      </x:c>
      <x:c r="G12" s="67" t="n">
        <x:f>24.2*E12</x:f>
        <x:v>9.438</x:v>
      </x:c>
      <x:c r="H12" s="67" t="n">
        <x:f>SUM(F12:G12)</x:f>
        <x:v>14.1648</x:v>
      </x:c>
      <x:c r="I12" s="67" t="n">
        <x:f>C12+H12</x:f>
        <x:v>64.90752</x:v>
      </x:c>
    </x:row>
    <x:row r="13" ht="15" hidden="0" customHeight="1">
      <x:c r="A13" s="70" t="n">
        <x:v>2035</x:v>
      </x:c>
      <x:c r="B13" s="48" t="n">
        <x:v>0.09</x:v>
      </x:c>
      <x:c r="C13" s="72" t="n">
        <x:f>B13*'Capital Build'!B20</x:f>
        <x:v>50.74272</x:v>
      </x:c>
      <x:c r="D13" s="72" t="n">
        <x:f>D12+C13</x:f>
        <x:v>270.62784</x:v>
      </x:c>
      <x:c r="E13" s="72" t="n">
        <x:f>D13/'Capital Build'!B20</x:f>
        <x:v>0.48</x:v>
      </x:c>
      <x:c r="F13" s="72" t="n">
        <x:f>SUM('Site Classes'!R5:R8)*E13</x:f>
        <x:v>5.8176</x:v>
      </x:c>
      <x:c r="G13" s="72" t="n">
        <x:f>24.2*E13</x:f>
        <x:v>11.616</x:v>
      </x:c>
      <x:c r="H13" s="72" t="n">
        <x:f>SUM(F13:G13)</x:f>
        <x:v>17.4336</x:v>
      </x:c>
      <x:c r="I13" s="72" t="n">
        <x:f>C13+H13</x:f>
        <x:v>68.17632</x:v>
      </x:c>
    </x:row>
    <x:row r="14" ht="15" hidden="0" customHeight="1">
      <x:c r="A14" s="69" t="n">
        <x:v>2036</x:v>
      </x:c>
      <x:c r="B14" s="47" t="n">
        <x:v>0.09</x:v>
      </x:c>
      <x:c r="C14" s="67" t="n">
        <x:f>B14*'Capital Build'!B20</x:f>
        <x:v>50.74272</x:v>
      </x:c>
      <x:c r="D14" s="67" t="n">
        <x:f>D13+C14</x:f>
        <x:v>321.37056</x:v>
      </x:c>
      <x:c r="E14" s="67" t="n">
        <x:f>D14/'Capital Build'!B20</x:f>
        <x:v>0.5700000000000001</x:v>
      </x:c>
      <x:c r="F14" s="67" t="n">
        <x:f>SUM('Site Classes'!R5:R8)*E14</x:f>
        <x:v>6.9084</x:v>
      </x:c>
      <x:c r="G14" s="67" t="n">
        <x:f>24.2*E14</x:f>
        <x:v>13.794</x:v>
      </x:c>
      <x:c r="H14" s="67" t="n">
        <x:f>SUM(F14:G14)</x:f>
        <x:v>20.7024</x:v>
      </x:c>
      <x:c r="I14" s="67" t="n">
        <x:f>C14+H14</x:f>
        <x:v>71.44512</x:v>
      </x:c>
    </x:row>
    <x:row r="15" ht="15" hidden="0" customHeight="1">
      <x:c r="A15" s="70" t="n">
        <x:v>2037</x:v>
      </x:c>
      <x:c r="B15" s="48" t="n">
        <x:v>0.08</x:v>
      </x:c>
      <x:c r="C15" s="72" t="n">
        <x:f>B15*'Capital Build'!B20</x:f>
        <x:v>45.10464</x:v>
      </x:c>
      <x:c r="D15" s="72" t="n">
        <x:f>D14+C15</x:f>
        <x:v>366.47520000000003</x:v>
      </x:c>
      <x:c r="E15" s="72" t="n">
        <x:f>D15/'Capital Build'!B20</x:f>
        <x:v>0.65</x:v>
      </x:c>
      <x:c r="F15" s="72" t="n">
        <x:f>SUM('Site Classes'!R5:R8)*E15</x:f>
        <x:v>7.878</x:v>
      </x:c>
      <x:c r="G15" s="72" t="n">
        <x:f>24.2*E15</x:f>
        <x:v>15.73</x:v>
      </x:c>
      <x:c r="H15" s="72" t="n">
        <x:f>SUM(F15:G15)</x:f>
        <x:v>23.608</x:v>
      </x:c>
      <x:c r="I15" s="72" t="n">
        <x:f>C15+H15</x:f>
        <x:v>68.71264000000001</x:v>
      </x:c>
    </x:row>
    <x:row r="16" ht="15" hidden="0" customHeight="1">
      <x:c r="A16" s="69" t="n">
        <x:v>2038</x:v>
      </x:c>
      <x:c r="B16" s="47" t="n">
        <x:v>0.07</x:v>
      </x:c>
      <x:c r="C16" s="67" t="n">
        <x:f>B16*'Capital Build'!B20</x:f>
        <x:v>39.46656</x:v>
      </x:c>
      <x:c r="D16" s="67" t="n">
        <x:f>D15+C16</x:f>
        <x:v>405.94176000000004</x:v>
      </x:c>
      <x:c r="E16" s="67" t="n">
        <x:f>D16/'Capital Build'!B20</x:f>
        <x:v>0.7200000000000001</x:v>
      </x:c>
      <x:c r="F16" s="67" t="n">
        <x:f>SUM('Site Classes'!R5:R8)*E16</x:f>
        <x:v>8.7264</x:v>
      </x:c>
      <x:c r="G16" s="67" t="n">
        <x:f>24.2*E16</x:f>
        <x:v>17.424000000000003</x:v>
      </x:c>
      <x:c r="H16" s="67" t="n">
        <x:f>SUM(F16:G16)</x:f>
        <x:v>26.150400000000005</x:v>
      </x:c>
      <x:c r="I16" s="67" t="n">
        <x:f>C16+H16</x:f>
        <x:v>65.61696</x:v>
      </x:c>
    </x:row>
    <x:row r="17" ht="15" hidden="0" customHeight="1">
      <x:c r="A17" s="70" t="n">
        <x:v>2039</x:v>
      </x:c>
      <x:c r="B17" s="48" t="n">
        <x:v>0.06</x:v>
      </x:c>
      <x:c r="C17" s="72" t="n">
        <x:f>B17*'Capital Build'!B20</x:f>
        <x:v>33.82848</x:v>
      </x:c>
      <x:c r="D17" s="72" t="n">
        <x:f>D16+C17</x:f>
        <x:v>439.77024000000006</x:v>
      </x:c>
      <x:c r="E17" s="72" t="n">
        <x:f>D17/'Capital Build'!B20</x:f>
        <x:v>0.7800000000000001</x:v>
      </x:c>
      <x:c r="F17" s="72" t="n">
        <x:f>SUM('Site Classes'!R5:R8)*E17</x:f>
        <x:v>9.453600000000002</x:v>
      </x:c>
      <x:c r="G17" s="72" t="n">
        <x:f>24.2*E17</x:f>
        <x:v>18.876</x:v>
      </x:c>
      <x:c r="H17" s="72" t="n">
        <x:f>SUM(F17:G17)</x:f>
        <x:v>28.329600000000003</x:v>
      </x:c>
      <x:c r="I17" s="72" t="n">
        <x:f>C17+H17</x:f>
        <x:v>62.15808</x:v>
      </x:c>
    </x:row>
    <x:row r="18" ht="15" hidden="0" customHeight="1">
      <x:c r="A18" s="69" t="n">
        <x:v>2040</x:v>
      </x:c>
      <x:c r="B18" s="47" t="n">
        <x:v>0.05</x:v>
      </x:c>
      <x:c r="C18" s="67" t="n">
        <x:f>B18*'Capital Build'!B20</x:f>
        <x:v>28.1904</x:v>
      </x:c>
      <x:c r="D18" s="67" t="n">
        <x:f>D17+C18</x:f>
        <x:v>467.96064000000007</x:v>
      </x:c>
      <x:c r="E18" s="67" t="n">
        <x:f>D18/'Capital Build'!B20</x:f>
        <x:v>0.8300000000000002</x:v>
      </x:c>
      <x:c r="F18" s="67" t="n">
        <x:f>SUM('Site Classes'!R5:R8)*E18</x:f>
        <x:v>10.059600000000001</x:v>
      </x:c>
      <x:c r="G18" s="67" t="n">
        <x:f>24.2*E18</x:f>
        <x:v>20.086000000000002</x:v>
      </x:c>
      <x:c r="H18" s="67" t="n">
        <x:f>SUM(F18:G18)</x:f>
        <x:v>30.1456</x:v>
      </x:c>
      <x:c r="I18" s="67" t="n">
        <x:f>C18+H18</x:f>
        <x:v>58.336</x:v>
      </x:c>
    </x:row>
    <x:row r="19" ht="15" hidden="0" customHeight="1">
      <x:c r="A19" s="70" t="n">
        <x:v>2041</x:v>
      </x:c>
      <x:c r="B19" s="48" t="n">
        <x:v>0.04</x:v>
      </x:c>
      <x:c r="C19" s="72" t="n">
        <x:f>B19*'Capital Build'!B20</x:f>
        <x:v>22.55232</x:v>
      </x:c>
      <x:c r="D19" s="72" t="n">
        <x:f>D18+C19</x:f>
        <x:v>490.5129600000001</x:v>
      </x:c>
      <x:c r="E19" s="72" t="n">
        <x:f>D19/'Capital Build'!B20</x:f>
        <x:v>0.8700000000000001</x:v>
      </x:c>
      <x:c r="F19" s="72" t="n">
        <x:f>SUM('Site Classes'!R5:R8)*E19</x:f>
        <x:v>10.544400000000001</x:v>
      </x:c>
      <x:c r="G19" s="72" t="n">
        <x:f>24.2*E19</x:f>
        <x:v>21.054000000000002</x:v>
      </x:c>
      <x:c r="H19" s="72" t="n">
        <x:f>SUM(F19:G19)</x:f>
        <x:v>31.598400000000005</x:v>
      </x:c>
      <x:c r="I19" s="72" t="n">
        <x:f>C19+H19</x:f>
        <x:v>54.15072000000001</x:v>
      </x:c>
    </x:row>
    <x:row r="20" ht="15" hidden="0" customHeight="1">
      <x:c r="A20" s="69" t="n">
        <x:v>2042</x:v>
      </x:c>
      <x:c r="B20" s="47" t="n">
        <x:v>0.03</x:v>
      </x:c>
      <x:c r="C20" s="67" t="n">
        <x:f>B20*'Capital Build'!B20</x:f>
        <x:v>16.91424</x:v>
      </x:c>
      <x:c r="D20" s="67" t="n">
        <x:f>D19+C20</x:f>
        <x:v>507.4272000000001</x:v>
      </x:c>
      <x:c r="E20" s="67" t="n">
        <x:f>D20/'Capital Build'!B20</x:f>
        <x:v>0.9000000000000001</x:v>
      </x:c>
      <x:c r="F20" s="67" t="n">
        <x:f>SUM('Site Classes'!R5:R8)*E20</x:f>
        <x:v>10.908000000000001</x:v>
      </x:c>
      <x:c r="G20" s="67" t="n">
        <x:f>24.2*E20</x:f>
        <x:v>21.78</x:v>
      </x:c>
      <x:c r="H20" s="67" t="n">
        <x:f>SUM(F20:G20)</x:f>
        <x:v>32.688</x:v>
      </x:c>
      <x:c r="I20" s="67" t="n">
        <x:f>C20+H20</x:f>
        <x:v>49.60224</x:v>
      </x:c>
    </x:row>
    <x:row r="21" ht="15" hidden="0" customHeight="1">
      <x:c r="A21" s="70" t="n">
        <x:v>2043</x:v>
      </x:c>
      <x:c r="B21" s="48" t="n">
        <x:v>0.02</x:v>
      </x:c>
      <x:c r="C21" s="72" t="n">
        <x:f>B21*'Capital Build'!B20</x:f>
        <x:v>11.27616</x:v>
      </x:c>
      <x:c r="D21" s="72" t="n">
        <x:f>D20+C21</x:f>
        <x:v>518.7033600000001</x:v>
      </x:c>
      <x:c r="E21" s="72" t="n">
        <x:f>D21/'Capital Build'!B20</x:f>
        <x:v>0.9200000000000002</x:v>
      </x:c>
      <x:c r="F21" s="72" t="n">
        <x:f>SUM('Site Classes'!R5:R8)*E21</x:f>
        <x:v>11.150400000000001</x:v>
      </x:c>
      <x:c r="G21" s="72" t="n">
        <x:f>24.2*E21</x:f>
        <x:v>22.264000000000003</x:v>
      </x:c>
      <x:c r="H21" s="72" t="n">
        <x:f>SUM(F21:G21)</x:f>
        <x:v>33.4144</x:v>
      </x:c>
      <x:c r="I21" s="72" t="n">
        <x:f>C21+H21</x:f>
        <x:v>44.690560000000005</x:v>
      </x:c>
    </x:row>
    <x:row r="22" ht="15" hidden="0" customHeight="1">
      <x:c r="A22" s="69" t="n">
        <x:v>2044</x:v>
      </x:c>
      <x:c r="B22" s="47" t="n">
        <x:v>0.02</x:v>
      </x:c>
      <x:c r="C22" s="67" t="n">
        <x:f>B22*'Capital Build'!B20</x:f>
        <x:v>11.27616</x:v>
      </x:c>
      <x:c r="D22" s="67" t="n">
        <x:f>D21+C22</x:f>
        <x:v>529.9795200000001</x:v>
      </x:c>
      <x:c r="E22" s="67" t="n">
        <x:f>D22/'Capital Build'!B20</x:f>
        <x:v>0.9400000000000002</x:v>
      </x:c>
      <x:c r="F22" s="67" t="n">
        <x:f>SUM('Site Classes'!R5:R8)*E22</x:f>
        <x:v>11.392800000000001</x:v>
      </x:c>
      <x:c r="G22" s="67" t="n">
        <x:f>24.2*E22</x:f>
        <x:v>22.748000000000005</x:v>
      </x:c>
      <x:c r="H22" s="67" t="n">
        <x:f>SUM(F22:G22)</x:f>
        <x:v>34.140800000000006</x:v>
      </x:c>
      <x:c r="I22" s="67" t="n">
        <x:f>C22+H22</x:f>
        <x:v>45.41696</x:v>
      </x:c>
    </x:row>
    <x:row r="23" ht="15" hidden="0" customHeight="1">
      <x:c r="A23" s="70" t="n">
        <x:v>2045</x:v>
      </x:c>
      <x:c r="B23" s="48" t="n">
        <x:v>0.015</x:v>
      </x:c>
      <x:c r="C23" s="72" t="n">
        <x:f>B23*'Capital Build'!B20</x:f>
        <x:v>8.45712</x:v>
      </x:c>
      <x:c r="D23" s="72" t="n">
        <x:f>D22+C23</x:f>
        <x:v>538.4366400000001</x:v>
      </x:c>
      <x:c r="E23" s="72" t="n">
        <x:f>D23/'Capital Build'!B20</x:f>
        <x:v>0.9550000000000002</x:v>
      </x:c>
      <x:c r="F23" s="72" t="n">
        <x:f>SUM('Site Classes'!R5:R8)*E23</x:f>
        <x:v>11.574600000000002</x:v>
      </x:c>
      <x:c r="G23" s="72" t="n">
        <x:f>24.2*E23</x:f>
        <x:v>23.111000000000004</x:v>
      </x:c>
      <x:c r="H23" s="72" t="n">
        <x:f>SUM(F23:G23)</x:f>
        <x:v>34.68560000000001</x:v>
      </x:c>
      <x:c r="I23" s="72" t="n">
        <x:f>C23+H23</x:f>
        <x:v>43.14272000000001</x:v>
      </x:c>
    </x:row>
    <x:row r="24" ht="15" hidden="0" customHeight="1">
      <x:c r="A24" s="69" t="n">
        <x:v>2046</x:v>
      </x:c>
      <x:c r="B24" s="47" t="n">
        <x:v>0.015</x:v>
      </x:c>
      <x:c r="C24" s="67" t="n">
        <x:f>B24*'Capital Build'!B20</x:f>
        <x:v>8.45712</x:v>
      </x:c>
      <x:c r="D24" s="67" t="n">
        <x:f>D23+C24</x:f>
        <x:v>546.8937600000002</x:v>
      </x:c>
      <x:c r="E24" s="67" t="n">
        <x:f>D24/'Capital Build'!B20</x:f>
        <x:v>0.9700000000000003</x:v>
      </x:c>
      <x:c r="F24" s="67" t="n">
        <x:f>SUM('Site Classes'!R5:R8)*E24</x:f>
        <x:v>11.756400000000003</x:v>
      </x:c>
      <x:c r="G24" s="67" t="n">
        <x:f>24.2*E24</x:f>
        <x:v>23.474000000000007</x:v>
      </x:c>
      <x:c r="H24" s="67" t="n">
        <x:f>SUM(F24:G24)</x:f>
        <x:v>35.23040000000001</x:v>
      </x:c>
      <x:c r="I24" s="67" t="n">
        <x:f>C24+H24</x:f>
        <x:v>43.687520000000006</x:v>
      </x:c>
    </x:row>
    <x:row r="25" ht="15" hidden="0" customHeight="1">
      <x:c r="A25" s="70" t="n">
        <x:v>2047</x:v>
      </x:c>
      <x:c r="B25" s="48" t="n">
        <x:v>0.01</x:v>
      </x:c>
      <x:c r="C25" s="72" t="n">
        <x:f>B25*'Capital Build'!B20</x:f>
        <x:v>5.63808</x:v>
      </x:c>
      <x:c r="D25" s="72" t="n">
        <x:f>D24+C25</x:f>
        <x:v>552.5318400000001</x:v>
      </x:c>
      <x:c r="E25" s="72" t="n">
        <x:f>D25/'Capital Build'!B20</x:f>
        <x:v>0.9800000000000002</x:v>
      </x:c>
      <x:c r="F25" s="72" t="n">
        <x:f>SUM('Site Classes'!R5:R8)*E25</x:f>
        <x:v>11.877600000000001</x:v>
      </x:c>
      <x:c r="G25" s="72" t="n">
        <x:f>24.2*E25</x:f>
        <x:v>23.716000000000005</x:v>
      </x:c>
      <x:c r="H25" s="72" t="n">
        <x:f>SUM(F25:G25)</x:f>
        <x:v>35.59360000000001</x:v>
      </x:c>
      <x:c r="I25" s="72" t="n">
        <x:f>C25+H25</x:f>
        <x:v>41.23168000000001</x:v>
      </x:c>
    </x:row>
    <x:row r="26" ht="15" hidden="0" customHeight="1">
      <x:c r="A26" s="69" t="n">
        <x:v>2048</x:v>
      </x:c>
      <x:c r="B26" s="47" t="n">
        <x:v>0.01</x:v>
      </x:c>
      <x:c r="C26" s="67" t="n">
        <x:f>B26*'Capital Build'!B20</x:f>
        <x:v>5.63808</x:v>
      </x:c>
      <x:c r="D26" s="67" t="n">
        <x:f>D25+C26</x:f>
        <x:v>558.16992</x:v>
      </x:c>
      <x:c r="E26" s="67" t="n">
        <x:f>D26/'Capital Build'!B20</x:f>
        <x:v>0.9900000000000001</x:v>
      </x:c>
      <x:c r="F26" s="67" t="n">
        <x:f>SUM('Site Classes'!R5:R8)*E26</x:f>
        <x:v>11.998800000000001</x:v>
      </x:c>
      <x:c r="G26" s="67" t="n">
        <x:f>24.2*E26</x:f>
        <x:v>23.958000000000002</x:v>
      </x:c>
      <x:c r="H26" s="67" t="n">
        <x:f>SUM(F26:G26)</x:f>
        <x:v>35.9568</x:v>
      </x:c>
      <x:c r="I26" s="67" t="n">
        <x:f>C26+H26</x:f>
        <x:v>41.59488</x:v>
      </x:c>
    </x:row>
    <x:row r="27" ht="15" hidden="0" customHeight="1">
      <x:c r="A27" s="70" t="n">
        <x:v>2049</x:v>
      </x:c>
      <x:c r="B27" s="48" t="n">
        <x:v>0.005</x:v>
      </x:c>
      <x:c r="C27" s="72" t="n">
        <x:f>B27*'Capital Build'!B20</x:f>
        <x:v>2.81904</x:v>
      </x:c>
      <x:c r="D27" s="72" t="n">
        <x:f>D26+C27</x:f>
        <x:v>560.98896</x:v>
      </x:c>
      <x:c r="E27" s="72" t="n">
        <x:f>D27/'Capital Build'!B20</x:f>
        <x:v>0.995</x:v>
      </x:c>
      <x:c r="F27" s="72" t="n">
        <x:f>SUM('Site Classes'!R5:R8)*E27</x:f>
        <x:v>12.059399999999998</x:v>
      </x:c>
      <x:c r="G27" s="72" t="n">
        <x:f>24.2*E27</x:f>
        <x:v>24.079</x:v>
      </x:c>
      <x:c r="H27" s="72" t="n">
        <x:f>SUM(F27:G27)</x:f>
        <x:v>36.1384</x:v>
      </x:c>
      <x:c r="I27" s="72" t="n">
        <x:f>C27+H27</x:f>
        <x:v>38.95744</x:v>
      </x:c>
    </x:row>
    <x:row r="28" ht="15" hidden="0" customHeight="1">
      <x:c r="A28" s="69" t="n">
        <x:v>2050</x:v>
      </x:c>
      <x:c r="B28" s="47" t="n">
        <x:v>0.005</x:v>
      </x:c>
      <x:c r="C28" s="67" t="n">
        <x:f>B28*'Capital Build'!B20</x:f>
        <x:v>2.81904</x:v>
      </x:c>
      <x:c r="D28" s="67" t="n">
        <x:f>D27+C28</x:f>
        <x:v>563.808</x:v>
      </x:c>
      <x:c r="E28" s="67" t="n">
        <x:f>D28/'Capital Build'!B20</x:f>
        <x:v>1</x:v>
      </x:c>
      <x:c r="F28" s="67" t="n">
        <x:f>SUM('Site Classes'!R5:R8)*E28</x:f>
        <x:v>12.12</x:v>
      </x:c>
      <x:c r="G28" s="67" t="n">
        <x:f>24.2*E28</x:f>
        <x:v>24.2</x:v>
      </x:c>
      <x:c r="H28" s="67" t="n">
        <x:f>SUM(F28:G28)</x:f>
        <x:v>36.32</x:v>
      </x:c>
      <x:c r="I28" s="67" t="n">
        <x:f>C28+H28</x:f>
        <x:v>39.13904</x:v>
      </x:c>
    </x:row>
    <x:row r="29" ht="15" hidden="0" customHeight="1">
      <x:c r="A29" s="70" t="n">
        <x:v>2051</x:v>
      </x:c>
      <x:c r="B29" s="48" t="n">
        <x:v>0</x:v>
      </x:c>
      <x:c r="C29" s="72" t="n">
        <x:f>B29*'Capital Build'!B20</x:f>
        <x:v>0</x:v>
      </x:c>
      <x:c r="D29" s="72" t="n">
        <x:f>D28+C29</x:f>
        <x:v>563.808</x:v>
      </x:c>
      <x:c r="E29" s="72" t="n">
        <x:f>D29/'Capital Build'!B20</x:f>
        <x:v>1</x:v>
      </x:c>
      <x:c r="F29" s="72" t="n">
        <x:f>SUM('Site Classes'!R5:R8)*E29</x:f>
        <x:v>12.12</x:v>
      </x:c>
      <x:c r="G29" s="72" t="n">
        <x:f>24.2*E29</x:f>
        <x:v>24.2</x:v>
      </x:c>
      <x:c r="H29" s="72" t="n">
        <x:f>SUM(F29:G29)</x:f>
        <x:v>36.32</x:v>
      </x:c>
      <x:c r="I29" s="72" t="n">
        <x:f>C29+H29</x:f>
        <x:v>36.32</x:v>
      </x:c>
    </x:row>
    <x:row r="30">
      <x:c r="A30" s="83"/>
      <x:c r="B30" s="83"/>
      <x:c r="C30" s="83"/>
      <x:c r="D30" s="83"/>
      <x:c r="E30" s="83"/>
      <x:c r="F30" s="83"/>
      <x:c r="G30" s="83"/>
      <x:c r="H30" s="83"/>
      <x:c r="I30" s="83"/>
    </x:row>
    <x:row r="31" ht="23" customHeight="1">
      <x:c r="A31" s="87" t="str">
        <x:v>Totals and mature run rate</x:v>
      </x:c>
      <x:c r="B31" s="87"/>
      <x:c r="C31" s="87"/>
      <x:c r="D31" s="87"/>
      <x:c r="E31" s="87"/>
      <x:c r="F31" s="87"/>
      <x:c r="G31" s="87"/>
      <x:c r="H31" s="87"/>
      <x:c r="I31" s="87"/>
    </x:row>
    <x:row r="32" ht="15" hidden="0" customHeight="1">
      <x:c r="A32" s="26" t="str">
        <x:v>Capital total</x:v>
      </x:c>
      <x:c r="B32" s="66" t="n">
        <x:f>SUM(C5:C29)</x:f>
        <x:v>563.808</x:v>
      </x:c>
      <x:c r="C32" s="26" t="str">
        <x:v>$B</x:v>
      </x:c>
      <x:c r="D32" s="83"/>
      <x:c r="E32" s="83"/>
      <x:c r="F32" s="83"/>
      <x:c r="G32" s="83"/>
      <x:c r="H32" s="83"/>
      <x:c r="I32" s="83"/>
    </x:row>
    <x:row r="33" ht="21.600000381469727" hidden="0" customHeight="1">
      <x:c r="A33" s="27" t="str">
        <x:v>Twenty-five-year operations</x:v>
      </x:c>
      <x:c r="B33" s="67" t="n">
        <x:f>SUM(H5:H29)</x:f>
        <x:v>574.2192000000001</x:v>
      </x:c>
      <x:c r="C33" s="27" t="str">
        <x:v>$B</x:v>
      </x:c>
      <x:c r="D33" s="83"/>
      <x:c r="E33" s="83"/>
      <x:c r="F33" s="83"/>
      <x:c r="G33" s="83"/>
      <x:c r="H33" s="83"/>
      <x:c r="I33" s="83"/>
    </x:row>
    <x:row r="34" ht="21.600000381469727" hidden="0" customHeight="1">
      <x:c r="A34" s="27" t="str">
        <x:v>Twenty-five-year program expenditure</x:v>
      </x:c>
      <x:c r="B34" s="67" t="n">
        <x:f>SUM(I5:I29)</x:f>
        <x:v>1138.0272</x:v>
      </x:c>
      <x:c r="C34" s="27" t="str">
        <x:v>$B</x:v>
      </x:c>
      <x:c r="D34" s="83"/>
      <x:c r="E34" s="83"/>
      <x:c r="F34" s="83"/>
      <x:c r="G34" s="83"/>
      <x:c r="H34" s="83"/>
      <x:c r="I34" s="83"/>
    </x:row>
    <x:row r="35" ht="21.600000381469727" hidden="0" customHeight="1">
      <x:c r="A35" s="27" t="str">
        <x:v>Mature annual operations</x:v>
      </x:c>
      <x:c r="B35" s="67" t="n">
        <x:f>SUM('Site Classes'!R5:R8)+24.2</x:f>
        <x:v>36.32</x:v>
      </x:c>
      <x:c r="C35" s="27" t="str">
        <x:v>$B/year</x:v>
      </x:c>
      <x:c r="D35" s="83"/>
      <x:c r="E35" s="83"/>
      <x:c r="F35" s="83"/>
      <x:c r="G35" s="83"/>
      <x:c r="H35" s="83"/>
      <x:c r="I35" s="83"/>
    </x:row>
    <x:row r="36" ht="21.600000381469727" hidden="0" customHeight="1">
      <x:c r="A36" s="27" t="str">
        <x:v>Peak annual expenditure</x:v>
      </x:c>
      <x:c r="B36" s="67" t="n">
        <x:f>MAX(I5:I29)</x:f>
        <x:v>71.44512</x:v>
      </x:c>
      <x:c r="C36" s="27" t="str">
        <x:v>$B/year</x:v>
      </x:c>
      <x:c r="D36" s="83"/>
      <x:c r="E36" s="83"/>
      <x:c r="F36" s="83"/>
      <x:c r="G36" s="83"/>
      <x:c r="H36" s="83"/>
      <x:c r="I36" s="83"/>
    </x:row>
    <x:row r="37" ht="15" hidden="0" customHeight="1">
      <x:c r="A37" s="27" t="str">
        <x:v>Peak year</x:v>
      </x:c>
      <x:c r="B37" s="69" t="n">
        <x:f>INDEX(A5:A29,MATCH(B36,I5:I29,0))</x:f>
        <x:v>2036</x:v>
      </x:c>
      <x:c r="C37" s="27" t="str">
        <x:v>year</x:v>
      </x:c>
      <x:c r="D37" s="83"/>
      <x:c r="E37" s="83"/>
      <x:c r="F37" s="83"/>
      <x:c r="G37" s="83"/>
      <x:c r="H37" s="83"/>
      <x:c r="I37" s="83"/>
    </x:row>
  </x:sheetData>
  <x:pageMargins left="0.7" right="0.7" top="0.75" bottom="0.75" header="0.3" footer="0.3"/>
</x:worksheet>
</file>

<file path=xl/worksheets/sheet23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32" hidden="0" customWidth="1"/>
    <x:col min="2" max="2" width="17" hidden="0" customWidth="1"/>
    <x:col min="3" max="3" width="17" hidden="0" customWidth="1"/>
    <x:col min="4" max="4" width="17" hidden="0" customWidth="1"/>
    <x:col min="5" max="5" width="17" hidden="0" customWidth="1"/>
    <x:col min="6" max="6" width="17" hidden="0" customWidth="1"/>
    <x:col min="7" max="7" width="17" hidden="0" customWidth="1"/>
    <x:col min="8" max="8" width="17" hidden="0" customWidth="1"/>
    <x:col min="9" max="9" width="17" hidden="0" customWidth="1"/>
    <x:col min="10" max="10" width="17" hidden="0" customWidth="1"/>
    <x:col min="11" max="11" width="17" hidden="0" customWidth="1"/>
    <x:col min="12" max="12" width="31" hidden="0" customWidth="1"/>
    <x:col min="13" max="13" width="31" hidden="0" customWidth="1"/>
    <x:col min="14" max="14" width="31" hidden="0" customWidth="1"/>
  </x:cols>
  <x:sheetData>
    <x:row r="1" ht="29" customHeight="1">
      <x:c r="A1" s="81" t="str">
        <x:v>Force-architecture alternatives</x:v>
      </x:c>
      <x:c r="B1" s="81"/>
      <x:c r="C1" s="81"/>
      <x:c r="D1" s="81"/>
      <x:c r="E1" s="81"/>
      <x:c r="F1" s="81"/>
      <x:c r="G1" s="81"/>
      <x:c r="H1" s="81"/>
      <x:c r="I1" s="81"/>
      <x:c r="J1" s="81"/>
      <x:c r="K1" s="81"/>
      <x:c r="L1" s="81"/>
      <x:c r="M1" s="81"/>
      <x:c r="N1" s="81"/>
    </x:row>
    <x:row r="2" ht="28" customHeight="1">
      <x:c r="A2" s="82" t="str">
        <x:v>Alternatives preserve the same public-service question while changing fixed capacity, mobility and geographic reach.</x:v>
      </x:c>
      <x:c r="B2" s="82"/>
      <x:c r="C2" s="82"/>
      <x:c r="D2" s="82"/>
      <x:c r="E2" s="82"/>
      <x:c r="F2" s="82"/>
      <x:c r="G2" s="82"/>
      <x:c r="H2" s="82"/>
      <x:c r="I2" s="82"/>
      <x:c r="J2" s="82"/>
      <x:c r="K2" s="82"/>
      <x:c r="L2" s="82"/>
      <x:c r="M2" s="82"/>
      <x:c r="N2" s="82"/>
    </x:row>
    <x:row r="3">
      <x:c r="A3" s="83"/>
      <x:c r="B3" s="83"/>
      <x:c r="C3" s="83"/>
      <x:c r="D3" s="83"/>
      <x:c r="E3" s="83"/>
      <x:c r="F3" s="83"/>
      <x:c r="G3" s="83"/>
      <x:c r="H3" s="83"/>
      <x:c r="I3" s="83"/>
      <x:c r="J3" s="83"/>
      <x:c r="K3" s="83"/>
      <x:c r="L3" s="83"/>
      <x:c r="M3" s="83"/>
      <x:c r="N3" s="83"/>
    </x:row>
    <x:row r="4" ht="31" customHeight="1">
      <x:c r="A4" s="84" t="str">
        <x:v>Architecture</x:v>
      </x:c>
      <x:c r="B4" s="85" t="str">
        <x:v>Capital $B</x:v>
      </x:c>
      <x:c r="C4" s="85" t="str">
        <x:v>Mature O&amp;M $B/y</x:v>
      </x:c>
      <x:c r="D4" s="85" t="str">
        <x:v>25-y expenditure $B</x:v>
      </x:c>
      <x:c r="E4" s="85" t="str">
        <x:v>Domestic nominal CDE</x:v>
      </x:c>
      <x:c r="F4" s="85" t="str">
        <x:v>Domestic assured CDE</x:v>
      </x:c>
      <x:c r="G4" s="85" t="str">
        <x:v>Four-region CDE</x:v>
      </x:c>
      <x:c r="H4" s="85" t="str">
        <x:v>Cluster-damaged CDE</x:v>
      </x:c>
      <x:c r="I4" s="85" t="str">
        <x:v>Fixed district share</x:v>
      </x:c>
      <x:c r="J4" s="85" t="str">
        <x:v>Pod t</x:v>
      </x:c>
      <x:c r="K4" s="85" t="str">
        <x:v>Tenth cargo h</x:v>
      </x:c>
      <x:c r="L4" s="85" t="str">
        <x:v>Local closure</x:v>
      </x:c>
      <x:c r="M4" s="85" t="str">
        <x:v>National closure</x:v>
      </x:c>
      <x:c r="N4" s="86" t="str">
        <x:v>Decision</x:v>
      </x:c>
    </x:row>
    <x:row r="5" ht="43.20000076293945" hidden="0" customHeight="1">
      <x:c r="A5" s="28" t="str">
        <x:v>Mobile-only breakthrough</x:v>
      </x:c>
      <x:c r="B5" s="53" t="n">
        <x:v>800</x:v>
      </x:c>
      <x:c r="C5" s="53" t="n">
        <x:v>55</x:v>
      </x:c>
      <x:c r="D5" s="53" t="n">
        <x:f>B5+C5*15.81</x:f>
        <x:v>1669.5500000000002</x:v>
      </x:c>
      <x:c r="E5" s="53" t="n">
        <x:v>0</x:v>
      </x:c>
      <x:c r="F5" s="53" t="n">
        <x:v>0</x:v>
      </x:c>
      <x:c r="G5" s="53" t="n">
        <x:v>0</x:v>
      </x:c>
      <x:c r="H5" s="53" t="n">
        <x:v>0</x:v>
      </x:c>
      <x:c r="I5" s="46" t="n">
        <x:v>0</x:v>
      </x:c>
      <x:c r="J5" s="53" t="n">
        <x:f>'Controls'!C24-'Controls'!C25+50*'Controls'!C26*(1-I5)</x:f>
        <x:v>14451.073743199999</x:v>
      </x:c>
      <x:c r="K5" s="53" t="n">
        <x:f>MIN('Controls'!C31+3*J5/'Controls'!C29,'Controls'!C32+3*J5/'Controls'!C30)</x:f>
        <x:v>81.51897947664884</x:v>
      </x:c>
      <x:c r="L5" s="28" t="str">
        <x:v>no receiver</x:v>
      </x:c>
      <x:c r="M5" s="28" t="str">
        <x:v>mobility technology fails current screen</x:v>
      </x:c>
      <x:c r="N5" s="28" t="str">
        <x:v>retain as rival</x:v>
      </x:c>
    </x:row>
    <x:row r="6" ht="21.600000381469727" hidden="0" customHeight="1">
      <x:c r="A6" s="27" t="str">
        <x:v>Balanced lattice</x:v>
      </x:c>
      <x:c r="B6" s="55" t="n">
        <x:f>'Capital Build'!B20</x:f>
        <x:v>563.808</x:v>
      </x:c>
      <x:c r="C6" s="55" t="n">
        <x:f>'25-Year Spend'!B35</x:f>
        <x:v>36.32</x:v>
      </x:c>
      <x:c r="D6" s="55" t="n">
        <x:f>B6+C6*15.81</x:f>
        <x:v>1138.0272</x:v>
      </x:c>
      <x:c r="E6" s="55" t="n">
        <x:v>7200</x:v>
      </x:c>
      <x:c r="F6" s="55" t="n">
        <x:f>'Inventory'!G5</x:f>
        <x:v>3707.2968537599995</x:v>
      </x:c>
      <x:c r="G6" s="55" t="n">
        <x:f>'Spatial Stress'!F6</x:f>
        <x:v>718.2887654159999</x:v>
      </x:c>
      <x:c r="H6" s="55" t="n">
        <x:f>'Spatial Stress'!F9</x:f>
        <x:v>1621.9423735199998</x:v>
      </x:c>
      <x:c r="I6" s="47" t="n">
        <x:f>'Fixed Mobile Split'!B10</x:f>
        <x:v>0.7212289042287454</x:v>
      </x:c>
      <x:c r="J6" s="55" t="n">
        <x:f>'Controls'!C24-'Controls'!C25+50*'Controls'!C26*(1-I6)</x:f>
        <x:v>11612.761238372244</x:v>
      </x:c>
      <x:c r="K6" s="55" t="n">
        <x:f>MIN('Controls'!C31+3*J6/'Controls'!C29,'Controls'!C32+3*J6/'Controls'!C30)</x:f>
        <x:v>70.04598874340502</x:v>
      </x:c>
      <x:c r="L6" s="27" t="str">
        <x:v>single event closes</x:v>
      </x:c>
      <x:c r="M6" s="27" t="str">
        <x:v>cluster damage fails</x:v>
      </x:c>
      <x:c r="N6" s="27" t="str">
        <x:v>selected reference</x:v>
      </x:c>
    </x:row>
    <x:row r="7" ht="21.600000381469727" hidden="0" customHeight="1">
      <x:c r="A7" s="29" t="str">
        <x:v>Hardened hub network</x:v>
      </x:c>
      <x:c r="B7" s="57" t="n">
        <x:v>750</x:v>
      </x:c>
      <x:c r="C7" s="57" t="n">
        <x:v>40</x:v>
      </x:c>
      <x:c r="D7" s="57" t="n">
        <x:f>B7+C7*15.81</x:f>
        <x:v>1382.4</x:v>
      </x:c>
      <x:c r="E7" s="57" t="n">
        <x:v>6000</x:v>
      </x:c>
      <x:c r="F7" s="57" t="n">
        <x:v>3300</x:v>
      </x:c>
      <x:c r="G7" s="57" t="n">
        <x:v>600</x:v>
      </x:c>
      <x:c r="H7" s="57" t="n">
        <x:v>1300</x:v>
      </x:c>
      <x:c r="I7" s="48" t="n">
        <x:v>0.85</x:v>
      </x:c>
      <x:c r="J7" s="57" t="n">
        <x:f>'Controls'!C24-'Controls'!C25+50*'Controls'!C26*(1-I7)</x:f>
        <x:v>11105.997561479999</x:v>
      </x:c>
      <x:c r="K7" s="57" t="n">
        <x:f>MIN('Controls'!C31+3*J7/'Controls'!C29,'Controls'!C32+3*J7/'Controls'!C30)</x:f>
        <x:v>67.7747789870252</x:v>
      </x:c>
      <x:c r="L7" s="29" t="str">
        <x:v>concentrated</x:v>
      </x:c>
      <x:c r="M7" s="29" t="str">
        <x:v>cluster damage fails</x:v>
      </x:c>
      <x:c r="N7" s="29" t="str">
        <x:v>reject as sole architecture</x:v>
      </x:c>
    </x:row>
    <x:row r="8" ht="21.600000381469727" hidden="0" customHeight="1">
      <x:c r="A8" s="27" t="str">
        <x:v>Building-first network</x:v>
      </x:c>
      <x:c r="B8" s="55" t="n">
        <x:v>250</x:v>
      </x:c>
      <x:c r="C8" s="55" t="n">
        <x:v>22</x:v>
      </x:c>
      <x:c r="D8" s="55" t="n">
        <x:f>B8+C8*15.81</x:f>
        <x:v>597.8199999999999</x:v>
      </x:c>
      <x:c r="E8" s="55" t="n">
        <x:v>9000</x:v>
      </x:c>
      <x:c r="F8" s="55" t="n">
        <x:v>2800</x:v>
      </x:c>
      <x:c r="G8" s="55" t="n">
        <x:v>700</x:v>
      </x:c>
      <x:c r="H8" s="55" t="n">
        <x:v>1500</x:v>
      </x:c>
      <x:c r="I8" s="47" t="n">
        <x:v>0.55</x:v>
      </x:c>
      <x:c r="J8" s="55" t="n">
        <x:f>'Controls'!C24-'Controls'!C25+50*'Controls'!C26*(1-I8)</x:f>
        <x:v>12286.612684439999</x:v>
      </x:c>
      <x:c r="K8" s="55" t="n">
        <x:f>MIN('Controls'!C31+3*J8/'Controls'!C29,'Controls'!C32+3*J8/'Controls'!C30)</x:f>
        <x:v>73.06605124678991</x:v>
      </x:c>
      <x:c r="L8" s="27" t="str">
        <x:v>inspection-sensitive</x:v>
      </x:c>
      <x:c r="M8" s="27" t="str">
        <x:v>N-2 reserve fails</x:v>
      </x:c>
      <x:c r="N8" s="27" t="str">
        <x:v>supporting layer only</x:v>
      </x:c>
    </x:row>
    <x:row r="9" ht="32.400001525878906" hidden="0" customHeight="1">
      <x:c r="A9" s="29" t="str">
        <x:v>Interregional corridor lattice</x:v>
      </x:c>
      <x:c r="B9" s="57" t="n">
        <x:v>720</x:v>
      </x:c>
      <x:c r="C9" s="57" t="n">
        <x:v>48</x:v>
      </x:c>
      <x:c r="D9" s="57" t="n">
        <x:f>B9+C9*15.81</x:f>
        <x:v>1478.88</x:v>
      </x:c>
      <x:c r="E9" s="57" t="n">
        <x:v>7200</x:v>
      </x:c>
      <x:c r="F9" s="57" t="n">
        <x:f>'Inventory'!G5</x:f>
        <x:v>3707.2968537599995</x:v>
      </x:c>
      <x:c r="G9" s="57" t="n">
        <x:f>'Spatial Stress'!F6</x:f>
        <x:v>718.2887654159999</x:v>
      </x:c>
      <x:c r="H9" s="57" t="n">
        <x:f>'Spatial Stress'!F10</x:f>
        <x:v>2780.4726403199998</x:v>
      </x:c>
      <x:c r="I9" s="48" t="n">
        <x:f>'Fixed Mobile Split'!B10</x:f>
        <x:v>0.7212289042287454</x:v>
      </x:c>
      <x:c r="J9" s="57" t="n">
        <x:f>'Controls'!C24-'Controls'!C25+50*'Controls'!C26*(1-I9)</x:f>
        <x:v>11612.761238372244</x:v>
      </x:c>
      <x:c r="K9" s="57" t="n">
        <x:f>MIN('Controls'!C31+3*J9/'Controls'!C29,'Controls'!C32+3*J9/'Controls'!C30)</x:f>
        <x:v>70.04598874340502</x:v>
      </x:c>
      <x:c r="L9" s="29" t="str">
        <x:v>wide reach assumed</x:v>
      </x:c>
      <x:c r="M9" s="29" t="str">
        <x:v>all-region damaged case closes</x:v>
      </x:c>
      <x:c r="N9" s="29" t="str">
        <x:v>movement time open</x:v>
      </x:c>
    </x:row>
    <x:row r="10" ht="43.20000076293945" hidden="0" customHeight="1">
      <x:c r="A10" s="27" t="str">
        <x:v>Dense balanced lattice</x:v>
      </x:c>
      <x:c r="B10" s="55" t="n">
        <x:v>870</x:v>
      </x:c>
      <x:c r="C10" s="55" t="n">
        <x:v>56</x:v>
      </x:c>
      <x:c r="D10" s="55" t="n">
        <x:f>B10+C10*15.81</x:f>
        <x:v>1755.3600000000001</x:v>
      </x:c>
      <x:c r="E10" s="55" t="n">
        <x:v>11160</x:v>
      </x:c>
      <x:c r="F10" s="55" t="n">
        <x:f>'Inventory'!G5*11160/7200</x:f>
        <x:v>5746.3101233279995</x:v>
      </x:c>
      <x:c r="G10" s="55" t="n">
        <x:f>'Spatial Stress'!F6*11160/7200</x:f>
        <x:v>1113.3475863948</x:v>
      </x:c>
      <x:c r="H10" s="55" t="n">
        <x:f>'Spatial Stress'!G11</x:f>
        <x:v>2500</x:v>
      </x:c>
      <x:c r="I10" s="47" t="n">
        <x:f>'Fixed Mobile Split'!B10</x:f>
        <x:v>0.7212289042287454</x:v>
      </x:c>
      <x:c r="J10" s="55" t="n">
        <x:f>'Controls'!C24-'Controls'!C25+50*'Controls'!C26*(1-I10)</x:f>
        <x:v>11612.761238372244</x:v>
      </x:c>
      <x:c r="K10" s="55" t="n">
        <x:f>MIN('Controls'!C31+3*J10/'Controls'!C29,'Controls'!C32+3*J10/'Controls'!C30)</x:f>
        <x:v>70.04598874340502</x:v>
      </x:c>
      <x:c r="L10" s="27" t="str">
        <x:v>higher local density</x:v>
      </x:c>
      <x:c r="M10" s="27" t="str">
        <x:v>cluster damage closes narrowly</x:v>
      </x:c>
      <x:c r="N10" s="27" t="str">
        <x:v>cost/siting alternative</x:v>
      </x:c>
    </x:row>
  </x:sheetData>
  <x:pageMargins left="0.7" right="0.7" top="0.75" bottom="0.75" header="0.3" footer="0.3"/>
</x:worksheet>
</file>

<file path=xl/worksheets/sheet24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0" hidden="0" customWidth="1"/>
    <x:col min="2" max="2" width="31" hidden="0" customWidth="1"/>
    <x:col min="3" max="3" width="31" hidden="0" customWidth="1"/>
    <x:col min="4" max="4" width="42" hidden="0" customWidth="1"/>
    <x:col min="5" max="5" width="42" hidden="0" customWidth="1"/>
    <x:col min="6" max="6" width="42" hidden="0" customWidth="1"/>
    <x:col min="7" max="7" width="42" hidden="0" customWidth="1"/>
    <x:col min="8" max="8" width="42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</x:cols>
  <x:sheetData>
    <x:row r="1" ht="29" customHeight="1">
      <x:c r="A1" s="81" t="str">
        <x:v>Receiving lattice technology program</x:v>
      </x:c>
      <x:c r="B1" s="81"/>
      <x:c r="C1" s="81"/>
      <x:c r="D1" s="81"/>
      <x:c r="E1" s="81"/>
      <x:c r="F1" s="81"/>
      <x:c r="G1" s="81"/>
      <x:c r="H1" s="81"/>
      <x:c r="I1" s="81"/>
      <x:c r="J1" s="81"/>
      <x:c r="K1" s="81"/>
      <x:c r="L1" s="81"/>
    </x:row>
    <x:row r="2" ht="28" customHeight="1">
      <x:c r="A2" s="82" t="str">
        <x:v>Each program owns a measured readiness, mass, time, geographic or common-mode failure.</x:v>
      </x:c>
      <x:c r="B2" s="82"/>
      <x:c r="C2" s="82"/>
      <x:c r="D2" s="82"/>
      <x:c r="E2" s="82"/>
      <x:c r="F2" s="82"/>
      <x:c r="G2" s="82"/>
      <x:c r="H2" s="82"/>
      <x:c r="I2" s="82"/>
      <x:c r="J2" s="82"/>
      <x:c r="K2" s="82"/>
      <x:c r="L2" s="82"/>
    </x:row>
    <x:row r="3">
      <x:c r="A3" s="83"/>
      <x:c r="B3" s="83"/>
      <x:c r="C3" s="83"/>
      <x:c r="D3" s="83"/>
      <x:c r="E3" s="83"/>
      <x:c r="F3" s="83"/>
      <x:c r="G3" s="83"/>
      <x:c r="H3" s="83"/>
      <x:c r="I3" s="83"/>
      <x:c r="J3" s="83"/>
      <x:c r="K3" s="83"/>
      <x:c r="L3" s="83"/>
    </x:row>
    <x:row r="4" ht="31" customHeight="1">
      <x:c r="A4" s="84" t="str">
        <x:v>ID</x:v>
      </x:c>
      <x:c r="B4" s="85" t="str">
        <x:v>Program</x:v>
      </x:c>
      <x:c r="C4" s="85" t="str">
        <x:v>Failure addressed</x:v>
      </x:c>
      <x:c r="D4" s="85" t="str">
        <x:v>Technical target</x:v>
      </x:c>
      <x:c r="E4" s="85" t="str">
        <x:v>Rival paths</x:v>
      </x:c>
      <x:c r="F4" s="85" t="str">
        <x:v>Bench metric</x:v>
      </x:c>
      <x:c r="G4" s="85" t="str">
        <x:v>Field experiment</x:v>
      </x:c>
      <x:c r="H4" s="85" t="str">
        <x:v>New burden counted</x:v>
      </x:c>
      <x:c r="I4" s="85" t="str">
        <x:v>Decision horizon</x:v>
      </x:c>
      <x:c r="J4" s="85" t="str">
        <x:v>Maturity</x:v>
      </x:c>
      <x:c r="K4" s="85" t="str">
        <x:v>Gate</x:v>
      </x:c>
      <x:c r="L4" s="86" t="str">
        <x:v>Procurement discriminator</x:v>
      </x:c>
    </x:row>
    <x:row r="5" ht="54" hidden="0" customHeight="1">
      <x:c r="A5" s="28" t="str">
        <x:v>RL-01</x:v>
      </x:c>
      <x:c r="B5" s="28" t="str">
        <x:v>Hazard-covariant siting engine</x:v>
      </x:c>
      <x:c r="C5" s="28" t="str">
        <x:v>nominal capacity can share one hazard</x:v>
      </x:c>
      <x:c r="D5" s="28" t="str">
        <x:v>parcel portfolio with bounded joint-loss probability</x:v>
      </x:c>
      <x:c r="E5" s="28" t="str">
        <x:v>optimization; robust scenarios; adversarial red team</x:v>
      </x:c>
      <x:c r="F5" s="28" t="str">
        <x:v>CDE surviving per $B and travel-hour</x:v>
      </x:c>
      <x:c r="G5" s="28" t="str">
        <x:v>blind multi-hazard site tournament</x:v>
      </x:c>
      <x:c r="H5" s="28" t="str">
        <x:v>data age, model error, land constraints</x:v>
      </x:c>
      <x:c r="I5" s="28" t="n">
        <x:v>5</x:v>
      </x:c>
      <x:c r="J5" s="28" t="str">
        <x:v>R1</x:v>
      </x:c>
      <x:c r="K5" s="28" t="str">
        <x:v>G01-G04</x:v>
      </x:c>
      <x:c r="L5" s="28" t="str">
        <x:v>assured reachable CDE</x:v>
      </x:c>
    </x:row>
    <x:row r="6" ht="54" hidden="0" customHeight="1">
      <x:c r="A6" s="27" t="str">
        <x:v>RL-02</x:v>
      </x:c>
      <x:c r="B6" s="27" t="str">
        <x:v>Living site and building passport</x:v>
      </x:c>
      <x:c r="C6" s="27" t="str">
        <x:v>stale records create false capacity</x:v>
      </x:c>
      <x:c r="D6" s="27" t="str">
        <x:v>offline authoritative configuration within declared age</x:v>
      </x:c>
      <x:c r="E6" s="27" t="str">
        <x:v>federated graph; signed local record; physical twin</x:v>
      </x:c>
      <x:c r="F6" s="27" t="str">
        <x:v>false-safe and stale-record rate</x:v>
      </x:c>
      <x:c r="G6" s="27" t="str">
        <x:v>no-network activation with seeded changes</x:v>
      </x:c>
      <x:c r="H6" s="27" t="str">
        <x:v>sensors, calibration, privacy, custody</x:v>
      </x:c>
      <x:c r="I6" s="27" t="n">
        <x:v>4</x:v>
      </x:c>
      <x:c r="J6" s="27" t="str">
        <x:v>R1</x:v>
      </x:c>
      <x:c r="K6" s="27" t="str">
        <x:v>G03/G10/G12</x:v>
      </x:c>
      <x:c r="L6" s="27" t="str">
        <x:v>correct release decisions</x:v>
      </x:c>
    </x:row>
    <x:row r="7" ht="54" hidden="0" customHeight="1">
      <x:c r="A7" s="29" t="str">
        <x:v>RL-03</x:v>
      </x:c>
      <x:c r="B7" s="29" t="str">
        <x:v>Autonomous post-event inspection</x:v>
      </x:c>
      <x:c r="C7" s="29" t="str">
        <x:v>inspection delays or misses damage</x:v>
      </x:c>
      <x:c r="D7" s="29" t="str">
        <x:v>hazard-specific evaluation at &lt;0.5 labor-h/CDE</x:v>
      </x:c>
      <x:c r="E7" s="29" t="str">
        <x:v>robotic NDE; embedded sensing; human-machine teams</x:v>
      </x:c>
      <x:c r="F7" s="29" t="str">
        <x:v>false-safe rate and CDE/hour</x:v>
      </x:c>
      <x:c r="G7" s="29" t="str">
        <x:v>seeded-damage blind trial</x:v>
      </x:c>
      <x:c r="H7" s="29" t="str">
        <x:v>remote operators, repair, assurance</x:v>
      </x:c>
      <x:c r="I7" s="29" t="n">
        <x:v>8</x:v>
      </x:c>
      <x:c r="J7" s="29" t="str">
        <x:v>R0/R1</x:v>
      </x:c>
      <x:c r="K7" s="29" t="str">
        <x:v>G03-G06</x:v>
      </x:c>
      <x:c r="L7" s="29" t="str">
        <x:v>safe released CDE/hour</x:v>
      </x:c>
    </x:row>
    <x:row r="8" ht="54" hidden="0" customHeight="1">
      <x:c r="A8" s="27" t="str">
        <x:v>RL-04</x:v>
      </x:c>
      <x:c r="B8" s="27" t="str">
        <x:v>Universal occupied-service adapter</x:v>
      </x:c>
      <x:c r="C8" s="27" t="str">
        <x:v>building/utility incompatibility</x:v>
      </x:c>
      <x:c r="D8" s="27" t="str">
        <x:v>connect and prove seven interfaces in &lt;2 h</x:v>
      </x:c>
      <x:c r="E8" s="27" t="str">
        <x:v>coded couplers; adapter pallets; local fabrication</x:v>
      </x:c>
      <x:c r="F8" s="27" t="str">
        <x:v>connection errors and isolation time</x:v>
      </x:c>
      <x:c r="G8" s="27" t="str">
        <x:v>cross-vendor receiver tournament</x:v>
      </x:c>
      <x:c r="H8" s="27" t="str">
        <x:v>protection, spares, training</x:v>
      </x:c>
      <x:c r="I8" s="27" t="n">
        <x:v>7</x:v>
      </x:c>
      <x:c r="J8" s="27" t="str">
        <x:v>R1</x:v>
      </x:c>
      <x:c r="K8" s="27" t="str">
        <x:v>G07-G10</x:v>
      </x:c>
      <x:c r="L8" s="27" t="str">
        <x:v>released service per connection</x:v>
      </x:c>
    </x:row>
    <x:row r="9" ht="64.80000305175781" hidden="0" customHeight="1">
      <x:c r="A9" s="29" t="str">
        <x:v>RL-05</x:v>
      </x:c>
      <x:c r="B9" s="29" t="str">
        <x:v>Protected interface vault</x:v>
      </x:c>
      <x:c r="C9" s="29" t="str">
        <x:v>hazard destroys fixed boundary</x:v>
      </x:c>
      <x:c r="D9" s="29" t="str">
        <x:v>survive site envelope with replaceable sacrificial ends</x:v>
      </x:c>
      <x:c r="E9" s="29" t="str">
        <x:v>buried; elevated; distributed; relocatable</x:v>
      </x:c>
      <x:c r="F9" s="29" t="str">
        <x:v>post-event availability and repair h</x:v>
      </x:c>
      <x:c r="G9" s="29" t="str">
        <x:v>flood/fire/seismic/wind sequences</x:v>
      </x:c>
      <x:c r="H9" s="29" t="str">
        <x:v>land, drainage, corrosion, access</x:v>
      </x:c>
      <x:c r="I9" s="29" t="n">
        <x:v>9</x:v>
      </x:c>
      <x:c r="J9" s="29" t="str">
        <x:v>R0/R1</x:v>
      </x:c>
      <x:c r="K9" s="29" t="str">
        <x:v>G04/G07/G08</x:v>
      </x:c>
      <x:c r="L9" s="29" t="str">
        <x:v>availability across hazards</x:v>
      </x:c>
    </x:row>
    <x:row r="10" ht="64.80000305175781" hidden="0" customHeight="1">
      <x:c r="A10" s="27" t="str">
        <x:v>RL-06</x:v>
      </x:c>
      <x:c r="B10" s="27" t="str">
        <x:v>Self-proving stock set</x:v>
      </x:c>
      <x:c r="C10" s="27" t="str">
        <x:v>inventory exists but is incomplete or expired</x:v>
      </x:c>
      <x:c r="D10" s="27" t="str">
        <x:v>machine-verifiable fill, condition and substitution</x:v>
      </x:c>
      <x:c r="E10" s="27" t="str">
        <x:v>smart packaging; periodic autonomous test; digital custody</x:v>
      </x:c>
      <x:c r="F10" s="27" t="str">
        <x:v>mission-ready fill and false-ready rate</x:v>
      </x:c>
      <x:c r="G10" s="27" t="str">
        <x:v>unannounced issue/assembly event</x:v>
      </x:c>
      <x:c r="H10" s="27" t="str">
        <x:v>sensors, battery, data, disposal</x:v>
      </x:c>
      <x:c r="I10" s="27" t="n">
        <x:v>5</x:v>
      </x:c>
      <x:c r="J10" s="27" t="str">
        <x:v>R1</x:v>
      </x:c>
      <x:c r="K10" s="27" t="str">
        <x:v>G11</x:v>
      </x:c>
      <x:c r="L10" s="27" t="str">
        <x:v>complete ready sets</x:v>
      </x:c>
    </x:row>
    <x:row r="11" ht="64.80000305175781" hidden="0" customHeight="1">
      <x:c r="A11" s="29" t="str">
        <x:v>RL-07</x:v>
      </x:c>
      <x:c r="B11" s="29" t="str">
        <x:v>Receiver activation robotics</x:v>
      </x:c>
      <x:c r="C11" s="29" t="str">
        <x:v>site opening consumes scarce labor</x:v>
      </x:c>
      <x:c r="D11" s="29" t="str">
        <x:v>&lt;1 activation labor-hour/CDE and &lt;12 h</x:v>
      </x:c>
      <x:c r="E11" s="29" t="str">
        <x:v>debris robots; autonomous utility test; material handling</x:v>
      </x:c>
      <x:c r="F11" s="29" t="str">
        <x:v>released CDE per shift</x:v>
      </x:c>
      <x:c r="G11" s="29" t="str">
        <x:v>three-site simultaneous activation</x:v>
      </x:c>
      <x:c r="H11" s="29" t="str">
        <x:v>operators, recovery, energy, exclusion</x:v>
      </x:c>
      <x:c r="I11" s="29" t="n">
        <x:v>8</x:v>
      </x:c>
      <x:c r="J11" s="29" t="str">
        <x:v>R0/R1</x:v>
      </x:c>
      <x:c r="K11" s="29" t="str">
        <x:v>G13-G15</x:v>
      </x:c>
      <x:c r="L11" s="29" t="str">
        <x:v>labor-adjusted release rate</x:v>
      </x:c>
    </x:row>
    <x:row r="12" ht="54" hidden="0" customHeight="1">
      <x:c r="A12" s="27" t="str">
        <x:v>RL-08</x:v>
      </x:c>
      <x:c r="B12" s="27" t="str">
        <x:v>Civil release fabric</x:v>
      </x:c>
      <x:c r="C12" s="27" t="str">
        <x:v>technical completion lacks lawful occupancy</x:v>
      </x:c>
      <x:c r="D12" s="27" t="str">
        <x:v>multi-authority release with offline appeal and audit</x:v>
      </x:c>
      <x:c r="E12" s="27" t="str">
        <x:v>federal authority; compact; delegated local panels</x:v>
      </x:c>
      <x:c r="F12" s="27" t="str">
        <x:v>release latency, reversals, rights failures</x:v>
      </x:c>
      <x:c r="G12" s="27" t="str">
        <x:v>simultaneous multi-jurisdiction exercise</x:v>
      </x:c>
      <x:c r="H12" s="27" t="str">
        <x:v>legal staff, translation, privacy</x:v>
      </x:c>
      <x:c r="I12" s="27" t="n">
        <x:v>6</x:v>
      </x:c>
      <x:c r="J12" s="27" t="str">
        <x:v>R1</x:v>
      </x:c>
      <x:c r="K12" s="27" t="str">
        <x:v>G16</x:v>
      </x:c>
      <x:c r="L12" s="27" t="str">
        <x:v>lawful release time</x:v>
      </x:c>
    </x:row>
    <x:row r="13" ht="75.5999984741211" hidden="0" customHeight="1">
      <x:c r="A13" s="29" t="str">
        <x:v>RL-09</x:v>
      </x:c>
      <x:c r="B13" s="29" t="str">
        <x:v>Interregional receiver transfer</x:v>
      </x:c>
      <x:c r="C13" s="29" t="str">
        <x:v>clustered demand exhausts nearby sites</x:v>
      </x:c>
      <x:c r="D13" s="29" t="str">
        <x:v>move adapter/people/stocks across regions inside deadline</x:v>
      </x:c>
      <x:c r="E13" s="29" t="str">
        <x:v>rail; road; air; inland water; autonomous convoy</x:v>
      </x:c>
      <x:c r="F13" s="29" t="str">
        <x:v>net CDE shifted by hour</x:v>
      </x:c>
      <x:c r="G13" s="29" t="str">
        <x:v>eleven-region clustered campaign</x:v>
      </x:c>
      <x:c r="H13" s="29" t="str">
        <x:v>corridor damage, crew, fuel, return flow</x:v>
      </x:c>
      <x:c r="I13" s="29" t="n">
        <x:v>10</x:v>
      </x:c>
      <x:c r="J13" s="29" t="str">
        <x:v>R0/R1</x:v>
      </x:c>
      <x:c r="K13" s="29" t="str">
        <x:v>G17</x:v>
      </x:c>
      <x:c r="L13" s="29" t="str">
        <x:v>time-feasible allocated CDE</x:v>
      </x:c>
    </x:row>
    <x:row r="14" ht="54" hidden="0" customHeight="1">
      <x:c r="A14" s="27" t="str">
        <x:v>RL-10</x:v>
      </x:c>
      <x:c r="B14" s="27" t="str">
        <x:v>Low-maintenance adaptive structure</x:v>
      </x:c>
      <x:c r="C14" s="27" t="str">
        <x:v>fixed sites decay between rare use</x:v>
      </x:c>
      <x:c r="D14" s="27" t="str">
        <x:v>twenty-year readiness with bounded intervention</x:v>
      </x:c>
      <x:c r="E14" s="27" t="str">
        <x:v>self-monitoring materials; replaceable cells; dual civil use</x:v>
      </x:c>
      <x:c r="F14" s="27" t="str">
        <x:v>lifecycle availability and $/ready CDE-year</x:v>
      </x:c>
      <x:c r="G14" s="27" t="str">
        <x:v>accelerated aging plus live conversion</x:v>
      </x:c>
      <x:c r="H14" s="27" t="str">
        <x:v>dual-use wear, inspection, repair</x:v>
      </x:c>
      <x:c r="I14" s="27" t="n">
        <x:v>12</x:v>
      </x:c>
      <x:c r="J14" s="27" t="str">
        <x:v>R0/R1</x:v>
      </x:c>
      <x:c r="K14" s="27" t="str">
        <x:v>G18</x:v>
      </x:c>
      <x:c r="L14" s="27" t="str">
        <x:v>ready CDE-year per lifecycle dollar</x:v>
      </x:c>
    </x:row>
  </x:sheetData>
  <x:pageMargins left="0.7" right="0.7" top="0.75" bottom="0.75" header="0.3" footer="0.3"/>
</x:worksheet>
</file>

<file path=xl/worksheets/sheet25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9" hidden="0" customWidth="1"/>
    <x:col min="2" max="2" width="38" hidden="0" customWidth="1"/>
    <x:col min="3" max="3" width="38" hidden="0" customWidth="1"/>
    <x:col min="4" max="4" width="38" hidden="0" customWidth="1"/>
    <x:col min="5" max="5" width="38" hidden="0" customWidth="1"/>
    <x:col min="6" max="6" width="12" hidden="0" customWidth="1"/>
    <x:col min="7" max="7" width="28" hidden="0" customWidth="1"/>
    <x:col min="8" max="8" width="28" hidden="0" customWidth="1"/>
    <x:col min="9" max="9" width="28" hidden="0" customWidth="1"/>
    <x:col min="10" max="10" width="13" hidden="0" customWidth="1"/>
  </x:cols>
  <x:sheetData>
    <x:row r="1" ht="29" customHeight="1">
      <x:c r="A1" s="81" t="str">
        <x:v>Receiving lattice evidence gates</x:v>
      </x:c>
      <x:c r="B1" s="81"/>
      <x:c r="C1" s="81"/>
      <x:c r="D1" s="81"/>
      <x:c r="E1" s="81"/>
      <x:c r="F1" s="81"/>
      <x:c r="G1" s="81"/>
      <x:c r="H1" s="81"/>
      <x:c r="I1" s="81"/>
      <x:c r="J1" s="81"/>
    </x:row>
    <x:row r="2" ht="28" customHeight="1">
      <x:c r="A2" s="82" t="str">
        <x:v>No site, capacity or timing credit advances beyond R2+ until representative evidence closes the relevant gate.</x:v>
      </x:c>
      <x:c r="B2" s="82"/>
      <x:c r="C2" s="82"/>
      <x:c r="D2" s="82"/>
      <x:c r="E2" s="82"/>
      <x:c r="F2" s="82"/>
      <x:c r="G2" s="82"/>
      <x:c r="H2" s="82"/>
      <x:c r="I2" s="82"/>
      <x:c r="J2" s="82"/>
    </x:row>
    <x:row r="3">
      <x:c r="A3" s="83"/>
      <x:c r="B3" s="83"/>
      <x:c r="C3" s="83"/>
      <x:c r="D3" s="83"/>
      <x:c r="E3" s="83"/>
      <x:c r="F3" s="83"/>
      <x:c r="G3" s="83"/>
      <x:c r="H3" s="83"/>
      <x:c r="I3" s="83"/>
      <x:c r="J3" s="83"/>
    </x:row>
    <x:row r="4" ht="31" customHeight="1">
      <x:c r="A4" s="84" t="str">
        <x:v>Gate</x:v>
      </x:c>
      <x:c r="B4" s="85" t="str">
        <x:v>Question</x:v>
      </x:c>
      <x:c r="C4" s="85" t="str">
        <x:v>Required evidence</x:v>
      </x:c>
      <x:c r="D4" s="85" t="str">
        <x:v>Threshold</x:v>
      </x:c>
      <x:c r="E4" s="85" t="str">
        <x:v>Owner</x:v>
      </x:c>
      <x:c r="F4" s="85" t="str">
        <x:v>State</x:v>
      </x:c>
      <x:c r="G4" s="85" t="str">
        <x:v>Invalidates</x:v>
      </x:c>
      <x:c r="H4" s="85" t="str">
        <x:v>Next test</x:v>
      </x:c>
      <x:c r="I4" s="85" t="str">
        <x:v>Decision</x:v>
      </x:c>
      <x:c r="J4" s="86" t="str">
        <x:v>Render</x:v>
      </x:c>
    </x:row>
    <x:row r="5" ht="64.80000305175781" hidden="0" customHeight="1">
      <x:c r="A5" s="28" t="str">
        <x:v>G01</x:v>
      </x:c>
      <x:c r="B5" s="28" t="str">
        <x:v>Does national demand require 3,000 domestic CDE?</x:v>
      </x:c>
      <x:c r="C5" s="28" t="str">
        <x:v>scenario-linked cohort demand</x:v>
      </x:c>
      <x:c r="D5" s="28" t="str">
        <x:v>bounded low/base/high</x:v>
      </x:c>
      <x:c r="E5" s="28" t="str">
        <x:v>mission science</x:v>
      </x:c>
      <x:c r="F5" s="28" t="str">
        <x:v>OPEN</x:v>
      </x:c>
      <x:c r="G5" s="28" t="str">
        <x:v>affected capacity</x:v>
      </x:c>
      <x:c r="H5" s="28" t="str">
        <x:v>preregister protocol</x:v>
      </x:c>
      <x:c r="I5" s="28" t="str">
        <x:v>withhold credit</x:v>
      </x:c>
      <x:c r="J5" s="28" t="str">
        <x:v>BLOCKED</x:v>
      </x:c>
    </x:row>
    <x:row r="6" ht="54" hidden="0" customHeight="1">
      <x:c r="A6" s="27" t="str">
        <x:v>G02</x:v>
      </x:c>
      <x:c r="B6" s="27" t="str">
        <x:v>Do four site classes cover actual receiving geometries?</x:v>
      </x:c>
      <x:c r="C6" s="27" t="str">
        <x:v>parcel/building taxonomy and samples</x:v>
      </x:c>
      <x:c r="D6" s="27" t="str">
        <x:v>≥95% demand addressable</x:v>
      </x:c>
      <x:c r="E6" s="27" t="str">
        <x:v>lattice command</x:v>
      </x:c>
      <x:c r="F6" s="27" t="str">
        <x:v>OPEN</x:v>
      </x:c>
      <x:c r="G6" s="27" t="str">
        <x:v>affected capacity</x:v>
      </x:c>
      <x:c r="H6" s="27" t="str">
        <x:v>preregister protocol</x:v>
      </x:c>
      <x:c r="I6" s="27" t="str">
        <x:v>withhold credit</x:v>
      </x:c>
      <x:c r="J6" s="27" t="str">
        <x:v>BLOCKED</x:v>
      </x:c>
    </x:row>
    <x:row r="7" ht="43.20000076293945" hidden="0" customHeight="1">
      <x:c r="A7" s="29" t="str">
        <x:v>G03</x:v>
      </x:c>
      <x:c r="B7" s="29" t="str">
        <x:v>Are structural and site records predictive?</x:v>
      </x:c>
      <x:c r="C7" s="29" t="str">
        <x:v>blind post-event comparisons</x:v>
      </x:c>
      <x:c r="D7" s="29" t="str">
        <x:v>false-safe allocation</x:v>
      </x:c>
      <x:c r="E7" s="29" t="str">
        <x:v>independent test</x:v>
      </x:c>
      <x:c r="F7" s="29" t="str">
        <x:v>OPEN</x:v>
      </x:c>
      <x:c r="G7" s="29" t="str">
        <x:v>affected capacity</x:v>
      </x:c>
      <x:c r="H7" s="29" t="str">
        <x:v>preregister protocol</x:v>
      </x:c>
      <x:c r="I7" s="29" t="str">
        <x:v>withhold credit</x:v>
      </x:c>
      <x:c r="J7" s="29" t="str">
        <x:v>BLOCKED</x:v>
      </x:c>
    </x:row>
    <x:row r="8" ht="54" hidden="0" customHeight="1">
      <x:c r="A8" s="27" t="str">
        <x:v>G04</x:v>
      </x:c>
      <x:c r="B8" s="27" t="str">
        <x:v>Are sites hazard-independent at portfolio scale?</x:v>
      </x:c>
      <x:c r="C8" s="27" t="str">
        <x:v>joint multi-hazard loss model</x:v>
      </x:c>
      <x:c r="D8" s="27" t="str">
        <x:v>N-2 plus common-mode target</x:v>
      </x:c>
      <x:c r="E8" s="27" t="str">
        <x:v>campaign assurance</x:v>
      </x:c>
      <x:c r="F8" s="27" t="str">
        <x:v>OPEN</x:v>
      </x:c>
      <x:c r="G8" s="27" t="str">
        <x:v>affected capacity</x:v>
      </x:c>
      <x:c r="H8" s="27" t="str">
        <x:v>preregister protocol</x:v>
      </x:c>
      <x:c r="I8" s="27" t="str">
        <x:v>withhold credit</x:v>
      </x:c>
      <x:c r="J8" s="27" t="str">
        <x:v>BLOCKED</x:v>
      </x:c>
    </x:row>
    <x:row r="9" ht="64.80000305175781" hidden="0" customHeight="1">
      <x:c r="A9" s="29" t="str">
        <x:v>G05</x:v>
      </x:c>
      <x:c r="B9" s="29" t="str">
        <x:v>Does accessible occupancy work for representative users?</x:v>
      </x:c>
      <x:c r="C9" s="29" t="str">
        <x:v>occupied conversion trials</x:v>
      </x:c>
      <x:c r="D9" s="29" t="str">
        <x:v>rights/outcome thresholds</x:v>
      </x:c>
      <x:c r="E9" s="29" t="str">
        <x:v>civil authority</x:v>
      </x:c>
      <x:c r="F9" s="29" t="str">
        <x:v>OPEN</x:v>
      </x:c>
      <x:c r="G9" s="29" t="str">
        <x:v>affected capacity</x:v>
      </x:c>
      <x:c r="H9" s="29" t="str">
        <x:v>preregister protocol</x:v>
      </x:c>
      <x:c r="I9" s="29" t="str">
        <x:v>withhold credit</x:v>
      </x:c>
      <x:c r="J9" s="29" t="str">
        <x:v>BLOCKED</x:v>
      </x:c>
    </x:row>
    <x:row r="10" ht="54" hidden="0" customHeight="1">
      <x:c r="A10" s="27" t="str">
        <x:v>G06</x:v>
      </x:c>
      <x:c r="B10" s="27" t="str">
        <x:v>Do fire, smoke and thermal states remain safe?</x:v>
      </x:c>
      <x:c r="C10" s="27" t="str">
        <x:v>compound environmental trials</x:v>
      </x:c>
      <x:c r="D10" s="27" t="str">
        <x:v>no unsafe credited state</x:v>
      </x:c>
      <x:c r="E10" s="27" t="str">
        <x:v>technical authority</x:v>
      </x:c>
      <x:c r="F10" s="27" t="str">
        <x:v>OPEN</x:v>
      </x:c>
      <x:c r="G10" s="27" t="str">
        <x:v>affected capacity</x:v>
      </x:c>
      <x:c r="H10" s="27" t="str">
        <x:v>preregister protocol</x:v>
      </x:c>
      <x:c r="I10" s="27" t="str">
        <x:v>withhold credit</x:v>
      </x:c>
      <x:c r="J10" s="27" t="str">
        <x:v>BLOCKED</x:v>
      </x:c>
    </x:row>
    <x:row r="11" ht="43.20000076293945" hidden="0" customHeight="1">
      <x:c r="A11" s="29" t="str">
        <x:v>G07</x:v>
      </x:c>
      <x:c r="B11" s="29" t="str">
        <x:v>Can power interfaces protect and black start?</x:v>
      </x:c>
      <x:c r="C11" s="29" t="str">
        <x:v>cross-vendor fault/grounding trials</x:v>
      </x:c>
      <x:c r="D11" s="29" t="str">
        <x:v>accepted in ≤2 h</x:v>
      </x:c>
      <x:c r="E11" s="29" t="str">
        <x:v>utility authority</x:v>
      </x:c>
      <x:c r="F11" s="29" t="str">
        <x:v>OPEN</x:v>
      </x:c>
      <x:c r="G11" s="29" t="str">
        <x:v>affected capacity</x:v>
      </x:c>
      <x:c r="H11" s="29" t="str">
        <x:v>preregister protocol</x:v>
      </x:c>
      <x:c r="I11" s="29" t="str">
        <x:v>withhold credit</x:v>
      </x:c>
      <x:c r="J11" s="29" t="str">
        <x:v>BLOCKED</x:v>
      </x:c>
    </x:row>
    <x:row r="12" ht="54" hidden="0" customHeight="1">
      <x:c r="A12" s="27" t="str">
        <x:v>G08</x:v>
      </x:c>
      <x:c r="B12" s="27" t="str">
        <x:v>Can water and wastewater connect safely?</x:v>
      </x:c>
      <x:c r="C12" s="27" t="str">
        <x:v>pressure, quality, backflow and custody trials</x:v>
      </x:c>
      <x:c r="D12" s="27" t="str">
        <x:v>accepted in ≤3 h</x:v>
      </x:c>
      <x:c r="E12" s="27" t="str">
        <x:v>public health</x:v>
      </x:c>
      <x:c r="F12" s="27" t="str">
        <x:v>OPEN</x:v>
      </x:c>
      <x:c r="G12" s="27" t="str">
        <x:v>affected capacity</x:v>
      </x:c>
      <x:c r="H12" s="27" t="str">
        <x:v>preregister protocol</x:v>
      </x:c>
      <x:c r="I12" s="27" t="str">
        <x:v>withhold credit</x:v>
      </x:c>
      <x:c r="J12" s="27" t="str">
        <x:v>BLOCKED</x:v>
      </x:c>
    </x:row>
    <x:row r="13" ht="43.20000076293945" hidden="0" customHeight="1">
      <x:c r="A13" s="29" t="str">
        <x:v>G09</x:v>
      </x:c>
      <x:c r="B13" s="29" t="str">
        <x:v>Can thermal and clean-air zones be proven?</x:v>
      </x:c>
      <x:c r="C13" s="29" t="str">
        <x:v>leakage, airflow and exposure trials</x:v>
      </x:c>
      <x:c r="D13" s="29" t="str">
        <x:v>bounded exposure</x:v>
      </x:c>
      <x:c r="E13" s="29" t="str">
        <x:v>health/technical</x:v>
      </x:c>
      <x:c r="F13" s="29" t="str">
        <x:v>OPEN</x:v>
      </x:c>
      <x:c r="G13" s="29" t="str">
        <x:v>affected capacity</x:v>
      </x:c>
      <x:c r="H13" s="29" t="str">
        <x:v>preregister protocol</x:v>
      </x:c>
      <x:c r="I13" s="29" t="str">
        <x:v>withhold credit</x:v>
      </x:c>
      <x:c r="J13" s="29" t="str">
        <x:v>BLOCKED</x:v>
      </x:c>
    </x:row>
    <x:row r="14" ht="64.80000305175781" hidden="0" customHeight="1">
      <x:c r="A14" s="27" t="str">
        <x:v>G10</x:v>
      </x:c>
      <x:c r="B14" s="27" t="str">
        <x:v>Can the network operate without cloud/backhaul?</x:v>
      </x:c>
      <x:c r="C14" s="27" t="str">
        <x:v>disconnected activation</x:v>
      </x:c>
      <x:c r="D14" s="27" t="str">
        <x:v>full local authority</x:v>
      </x:c>
      <x:c r="E14" s="27" t="str">
        <x:v>information authority</x:v>
      </x:c>
      <x:c r="F14" s="27" t="str">
        <x:v>OPEN</x:v>
      </x:c>
      <x:c r="G14" s="27" t="str">
        <x:v>affected capacity</x:v>
      </x:c>
      <x:c r="H14" s="27" t="str">
        <x:v>preregister protocol</x:v>
      </x:c>
      <x:c r="I14" s="27" t="str">
        <x:v>withhold credit</x:v>
      </x:c>
      <x:c r="J14" s="27" t="str">
        <x:v>BLOCKED</x:v>
      </x:c>
    </x:row>
    <x:row r="15" ht="54" hidden="0" customHeight="1">
      <x:c r="A15" s="29" t="str">
        <x:v>G11</x:v>
      </x:c>
      <x:c r="B15" s="29" t="str">
        <x:v>Are stock sets complete and serviceable?</x:v>
      </x:c>
      <x:c r="C15" s="29" t="str">
        <x:v>unannounced issue/assembly samples</x:v>
      </x:c>
      <x:c r="D15" s="29" t="str">
        <x:v>mission-ready fill target</x:v>
      </x:c>
      <x:c r="E15" s="29" t="str">
        <x:v>logistics</x:v>
      </x:c>
      <x:c r="F15" s="29" t="str">
        <x:v>OPEN</x:v>
      </x:c>
      <x:c r="G15" s="29" t="str">
        <x:v>affected capacity</x:v>
      </x:c>
      <x:c r="H15" s="29" t="str">
        <x:v>preregister protocol</x:v>
      </x:c>
      <x:c r="I15" s="29" t="str">
        <x:v>withhold credit</x:v>
      </x:c>
      <x:c r="J15" s="29" t="str">
        <x:v>BLOCKED</x:v>
      </x:c>
    </x:row>
    <x:row r="16" ht="54" hidden="0" customHeight="1">
      <x:c r="A16" s="27" t="str">
        <x:v>G12</x:v>
      </x:c>
      <x:c r="B16" s="27" t="str">
        <x:v>Does inspection avoid false-safe release?</x:v>
      </x:c>
      <x:c r="C16" s="27" t="str">
        <x:v>seeded damage and independent QA</x:v>
      </x:c>
      <x:c r="D16" s="27" t="str">
        <x:v>risk-bounded error</x:v>
      </x:c>
      <x:c r="E16" s="27" t="str">
        <x:v>independent test</x:v>
      </x:c>
      <x:c r="F16" s="27" t="str">
        <x:v>OPEN</x:v>
      </x:c>
      <x:c r="G16" s="27" t="str">
        <x:v>affected capacity</x:v>
      </x:c>
      <x:c r="H16" s="27" t="str">
        <x:v>preregister protocol</x:v>
      </x:c>
      <x:c r="I16" s="27" t="str">
        <x:v>withhold credit</x:v>
      </x:c>
      <x:c r="J16" s="27" t="str">
        <x:v>BLOCKED</x:v>
      </x:c>
    </x:row>
    <x:row r="17" ht="43.20000076293945" hidden="0" customHeight="1">
      <x:c r="A17" s="29" t="str">
        <x:v>G13</x:v>
      </x:c>
      <x:c r="B17" s="29" t="str">
        <x:v>Can sites activate at modeled times?</x:v>
      </x:c>
      <x:c r="C17" s="29" t="str">
        <x:v>task-level field trials</x:v>
      </x:c>
      <x:c r="D17" s="29" t="str">
        <x:v>12/18/24 h classes</x:v>
      </x:c>
      <x:c r="E17" s="29" t="str">
        <x:v>lattice command</x:v>
      </x:c>
      <x:c r="F17" s="29" t="str">
        <x:v>OPEN</x:v>
      </x:c>
      <x:c r="G17" s="29" t="str">
        <x:v>affected capacity</x:v>
      </x:c>
      <x:c r="H17" s="29" t="str">
        <x:v>preregister protocol</x:v>
      </x:c>
      <x:c r="I17" s="29" t="str">
        <x:v>withhold credit</x:v>
      </x:c>
      <x:c r="J17" s="29" t="str">
        <x:v>BLOCKED</x:v>
      </x:c>
    </x:row>
    <x:row r="18" ht="54" hidden="0" customHeight="1">
      <x:c r="A18" s="27" t="str">
        <x:v>G14</x:v>
      </x:c>
      <x:c r="B18" s="27" t="str">
        <x:v>Is activation labor available concurrently?</x:v>
      </x:c>
      <x:c r="C18" s="27" t="str">
        <x:v>three-catastrophic/five-major exercise</x:v>
      </x:c>
      <x:c r="D18" s="27" t="str">
        <x:v>≤13,570 people</x:v>
      </x:c>
      <x:c r="E18" s="27" t="str">
        <x:v>workforce command</x:v>
      </x:c>
      <x:c r="F18" s="27" t="str">
        <x:v>OPEN</x:v>
      </x:c>
      <x:c r="G18" s="27" t="str">
        <x:v>affected capacity</x:v>
      </x:c>
      <x:c r="H18" s="27" t="str">
        <x:v>preregister protocol</x:v>
      </x:c>
      <x:c r="I18" s="27" t="str">
        <x:v>withhold credit</x:v>
      </x:c>
      <x:c r="J18" s="27" t="str">
        <x:v>BLOCKED</x:v>
      </x:c>
    </x:row>
    <x:row r="19" ht="43.20000076293945" hidden="0" customHeight="1">
      <x:c r="A19" s="29" t="str">
        <x:v>G15</x:v>
      </x:c>
      <x:c r="B19" s="29" t="str">
        <x:v>Can the fixed/mobile district split function?</x:v>
      </x:c>
      <x:c r="C19" s="29" t="str">
        <x:v>complete 1,000-person occupied trial</x:v>
      </x:c>
      <x:c r="D19" s="29" t="str">
        <x:v>72 h protected service</x:v>
      </x:c>
      <x:c r="E19" s="29" t="str">
        <x:v>population continuity</x:v>
      </x:c>
      <x:c r="F19" s="29" t="str">
        <x:v>OPEN</x:v>
      </x:c>
      <x:c r="G19" s="29" t="str">
        <x:v>affected capacity</x:v>
      </x:c>
      <x:c r="H19" s="29" t="str">
        <x:v>preregister protocol</x:v>
      </x:c>
      <x:c r="I19" s="29" t="str">
        <x:v>withhold credit</x:v>
      </x:c>
      <x:c r="J19" s="29" t="str">
        <x:v>BLOCKED</x:v>
      </x:c>
    </x:row>
    <x:row r="20" ht="43.20000076293945" hidden="0" customHeight="1">
      <x:c r="A20" s="27" t="str">
        <x:v>G16</x:v>
      </x:c>
      <x:c r="B20" s="27" t="str">
        <x:v>Can civil occupancy be released lawfully?</x:v>
      </x:c>
      <x:c r="C20" s="27" t="str">
        <x:v>multi-jurisdiction exercise and review</x:v>
      </x:c>
      <x:c r="D20" s="27" t="str">
        <x:v>≤24 h with appeal</x:v>
      </x:c>
      <x:c r="E20" s="27" t="str">
        <x:v>civil release authority</x:v>
      </x:c>
      <x:c r="F20" s="27" t="str">
        <x:v>OPEN</x:v>
      </x:c>
      <x:c r="G20" s="27" t="str">
        <x:v>affected capacity</x:v>
      </x:c>
      <x:c r="H20" s="27" t="str">
        <x:v>preregister protocol</x:v>
      </x:c>
      <x:c r="I20" s="27" t="str">
        <x:v>withhold credit</x:v>
      </x:c>
      <x:c r="J20" s="27" t="str">
        <x:v>BLOCKED</x:v>
      </x:c>
    </x:row>
    <x:row r="21" ht="64.80000305175781" hidden="0" customHeight="1">
      <x:c r="A21" s="29" t="str">
        <x:v>G17</x:v>
      </x:c>
      <x:c r="B21" s="29" t="str">
        <x:v>Can clustered campaigns be allocated geographically?</x:v>
      </x:c>
      <x:c r="C21" s="29" t="str">
        <x:v>network flow with damaged travel times</x:v>
      </x:c>
      <x:c r="D21" s="29" t="str">
        <x:v>all service demand by deadline</x:v>
      </x:c>
      <x:c r="E21" s="29" t="str">
        <x:v>campaign assurance</x:v>
      </x:c>
      <x:c r="F21" s="29" t="str">
        <x:v>OPEN</x:v>
      </x:c>
      <x:c r="G21" s="29" t="str">
        <x:v>national closure claim</x:v>
      </x:c>
      <x:c r="H21" s="29" t="str">
        <x:v>preregister protocol</x:v>
      </x:c>
      <x:c r="I21" s="29" t="str">
        <x:v>withhold credit</x:v>
      </x:c>
      <x:c r="J21" s="29" t="str">
        <x:v>BLOCKED</x:v>
      </x:c>
    </x:row>
    <x:row r="22" ht="43.20000076293945" hidden="0" customHeight="1">
      <x:c r="A22" s="27" t="str">
        <x:v>G18</x:v>
      </x:c>
      <x:c r="B22" s="27" t="str">
        <x:v>Can industry build and maintain the lattice?</x:v>
      </x:c>
      <x:c r="C22" s="27" t="str">
        <x:v>independent cost/schedule/supply analysis</x:v>
      </x:c>
      <x:c r="D22" s="27" t="str">
        <x:v>four-prime and surge targets</x:v>
      </x:c>
      <x:c r="E22" s="27" t="str">
        <x:v>industrial authority</x:v>
      </x:c>
      <x:c r="F22" s="27" t="str">
        <x:v>OPEN</x:v>
      </x:c>
      <x:c r="G22" s="27" t="str">
        <x:v>affected capacity</x:v>
      </x:c>
      <x:c r="H22" s="27" t="str">
        <x:v>preregister protocol</x:v>
      </x:c>
      <x:c r="I22" s="27" t="str">
        <x:v>withhold credit</x:v>
      </x:c>
      <x:c r="J22" s="27" t="str">
        <x:v>BLOCKED</x:v>
      </x:c>
    </x:row>
  </x:sheetData>
  <x:pageMargins left="0.7" right="0.7" top="0.75" bottom="0.75" header="0.3" footer="0.3"/>
</x:worksheet>
</file>

<file path=xl/worksheets/sheet26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7" hidden="0" customWidth="1"/>
    <x:col min="2" max="2" width="36" hidden="0" customWidth="1"/>
    <x:col min="3" max="3" width="28" hidden="0" customWidth="1"/>
    <x:col min="4" max="4" width="61" hidden="0" customWidth="1"/>
    <x:col min="5" max="5" width="64" hidden="0" customWidth="1"/>
    <x:col min="6" max="6" width="18" hidden="0" customWidth="1"/>
    <x:col min="7" max="7" width="18" hidden="0" customWidth="1"/>
    <x:col min="8" max="8" width="45" hidden="0" customWidth="1"/>
  </x:cols>
  <x:sheetData>
    <x:row r="1" ht="29" customHeight="1">
      <x:c r="A1" s="81" t="str">
        <x:v>Sources and assumption boundaries</x:v>
      </x:c>
      <x:c r="B1" s="81"/>
      <x:c r="C1" s="81"/>
      <x:c r="D1" s="81"/>
      <x:c r="E1" s="81"/>
      <x:c r="F1" s="81"/>
      <x:c r="G1" s="81"/>
      <x:c r="H1" s="81"/>
    </x:row>
    <x:row r="2" ht="28" customHeight="1">
      <x:c r="A2" s="82" t="str">
        <x:v>Official sources define planning and evaluation analogues. Network quantities, factors, costs and workforce remain design hypotheses.</x:v>
      </x:c>
      <x:c r="B2" s="82"/>
      <x:c r="C2" s="82"/>
      <x:c r="D2" s="82"/>
      <x:c r="E2" s="82"/>
      <x:c r="F2" s="82"/>
      <x:c r="G2" s="82"/>
      <x:c r="H2" s="82"/>
    </x:row>
    <x:row r="3">
      <x:c r="A3" s="83"/>
      <x:c r="B3" s="83"/>
      <x:c r="C3" s="83"/>
      <x:c r="D3" s="83"/>
      <x:c r="E3" s="83"/>
      <x:c r="F3" s="83"/>
      <x:c r="G3" s="83"/>
      <x:c r="H3" s="83"/>
    </x:row>
    <x:row r="4" ht="31" customHeight="1">
      <x:c r="A4" s="84" t="str">
        <x:v>Key</x:v>
      </x:c>
      <x:c r="B4" s="85" t="str">
        <x:v>Source</x:v>
      </x:c>
      <x:c r="C4" s="85" t="str">
        <x:v>Use</x:v>
      </x:c>
      <x:c r="D4" s="85" t="str">
        <x:v>Observed anchor</x:v>
      </x:c>
      <x:c r="E4" s="85" t="str">
        <x:v>URL</x:v>
      </x:c>
      <x:c r="F4" s="85" t="str">
        <x:v>Accessed</x:v>
      </x:c>
      <x:c r="G4" s="85" t="str">
        <x:v>Class</x:v>
      </x:c>
      <x:c r="H4" s="86" t="str">
        <x:v>Limit</x:v>
      </x:c>
    </x:row>
    <x:row r="5" ht="97.19999694824219" hidden="0" customHeight="1">
      <x:c r="A5" s="28" t="str">
        <x:v>FEMA-P2055</x:v>
      </x:c>
      <x:c r="B5" s="28" t="str">
        <x:v>Post-disaster Building Safety Evaluation Guidance</x:v>
      </x:c>
      <x:c r="C5" s="28" t="str">
        <x:v>inspection and release system</x:v>
      </x:c>
      <x:c r="D5" s="28" t="str">
        <x:v>planning, trained evaluators, data, placards and QA are required before incidents</x:v>
      </x:c>
      <x:c r="E5" s="28" t="str">
        <x:v>https://www.fema.gov/sites/default/files/2020-07/fema_p-2055_post-disaster_buildingsafety_evaluation_2019.pdf</x:v>
      </x:c>
      <x:c r="F5" s="28" t="str">
        <x:v>2026-09-05</x:v>
      </x:c>
      <x:c r="G5" s="28" t="str">
        <x:v>official technical guidance</x:v>
      </x:c>
      <x:c r="H5" s="28" t="str">
        <x:v>does not validate automated inspection or NRL times</x:v>
      </x:c>
    </x:row>
    <x:row r="6" ht="108" hidden="0" customHeight="1">
      <x:c r="A6" s="27" t="str">
        <x:v>NIST-CRPG</x:v>
      </x:c>
      <x:c r="B6" s="27" t="str">
        <x:v>Community Resilience Planning Guide</x:v>
      </x:c>
      <x:c r="C6" s="27" t="str">
        <x:v>function and dependency framing</x:v>
      </x:c>
      <x:c r="D6" s="27" t="str">
        <x:v>social functions define building/infrastructure requirements; supporting systems and recovery time matter</x:v>
      </x:c>
      <x:c r="E6" s="27" t="str">
        <x:v>https://nvlpubs.nist.gov/nistpubs/SpecialPublications/NIST.SP.1190v1.pdf</x:v>
      </x:c>
      <x:c r="F6" s="27" t="str">
        <x:v>2026-09-05</x:v>
      </x:c>
      <x:c r="G6" s="27" t="str">
        <x:v>official planning guidance</x:v>
      </x:c>
      <x:c r="H6" s="27" t="str">
        <x:v>not a site inventory or probability model</x:v>
      </x:c>
    </x:row>
    <x:row r="7" ht="129.60000610351562" hidden="0" customHeight="1">
      <x:c r="A7" s="29" t="str">
        <x:v>GAO-PREP16</x:v>
      </x:c>
      <x:c r="B7" s="29" t="str">
        <x:v>Prepositioned Stocks: DOD joint approach</x:v>
      </x:c>
      <x:c r="C7" s="29" t="str">
        <x:v>prepositioning readiness analogue</x:v>
      </x:c>
      <x:c r="D7" s="29" t="str">
        <x:v>airlift, sealift and prepositioned stocks form a strategic mobility triad; joint policy and readiness information matter</x:v>
      </x:c>
      <x:c r="E7" s="29" t="str">
        <x:v>https://www.gao.gov/products/gao-16-418</x:v>
      </x:c>
      <x:c r="F7" s="29" t="str">
        <x:v>2026-09-05</x:v>
      </x:c>
      <x:c r="G7" s="29" t="str">
        <x:v>official audit analogue</x:v>
      </x:c>
      <x:c r="H7" s="29" t="str">
        <x:v>military system; no civil capacity transfer</x:v>
      </x:c>
    </x:row>
    <x:row r="8" ht="108" hidden="0" customHeight="1">
      <x:c r="A8" s="27" t="str">
        <x:v>GSA-AFR24</x:v>
      </x:c>
      <x:c r="B8" s="27" t="str">
        <x:v>GSA FY2024 Agency Financial Report</x:v>
      </x:c>
      <x:c r="C8" s="27" t="str">
        <x:v>building-portfolio scale analogue</x:v>
      </x:c>
      <x:c r="D8" s="27" t="str">
        <x:v>PBS reports over 1,600 owned and over 6,500 leased assets across more than 355 million rentable ft²</x:v>
      </x:c>
      <x:c r="E8" s="27" t="str">
        <x:v>https://www.gsa.gov/system/files?file=FY-2024-GSA-AFR-12-20-2024-508-compliant.pdf</x:v>
      </x:c>
      <x:c r="F8" s="27" t="str">
        <x:v>2026-09-05</x:v>
      </x:c>
      <x:c r="G8" s="27" t="str">
        <x:v>official portfolio evidence</x:v>
      </x:c>
      <x:c r="H8" s="27" t="str">
        <x:v>asset count does not imply disaster suitability</x:v>
      </x:c>
    </x:row>
    <x:row r="9" ht="108" hidden="0" customHeight="1">
      <x:c r="A9" s="29" t="str">
        <x:v>USGS-NSHM23</x:v>
      </x:c>
      <x:c r="B9" s="29" t="str">
        <x:v>2023 50-State National Seismic Hazard Model</x:v>
      </x:c>
      <x:c r="C9" s="29" t="str">
        <x:v>hazard-covariant siting</x:v>
      </x:c>
      <x:c r="D9" s="29" t="str">
        <x:v>50-state probabilistic ground-shaking model with multiple site classes and basin effects</x:v>
      </x:c>
      <x:c r="E9" s="29" t="str">
        <x:v>https://www.usgs.gov/programs/earthquake-hazards/science/2023-50-state-long-term-national-seismic-hazard-model</x:v>
      </x:c>
      <x:c r="F9" s="29" t="str">
        <x:v>2026-09-05</x:v>
      </x:c>
      <x:c r="G9" s="29" t="str">
        <x:v>official hazard science</x:v>
      </x:c>
      <x:c r="H9" s="29" t="str">
        <x:v>seismic only; not a joint-hazard site score</x:v>
      </x:c>
    </x:row>
    <x:row r="10" ht="64.80000305175781" hidden="0" customHeight="1">
      <x:c r="A10" s="27" t="str">
        <x:v>CENSUS-QF25</x:v>
      </x:c>
      <x:c r="B10" s="27" t="str">
        <x:v>U.S. Census QuickFacts</x:v>
      </x:c>
      <x:c r="C10" s="27" t="str">
        <x:v>population denominator context</x:v>
      </x:c>
      <x:c r="D10" s="27" t="str">
        <x:v>2025 U.S. estimate 341,784,857 people and 148,260,882 housing units</x:v>
      </x:c>
      <x:c r="E10" s="27" t="str">
        <x:v>https://www.census.gov/quickfacts/fact/table/US/HSG010222</x:v>
      </x:c>
      <x:c r="F10" s="27" t="str">
        <x:v>2026-09-05</x:v>
      </x:c>
      <x:c r="G10" s="27" t="str">
        <x:v>official demographic estimate</x:v>
      </x:c>
      <x:c r="H10" s="27" t="str">
        <x:v>national totals do not define catchments</x:v>
      </x:c>
    </x:row>
    <x:row r="11" ht="75.5999984741211" hidden="0" customHeight="1">
      <x:c r="A11" s="29" t="str">
        <x:v>PASS30</x:v>
      </x:c>
      <x:c r="B11" s="29" t="str">
        <x:v>PCC-D1 district configuration</x:v>
      </x:c>
      <x:c r="C11" s="29" t="str">
        <x:v>mass, volume and timing lineage</x:v>
      </x:c>
      <x:c r="D11" s="29" t="str">
        <x:v>78.71-t / 446.60-m³ transformational district; 14,451.07-t fully mobile pod</x:v>
      </x:c>
      <x:c r="E11" s="29" t="str">
        <x:v>../../models/population-continuity-district-model.xlsx</x:v>
      </x:c>
      <x:c r="F11" s="29" t="str">
        <x:v>2026-09-05</x:v>
      </x:c>
      <x:c r="G11" s="29" t="str">
        <x:v>internal R2+ model</x:v>
      </x:c>
      <x:c r="H11" s="29" t="str">
        <x:v>all fifteen district gates open</x:v>
      </x:c>
    </x:row>
    <x:row r="12" ht="86.4000015258789" hidden="0" customHeight="1">
      <x:c r="A12" s="27" t="str">
        <x:v>ASSUMPTIONS</x:v>
      </x:c>
      <x:c r="B12" s="27" t="str">
        <x:v>Controls and model tables</x:v>
      </x:c>
      <x:c r="C12" s="27" t="str">
        <x:v>force design and finance</x:v>
      </x:c>
      <x:c r="D12" s="27" t="str">
        <x:v>site counts, readiness factors, cell structure, costs, labor, geographic factors and build curve</x:v>
      </x:c>
      <x:c r="E12" s="27" t="str">
        <x:v>Controls; Site Classes; Regional Distribution; Capital Build</x:v>
      </x:c>
      <x:c r="F12" s="27" t="str">
        <x:v>2026-09-05</x:v>
      </x:c>
      <x:c r="G12" s="27" t="str">
        <x:v>declared hypotheses</x:v>
      </x:c>
      <x:c r="H12" s="27" t="str">
        <x:v>replace with parcel, engineering, exercise and independent cost evidence</x:v>
      </x:c>
    </x:row>
  </x:sheetData>
  <x:pageMargins left="0.7" right="0.7" top="0.75" bottom="0.75" header="0.3" footer="0.3"/>
</x:worksheet>
</file>

<file path=xl/worksheets/sheet27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3" hidden="0" customWidth="1"/>
    <x:col min="2" max="2" width="20" hidden="0" customWidth="1"/>
    <x:col min="3" max="3" width="20" hidden="0" customWidth="1"/>
    <x:col min="4" max="4" width="16" hidden="0" customWidth="1"/>
    <x:col min="5" max="5" width="16" hidden="0" customWidth="1"/>
    <x:col min="6" max="6" width="43" hidden="0" customWidth="1"/>
  </x:cols>
  <x:sheetData>
    <x:row r="1" ht="29" customHeight="1">
      <x:c r="A1" s="81" t="str">
        <x:v>Model checks</x:v>
      </x:c>
      <x:c r="B1" s="81"/>
      <x:c r="C1" s="81"/>
      <x:c r="D1" s="81"/>
      <x:c r="E1" s="81"/>
      <x:c r="F1" s="81"/>
    </x:row>
    <x:row r="2" ht="28" customHeight="1">
      <x:c r="A2" s="82" t="str">
        <x:v>Checks verify declared arithmetic and selected adverse conclusions. They do not close evidence gates.</x:v>
      </x:c>
      <x:c r="B2" s="82"/>
      <x:c r="C2" s="82"/>
      <x:c r="D2" s="82"/>
      <x:c r="E2" s="82"/>
      <x:c r="F2" s="82"/>
    </x:row>
    <x:row r="3">
      <x:c r="A3" s="83"/>
      <x:c r="B3" s="83"/>
      <x:c r="C3" s="83"/>
      <x:c r="D3" s="83"/>
      <x:c r="E3" s="83"/>
      <x:c r="F3" s="83"/>
    </x:row>
    <x:row r="4" ht="31" customHeight="1">
      <x:c r="A4" s="84" t="str">
        <x:v>Check</x:v>
      </x:c>
      <x:c r="B4" s="85" t="str">
        <x:v>Calculated</x:v>
      </x:c>
      <x:c r="C4" s="85" t="str">
        <x:v>Expected/rule</x:v>
      </x:c>
      <x:c r="D4" s="85" t="str">
        <x:v>Result</x:v>
      </x:c>
      <x:c r="E4" s="85" t="str">
        <x:v>Scope</x:v>
      </x:c>
      <x:c r="F4" s="86" t="str">
        <x:v>Meaning</x:v>
      </x:c>
    </x:row>
    <x:row r="5" ht="32.400001525878906" hidden="0" customHeight="1">
      <x:c r="A5" s="28" t="str">
        <x:v>Sheet count</x:v>
      </x:c>
      <x:c r="B5" s="73" t="n">
        <x:v>27</x:v>
      </x:c>
      <x:c r="C5" s="73" t="n">
        <x:v>27</x:v>
      </x:c>
      <x:c r="D5" s="28" t="str">
        <x:f>IF(ABS(B5-C5)&lt;0.05,"PASS","FAIL")</x:f>
        <x:v>PASS</x:v>
      </x:c>
      <x:c r="E5" s="28" t="str">
        <x:v>structure</x:v>
      </x:c>
      <x:c r="F5" s="28" t="str">
        <x:v>all model layers present</x:v>
      </x:c>
    </x:row>
    <x:row r="6" ht="21.600000381469727" hidden="0" customHeight="1">
      <x:c r="A6" s="27" t="str">
        <x:v>Domestic nominal CDE</x:v>
      </x:c>
      <x:c r="B6" s="74" t="n">
        <x:f>'Inventory'!B5</x:f>
        <x:v>7200</x:v>
      </x:c>
      <x:c r="C6" s="74" t="n">
        <x:v>7200</x:v>
      </x:c>
      <x:c r="D6" s="27" t="str">
        <x:f>IF(ABS(B6-C6)&lt;0.05,"PASS","FAIL")</x:f>
        <x:v>PASS</x:v>
      </x:c>
      <x:c r="E6" s="27" t="str">
        <x:v>inventory</x:v>
      </x:c>
      <x:c r="F6" s="27" t="str">
        <x:v>site-class quantities</x:v>
      </x:c>
    </x:row>
    <x:row r="7" ht="21.600000381469727" hidden="0" customHeight="1">
      <x:c r="A7" s="29" t="str">
        <x:v>Partner nominal CDE</x:v>
      </x:c>
      <x:c r="B7" s="75" t="n">
        <x:f>'Inventory'!B6</x:f>
        <x:v>720</x:v>
      </x:c>
      <x:c r="C7" s="75" t="n">
        <x:v>720</x:v>
      </x:c>
      <x:c r="D7" s="29" t="str">
        <x:f>IF(ABS(B7-C7)&lt;0.05,"PASS","FAIL")</x:f>
        <x:v>PASS</x:v>
      </x:c>
      <x:c r="E7" s="29" t="str">
        <x:v>inventory</x:v>
      </x:c>
      <x:c r="F7" s="29" t="str">
        <x:v>partner quantities</x:v>
      </x:c>
    </x:row>
    <x:row r="8" ht="32.400001525878906" hidden="0" customHeight="1">
      <x:c r="A8" s="27" t="str">
        <x:v>Domestic assured CDE</x:v>
      </x:c>
      <x:c r="B8" s="74" t="n">
        <x:f>'Inventory'!G5</x:f>
        <x:v>3707.2968537599995</x:v>
      </x:c>
      <x:c r="C8" s="74" t="n">
        <x:v>3707.2969</x:v>
      </x:c>
      <x:c r="D8" s="27" t="str">
        <x:f>IF(ABS(B8-C8)&lt;0.05,"PASS","FAIL")</x:f>
        <x:v>PASS</x:v>
      </x:c>
      <x:c r="E8" s="27" t="str">
        <x:v>assurance</x:v>
      </x:c>
      <x:c r="F8" s="27" t="str">
        <x:v>N-2 plus 5% common mode</x:v>
      </x:c>
    </x:row>
    <x:row r="9" ht="32.400001525878906" hidden="0" customHeight="1">
      <x:c r="A9" s="29" t="str">
        <x:v>Partner assured CDE</x:v>
      </x:c>
      <x:c r="B9" s="75" t="n">
        <x:f>'Inventory'!G6</x:f>
        <x:v>372.82275</x:v>
      </x:c>
      <x:c r="C9" s="75" t="n">
        <x:v>372.823</x:v>
      </x:c>
      <x:c r="D9" s="29" t="str">
        <x:f>IF(ABS(B9-C9)&lt;0.05,"PASS","FAIL")</x:f>
        <x:v>PASS</x:v>
      </x:c>
      <x:c r="E9" s="29" t="str">
        <x:v>assurance</x:v>
      </x:c>
      <x:c r="F9" s="29" t="str">
        <x:v>N-1 plus 5% common mode</x:v>
      </x:c>
    </x:row>
    <x:row r="10" ht="21.600000381469727" hidden="0" customHeight="1">
      <x:c r="A10" s="27" t="str">
        <x:v>Domestic requirement</x:v>
      </x:c>
      <x:c r="B10" s="74" t="n">
        <x:f>'Inventory'!H5</x:f>
        <x:v>3000</x:v>
      </x:c>
      <x:c r="C10" s="74" t="n">
        <x:v>3000</x:v>
      </x:c>
      <x:c r="D10" s="27" t="str">
        <x:f>IF(ABS(B10-C10)&lt;0.05,"PASS","FAIL")</x:f>
        <x:v>PASS</x:v>
      </x:c>
      <x:c r="E10" s="27" t="str">
        <x:v>mission</x:v>
      </x:c>
      <x:c r="F10" s="27" t="str">
        <x:v>3C + 5M + reserve</x:v>
      </x:c>
    </x:row>
    <x:row r="11" ht="21.600000381469727" hidden="0" customHeight="1">
      <x:c r="A11" s="29" t="str">
        <x:v>Partner requirement</x:v>
      </x:c>
      <x:c r="B11" s="75" t="n">
        <x:f>'Inventory'!H6</x:f>
        <x:v>360</x:v>
      </x:c>
      <x:c r="C11" s="75" t="n">
        <x:v>360</x:v>
      </x:c>
      <x:c r="D11" s="29" t="str">
        <x:f>IF(ABS(B11-C11)&lt;0.05,"PASS","FAIL")</x:f>
        <x:v>PASS</x:v>
      </x:c>
      <x:c r="E11" s="29" t="str">
        <x:v>mission</x:v>
      </x:c>
      <x:c r="F11" s="29" t="str">
        <x:v>2G + reserve</x:v>
      </x:c>
    </x:row>
    <x:row r="12" ht="21.600000381469727" hidden="0" customHeight="1">
      <x:c r="A12" s="27" t="str">
        <x:v>Weighted fixed share</x:v>
      </x:c>
      <x:c r="B12" s="74" t="n">
        <x:f>'Fixed Mobile Split'!B10</x:f>
        <x:v>0.7212289042287454</x:v>
      </x:c>
      <x:c r="C12" s="74" t="n">
        <x:v>0.7212289</x:v>
      </x:c>
      <x:c r="D12" s="27" t="str">
        <x:f>IF(ABS(B12-C12)&lt;0.05,"PASS","FAIL")</x:f>
        <x:v>PASS</x:v>
      </x:c>
      <x:c r="E12" s="27" t="str">
        <x:v>configuration</x:v>
      </x:c>
      <x:c r="F12" s="27" t="str">
        <x:v>domestic capacity mix</x:v>
      </x:c>
    </x:row>
    <x:row r="13" ht="21.600000381469727" hidden="0" customHeight="1">
      <x:c r="A13" s="29" t="str">
        <x:v>Balanced pod mass</x:v>
      </x:c>
      <x:c r="B13" s="75" t="n">
        <x:f>'Pod Timing'!E6</x:f>
        <x:v>11612.761238372244</x:v>
      </x:c>
      <x:c r="C13" s="75" t="n">
        <x:v>11612.7612</x:v>
      </x:c>
      <x:c r="D13" s="29" t="str">
        <x:f>IF(ABS(B13-C13)&lt;0.05,"PASS","FAIL")</x:f>
        <x:v>PASS</x:v>
      </x:c>
      <x:c r="E13" s="29" t="str">
        <x:v>movement</x:v>
      </x:c>
      <x:c r="F13" s="29" t="str">
        <x:v>district replacement</x:v>
      </x:c>
    </x:row>
    <x:row r="14" ht="32.400001525878906" hidden="0" customHeight="1">
      <x:c r="A14" s="27" t="str">
        <x:v>Balanced tenth cargo</x:v>
      </x:c>
      <x:c r="B14" s="74" t="n">
        <x:f>'Pod Timing'!J6</x:f>
        <x:v>70.04598874340502</x:v>
      </x:c>
      <x:c r="C14" s="74" t="n">
        <x:v>70.046</x:v>
      </x:c>
      <x:c r="D14" s="27" t="str">
        <x:f>IF(ABS(B14-C14)&lt;0.05,"PASS","FAIL")</x:f>
        <x:v>PASS</x:v>
      </x:c>
      <x:c r="E14" s="27" t="str">
        <x:v>movement</x:v>
      </x:c>
      <x:c r="F14" s="27" t="str">
        <x:v>faster third-pod pair</x:v>
      </x:c>
    </x:row>
    <x:row r="15" ht="32.400001525878906" hidden="0" customHeight="1">
      <x:c r="A15" s="29" t="str">
        <x:v>Four-region catastrophic capacity</x:v>
      </x:c>
      <x:c r="B15" s="75" t="n">
        <x:f>'Spatial Stress'!F6</x:f>
        <x:v>718.2887654159999</x:v>
      </x:c>
      <x:c r="C15" s="75" t="n">
        <x:v>718.2888</x:v>
      </x:c>
      <x:c r="D15" s="29" t="str">
        <x:f>IF(ABS(B15-C15)&lt;0.05,"PASS","FAIL")</x:f>
        <x:v>PASS</x:v>
      </x:c>
      <x:c r="E15" s="29" t="str">
        <x:v>spatial</x:v>
      </x:c>
      <x:c r="F15" s="29" t="str">
        <x:v>single-event screen</x:v>
      </x:c>
    </x:row>
    <x:row r="16" ht="54" hidden="0" customHeight="1">
      <x:c r="A16" s="27" t="str">
        <x:v>Cluster-damaged capacity below demand</x:v>
      </x:c>
      <x:c r="B16" s="74" t="n">
        <x:f>'Spatial Stress'!F9</x:f>
        <x:v>1621.9423735199998</x:v>
      </x:c>
      <x:c r="C16" s="74" t="n">
        <x:v>2500</x:v>
      </x:c>
      <x:c r="D16" s="27" t="str">
        <x:f>IF(B16&lt;C16,"PASS","FAIL")</x:f>
        <x:v>PASS</x:v>
      </x:c>
      <x:c r="E16" s="27" t="str">
        <x:v>spatial</x:v>
      </x:c>
      <x:c r="F16" s="27" t="str">
        <x:v>adverse result must remain</x:v>
      </x:c>
    </x:row>
    <x:row r="17" ht="21.600000381469727" hidden="0" customHeight="1">
      <x:c r="A17" s="29" t="str">
        <x:v>Capital program</x:v>
      </x:c>
      <x:c r="B17" s="75" t="n">
        <x:f>'Capital Build'!B20</x:f>
        <x:v>563.808</x:v>
      </x:c>
      <x:c r="C17" s="75" t="n">
        <x:v>563.808</x:v>
      </x:c>
      <x:c r="D17" s="29" t="str">
        <x:f>IF(ABS(B17-C17)&lt;0.05,"PASS","FAIL")</x:f>
        <x:v>PASS</x:v>
      </x:c>
      <x:c r="E17" s="29" t="str">
        <x:v>finance</x:v>
      </x:c>
      <x:c r="F17" s="29" t="str">
        <x:v>including 20% reserve</x:v>
      </x:c>
    </x:row>
    <x:row r="18" ht="32.400001525878906" hidden="0" customHeight="1">
      <x:c r="A18" s="27" t="str">
        <x:v>Mature annual operations</x:v>
      </x:c>
      <x:c r="B18" s="74" t="n">
        <x:f>'25-Year Spend'!B35</x:f>
        <x:v>36.32</x:v>
      </x:c>
      <x:c r="C18" s="74" t="n">
        <x:v>36.32</x:v>
      </x:c>
      <x:c r="D18" s="27" t="str">
        <x:f>IF(ABS(B18-C18)&lt;0.05,"PASS","FAIL")</x:f>
        <x:v>PASS</x:v>
      </x:c>
      <x:c r="E18" s="27" t="str">
        <x:v>finance</x:v>
      </x:c>
      <x:c r="F18" s="27" t="str">
        <x:v>site plus common</x:v>
      </x:c>
    </x:row>
    <x:row r="19" ht="21.600000381469727" hidden="0" customHeight="1">
      <x:c r="A19" s="29" t="str">
        <x:v>All evidence gates open</x:v>
      </x:c>
      <x:c r="B19" s="75" t="n">
        <x:f>COUNTIF('Evidence Gates'!F5:F22,"OPEN")</x:f>
        <x:v>18</x:v>
      </x:c>
      <x:c r="C19" s="75" t="n">
        <x:v>18</x:v>
      </x:c>
      <x:c r="D19" s="29" t="str">
        <x:f>IF(ABS(B19-C19)&lt;0.05,"PASS","FAIL")</x:f>
        <x:v>PASS</x:v>
      </x:c>
      <x:c r="E19" s="29" t="str">
        <x:v>evidence</x:v>
      </x:c>
      <x:c r="F19" s="29" t="str">
        <x:v>no premature maturity</x:v>
      </x:c>
    </x:row>
    <x:row r="20" ht="21.600000381469727" hidden="0" customHeight="1">
      <x:c r="A20" s="27" t="str">
        <x:v>Rendering prohibited</x:v>
      </x:c>
      <x:c r="B20" s="74" t="n">
        <x:f>'Controls'!C36</x:f>
        <x:v>0</x:v>
      </x:c>
      <x:c r="C20" s="74" t="n">
        <x:v>0</x:v>
      </x:c>
      <x:c r="D20" s="27" t="str">
        <x:f>IF(ABS(B20-C20)&lt;0.05,"PASS","FAIL")</x:f>
        <x:v>PASS</x:v>
      </x:c>
      <x:c r="E20" s="27" t="str">
        <x:v>governance</x:v>
      </x:c>
      <x:c r="F20" s="27" t="str">
        <x:v>authorization remains zero</x:v>
      </x:c>
    </x:row>
    <x:row r="21">
      <x:c r="A21" s="83"/>
      <x:c r="B21" s="83"/>
      <x:c r="C21" s="83"/>
      <x:c r="D21" s="83"/>
      <x:c r="E21" s="83"/>
      <x:c r="F21" s="83"/>
    </x:row>
    <x:row r="22" ht="34" customHeight="1">
      <x:c r="A22" s="90" t="str">
        <x:v>The clustered-damage failure is a required adverse check. A green check confirms the model still exposes it; it does not mean the network closes that case.</x:v>
      </x:c>
      <x:c r="B22" s="90"/>
      <x:c r="C22" s="90"/>
      <x:c r="D22" s="90"/>
      <x:c r="E22" s="90"/>
      <x:c r="F22" s="90"/>
    </x:row>
  </x:sheetData>
  <x:pageMargins left="0.7" right="0.7" top="0.75" bottom="0.75" header="0.3" footer="0.3"/>
</x:worksheet>
</file>