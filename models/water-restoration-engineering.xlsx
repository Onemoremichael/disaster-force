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7b3cbadb8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c9b618b9244aae"/>
    <x:sheet xmlns:r="http://schemas.openxmlformats.org/officeDocument/2006/relationships" name="Controls" sheetId="2" r:id="Rec28f20992ee452f"/>
    <x:sheet xmlns:r="http://schemas.openxmlformats.org/officeDocument/2006/relationships" name="Service Demand" sheetId="3" r:id="R8c2556732966440b"/>
    <x:sheet xmlns:r="http://schemas.openxmlformats.org/officeDocument/2006/relationships" name="Treatment Cases" sheetId="4" r:id="R7469b6eac9944646"/>
    <x:sheet xmlns:r="http://schemas.openxmlformats.org/officeDocument/2006/relationships" name="Hydraulic Reaches" sheetId="5" r:id="Rad121e0696154e51"/>
    <x:sheet xmlns:r="http://schemas.openxmlformats.org/officeDocument/2006/relationships" name="Pipe &amp; Lift" sheetId="6" r:id="R3b336f5fe39c43c5"/>
    <x:sheet xmlns:r="http://schemas.openxmlformats.org/officeDocument/2006/relationships" name="Storage &amp; Access" sheetId="7" r:id="Rac7586b008334f88"/>
    <x:sheet xmlns:r="http://schemas.openxmlformats.org/officeDocument/2006/relationships" name="Return Flows" sheetId="8" r:id="R594a63fdedf54bee"/>
    <x:sheet xmlns:r="http://schemas.openxmlformats.org/officeDocument/2006/relationships" name="Deployment Plan" sheetId="9" r:id="Rfeffa0bf3afe4483"/>
    <x:sheet xmlns:r="http://schemas.openxmlformats.org/officeDocument/2006/relationships" name="Workforce" sheetId="10" r:id="R4d2f7103606940d5"/>
    <x:sheet xmlns:r="http://schemas.openxmlformats.org/officeDocument/2006/relationships" name="Failure Modes" sheetId="11" r:id="R59d32141f3494dec"/>
    <x:sheet xmlns:r="http://schemas.openxmlformats.org/officeDocument/2006/relationships" name="R3 Gate" sheetId="12" r:id="Rea7ef8c2f8c44097"/>
    <x:sheet xmlns:r="http://schemas.openxmlformats.org/officeDocument/2006/relationships" name="Sources" sheetId="13" r:id="Re4b10600c4b4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#,##0.0"/>
    <x:numFmt numFmtId="202" formatCode="0"/>
    <x:numFmt numFmtId="203" formatCode="0.000"/>
    <x:numFmt numFmtId="204" formatCode="0.0%"/>
    <x:numFmt numFmtId="205" formatCode="0.0"/>
    <x:numFmt numFmtId="206" formatCode="0.00"/>
    <x:numFmt numFmtId="207" formatCode="0%"/>
    <x:numFmt numFmtId="208" formatCode="#,##0.00"/>
  </x:numFmts>
  <x:fonts count="7">
    <x:font>
      <x:sz val="11"/>
      <x:name val="Carlito"/>
    </x:font>
    <x:font>
      <x:b/>
      <x:sz val="16"/>
      <x:color rgb="FF172033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1"/>
      <x:color rgb="FF172033"/>
      <x:name val="Arial"/>
    </x:font>
    <x:font>
      <x:b/>
      <x:sz val="10"/>
      <x:color rgb="FF1720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</x:fills>
  <x:borders count="9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top style="thin">
        <x:color rgb="FF17365D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/>
    </x:xf>
    <x:xf numFmtId="202" fontId="4" fillId="3" borderId="0" xfId="0" applyNumberFormat="1" applyFont="1" applyFill="1" applyBorder="1" applyAlignment="1">
      <x:alignment vertical="top"/>
    </x:xf>
    <x:xf numFmtId="203" fontId="4" fillId="3" borderId="0" xfId="0" applyNumberFormat="1" applyFont="1" applyFill="1" applyBorder="1" applyAlignment="1">
      <x:alignment vertical="top"/>
    </x:xf>
    <x:xf numFmtId="204" fontId="4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203" fontId="4" fillId="3" borderId="0" xfId="0" applyNumberFormat="1" applyFont="1" applyFill="1" applyBorder="1" applyAlignment="1">
      <x:alignment vertical="top" wrapText="1"/>
    </x:xf>
    <x:xf numFmtId="204" fontId="4" fillId="3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205" fontId="6" fillId="5" borderId="8" xfId="0" applyNumberFormat="1" applyFont="1" applyFill="1" applyBorder="1"/>
    <x:xf numFmtId="200" fontId="6" fillId="5" borderId="8" xfId="0" applyNumberFormat="1" applyFont="1" applyFill="1" applyBorder="1"/>
    <x:xf numFmtId="204" fontId="6" fillId="5" borderId="8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205" fontId="6" fillId="5" borderId="8" xfId="0" applyNumberFormat="1" applyFont="1" applyFill="1" applyBorder="1" applyAlignment="1">
      <x:alignment wrapText="1"/>
    </x:xf>
    <x:xf numFmtId="200" fontId="6" fillId="5" borderId="8" xfId="0" applyNumberFormat="1" applyFont="1" applyFill="1" applyBorder="1" applyAlignment="1">
      <x:alignment wrapText="1"/>
    </x:xf>
    <x:xf numFmtId="204" fontId="6" fillId="5" borderId="8" xfId="0" applyNumberFormat="1" applyFont="1" applyFill="1" applyBorder="1" applyAlignment="1">
      <x:alignment wrapText="1"/>
    </x:xf>
    <x:xf numFmtId="201" fontId="6" fillId="5" borderId="8" xfId="0" applyNumberFormat="1" applyFont="1" applyFill="1" applyBorder="1"/>
    <x:xf numFmtId="201" fontId="6" fillId="5" borderId="8" xfId="0" applyNumberFormat="1" applyFont="1" applyFill="1" applyBorder="1" applyAlignment="1">
      <x:alignment wrapText="1"/>
    </x:xf>
    <x:xf numFmtId="207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8" fontId="4" fillId="0" borderId="0" xfId="0" applyNumberFormat="1" applyFont="1" applyFill="1" applyBorder="1" applyAlignment="1">
      <x:alignment vertical="top"/>
    </x:xf>
    <x:xf numFmtId="208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2f62a7c31434c" /><Relationship Type="http://schemas.openxmlformats.org/officeDocument/2006/relationships/theme" Target="/xl/theme/theme1.xml" Id="R685c2efe474a4e2b" /><Relationship Type="http://schemas.openxmlformats.org/officeDocument/2006/relationships/sharedStrings" Target="/xl/sharedStrings.xml" Id="Ra50560fcd260488e" /><Relationship Type="http://schemas.openxmlformats.org/officeDocument/2006/relationships/worksheet" Target="/xl/worksheets/sheet1.xml" Id="R7bc9b618b9244aae" /><Relationship Type="http://schemas.openxmlformats.org/officeDocument/2006/relationships/worksheet" Target="/xl/worksheets/sheet2.xml" Id="Rec28f20992ee452f" /><Relationship Type="http://schemas.openxmlformats.org/officeDocument/2006/relationships/worksheet" Target="/xl/worksheets/sheet3.xml" Id="R8c2556732966440b" /><Relationship Type="http://schemas.openxmlformats.org/officeDocument/2006/relationships/worksheet" Target="/xl/worksheets/sheet4.xml" Id="R7469b6eac9944646" /><Relationship Type="http://schemas.openxmlformats.org/officeDocument/2006/relationships/worksheet" Target="/xl/worksheets/sheet5.xml" Id="Rad121e0696154e51" /><Relationship Type="http://schemas.openxmlformats.org/officeDocument/2006/relationships/worksheet" Target="/xl/worksheets/sheet6.xml" Id="R3b336f5fe39c43c5" /><Relationship Type="http://schemas.openxmlformats.org/officeDocument/2006/relationships/worksheet" Target="/xl/worksheets/sheet7.xml" Id="Rac7586b008334f88" /><Relationship Type="http://schemas.openxmlformats.org/officeDocument/2006/relationships/worksheet" Target="/xl/worksheets/sheet8.xml" Id="R594a63fdedf54bee" /><Relationship Type="http://schemas.openxmlformats.org/officeDocument/2006/relationships/worksheet" Target="/xl/worksheets/sheet9.xml" Id="Rfeffa0bf3afe4483" /><Relationship Type="http://schemas.openxmlformats.org/officeDocument/2006/relationships/worksheet" Target="/xl/worksheets/sheet10.xml" Id="R4d2f7103606940d5" /><Relationship Type="http://schemas.openxmlformats.org/officeDocument/2006/relationships/worksheet" Target="/xl/worksheets/sheet11.xml" Id="R59d32141f3494dec" /><Relationship Type="http://schemas.openxmlformats.org/officeDocument/2006/relationships/worksheet" Target="/xl/worksheets/sheet12.xml" Id="Rea7ef8c2f8c44097" /><Relationship Type="http://schemas.openxmlformats.org/officeDocument/2006/relationships/worksheet" Target="/xl/worksheets/sheet13.xml" Id="Re4b10600c4b44b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b2ea557aa49d4" /><Relationship Type="http://schemas.openxmlformats.org/officeDocument/2006/relationships/chart" Target="/xl/drawings/charts/chart2.xml" Id="R2344470ed5114e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Reference power demand (MW)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MW</c:v>
          </c:tx>
          <c:cat>
            <c:strRef>
              <c:f>'Summary'!$F$5:$F$7</c:f>
              <c:strCache>
                <c:ptCount val="0"/>
              </c:strCache>
            </c:strRef>
          </c:cat>
          <c:val>
            <c:numRef>
              <c:f>'Summary'!$G$5:$G$7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Preliminary deployment mass (t)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</c:v>
          </c:tx>
          <c:cat>
            <c:strRef>
              <c:f>'Summary'!$F$25:$F$32</c:f>
              <c:strCache>
                <c:ptCount val="0"/>
              </c:strCache>
            </c:strRef>
          </c:cat>
          <c:val>
            <c:numRef>
              <c:f>'Summary'!$G$25:$G$32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b2ea557aa49d4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13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44470ed5114e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e037503f46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5" hidden="0" customWidth="1"/>
    <x:col min="4" max="4" width="49" hidden="0" customWidth="1"/>
    <x:col min="5" max="5" width="3" hidden="0" customWidth="1"/>
    <x:col min="6" max="6" width="32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4" customHeight="1">
      <x:c r="A1" s="4" t="str">
        <x:v>WRG-50 engineering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0" customHeight="1">
      <x:c r="A2" s="6" t="str">
        <x:v>Configuration-level design study for the Department of Resilience regional water force. Reference case: 50,000 m³/day over 50 km.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2" customHeight="1">
      <x:c r="A4" s="18" t="str">
        <x:v>Decision metric</x:v>
      </x:c>
      <x:c r="B4" s="19" t="str">
        <x:v>Value</x:v>
      </x:c>
      <x:c r="C4" s="19" t="str">
        <x:v>Unit</x:v>
      </x:c>
      <x:c r="D4" s="20" t="str">
        <x:v>Interpretation</x:v>
      </x:c>
      <x:c r="E4" s="46"/>
      <x:c r="F4" s="18" t="str">
        <x:v>Power component</x:v>
      </x:c>
      <x:c r="G4" s="20" t="str">
        <x:v>MW</x:v>
      </x:c>
      <x:c r="H4" s="46"/>
      <x:c r="I4" s="46"/>
      <x:c r="J4" s="46"/>
      <x:c r="K4" s="46"/>
      <x:c r="L4" s="46"/>
      <x:c r="M4" s="46"/>
    </x:row>
    <x:row r="5">
      <x:c r="A5" s="29" t="str">
        <x:v>Visualization state</x:v>
      </x:c>
      <x:c r="B5" s="78" t="str">
        <x:f>'R3 Gate'!$B$21</x:f>
        <x:v>R2+</x:v>
      </x:c>
      <x:c r="C5" s="29" t="str">
        <x:v>state</x:v>
      </x:c>
      <x:c r="D5" s="29" t="str">
        <x:v>R3 is required before rendering</x:v>
      </x:c>
      <x:c r="E5" s="46"/>
      <x:c r="F5" s="29" t="str">
        <x:v>Treatment</x:v>
      </x:c>
      <x:c r="G5" s="54" t="n">
        <x:f>'Treatment Cases'!$B$17</x:f>
        <x:v>9.583333333333334</x:v>
      </x:c>
      <x:c r="H5" s="46"/>
      <x:c r="I5" s="46"/>
      <x:c r="J5" s="46"/>
      <x:c r="K5" s="46"/>
      <x:c r="L5" s="46"/>
      <x:c r="M5" s="46"/>
    </x:row>
    <x:row r="6">
      <x:c r="A6" s="29" t="str">
        <x:v>Selected source</x:v>
      </x:c>
      <x:c r="B6" s="78" t="str">
        <x:f>'Controls'!$C$5</x:f>
        <x:v>Seawater</x:v>
      </x:c>
      <x:c r="C6" s="29" t="str">
        <x:v>case</x:v>
      </x:c>
      <x:c r="D6" s="29" t="str">
        <x:v>Treatment feed envelope</x:v>
      </x:c>
      <x:c r="E6" s="46"/>
      <x:c r="F6" s="29" t="str">
        <x:v>Conveyance</x:v>
      </x:c>
      <x:c r="G6" s="54" t="n">
        <x:f>'Hydraulic Reaches'!$C$11</x:f>
        <x:v>1.760897605049949</x:v>
      </x:c>
      <x:c r="H6" s="46"/>
      <x:c r="I6" s="46"/>
      <x:c r="J6" s="46"/>
      <x:c r="K6" s="46"/>
      <x:c r="L6" s="46"/>
      <x:c r="M6" s="46"/>
    </x:row>
    <x:row r="7">
      <x:c r="A7" s="29" t="str">
        <x:v>Product target</x:v>
      </x:c>
      <x:c r="B7" s="50" t="n">
        <x:f>'Controls'!$C$6</x:f>
        <x:v>50000</x:v>
      </x:c>
      <x:c r="C7" s="29" t="str">
        <x:v>m³/day</x:v>
      </x:c>
      <x:c r="D7" s="29" t="str">
        <x:v>Certified treatment output</x:v>
      </x:c>
      <x:c r="E7" s="46"/>
      <x:c r="F7" s="29" t="str">
        <x:v>Installed reserve above average</x:v>
      </x:c>
      <x:c r="G7" s="54" t="n">
        <x:f>(G5+G6)*'Controls'!$C$27</x:f>
        <x:v>3.403269281514985</x:v>
      </x:c>
      <x:c r="H7" s="46"/>
      <x:c r="I7" s="46"/>
      <x:c r="J7" s="46"/>
      <x:c r="K7" s="46"/>
      <x:c r="L7" s="46"/>
      <x:c r="M7" s="46"/>
    </x:row>
    <x:row r="8">
      <x:c r="A8" s="29" t="str">
        <x:v>People at selected service</x:v>
      </x:c>
      <x:c r="B8" s="50" t="n">
        <x:f>'Controls'!$C$6*1000/'Controls'!$C$8</x:f>
        <x:v>1000000</x:v>
      </x:c>
      <x:c r="C8" s="29" t="str">
        <x:v>people</x:v>
      </x:c>
      <x:c r="D8" s="29" t="str">
        <x:v>Point-of-use arithmetic before access loss</x:v>
      </x:c>
      <x:c r="E8" s="46"/>
      <x:c r="F8" s="46"/>
      <x:c r="G8" s="46"/>
      <x:c r="H8" s="46"/>
      <x:c r="I8" s="46"/>
      <x:c r="J8" s="46"/>
      <x:c r="K8" s="46"/>
      <x:c r="L8" s="46"/>
      <x:c r="M8" s="46"/>
    </x:row>
    <x:row r="9">
      <x:c r="A9" s="29" t="str">
        <x:v>Feed requirement</x:v>
      </x:c>
      <x:c r="B9" s="50" t="n">
        <x:f>'Treatment Cases'!$B$15</x:f>
        <x:v>100000</x:v>
      </x:c>
      <x:c r="C9" s="29" t="str">
        <x:v>m³/day</x:v>
      </x:c>
      <x:c r="D9" s="29" t="str">
        <x:v>Selected source intake</x:v>
      </x:c>
      <x:c r="E9" s="46"/>
      <x:c r="F9" s="46"/>
      <x:c r="G9" s="46"/>
      <x:c r="H9" s="46"/>
      <x:c r="I9" s="46"/>
      <x:c r="J9" s="46"/>
      <x:c r="K9" s="46"/>
      <x:c r="L9" s="46"/>
      <x:c r="M9" s="46"/>
    </x:row>
    <x:row r="10">
      <x:c r="A10" s="29" t="str">
        <x:v>Treatment reject</x:v>
      </x:c>
      <x:c r="B10" s="50" t="n">
        <x:f>'Treatment Cases'!$B$16</x:f>
        <x:v>50000</x:v>
      </x:c>
      <x:c r="C10" s="29" t="str">
        <x:v>m³/day</x:v>
      </x:c>
      <x:c r="D10" s="29" t="str">
        <x:v>Source-specific residual stream</x:v>
      </x:c>
      <x:c r="E10" s="46"/>
      <x:c r="F10" s="46"/>
      <x:c r="G10" s="46"/>
      <x:c r="H10" s="46"/>
      <x:c r="I10" s="46"/>
      <x:c r="J10" s="46"/>
      <x:c r="K10" s="46"/>
      <x:c r="L10" s="46"/>
      <x:c r="M10" s="46"/>
    </x:row>
    <x:row r="11">
      <x:c r="A11" s="29" t="str">
        <x:v>Treatment power</x:v>
      </x:c>
      <x:c r="B11" s="50" t="n">
        <x:f>'Treatment Cases'!$B$17</x:f>
        <x:v>9.583333333333334</x:v>
      </x:c>
      <x:c r="C11" s="29" t="str">
        <x:v>MW</x:v>
      </x:c>
      <x:c r="D11" s="29" t="str">
        <x:v>Average including treatment auxiliaries</x:v>
      </x:c>
      <x:c r="E11" s="46"/>
      <x:c r="F11" s="46"/>
      <x:c r="G11" s="46"/>
      <x:c r="H11" s="46"/>
      <x:c r="I11" s="46"/>
      <x:c r="J11" s="46"/>
      <x:c r="K11" s="46"/>
      <x:c r="L11" s="46"/>
      <x:c r="M11" s="46"/>
    </x:row>
    <x:row r="12">
      <x:c r="A12" s="29" t="str">
        <x:v>Hydraulic power</x:v>
      </x:c>
      <x:c r="B12" s="50" t="n">
        <x:f>'Hydraulic Reaches'!$C$11</x:f>
        <x:v>1.760897605049949</x:v>
      </x:c>
      <x:c r="C12" s="29" t="str">
        <x:v>MW</x:v>
      </x:c>
      <x:c r="D12" s="29" t="str">
        <x:v>Average source-to-service conveyance</x:v>
      </x:c>
      <x:c r="E12" s="46"/>
      <x:c r="F12" s="46"/>
      <x:c r="G12" s="46"/>
      <x:c r="H12" s="46"/>
      <x:c r="I12" s="46"/>
      <x:c r="J12" s="46"/>
      <x:c r="K12" s="46"/>
      <x:c r="L12" s="46"/>
      <x:c r="M12" s="46"/>
    </x:row>
    <x:row r="13">
      <x:c r="A13" s="29" t="str">
        <x:v>Pressure zones</x:v>
      </x:c>
      <x:c r="B13" s="50" t="n">
        <x:f>'Hydraulic Reaches'!$C$14</x:f>
        <x:v>4</x:v>
      </x:c>
      <x:c r="C13" s="29" t="str">
        <x:v>count</x:v>
      </x:c>
      <x:c r="D13" s="29" t="str">
        <x:v>Uniform reference; route profile remains open</x:v>
      </x:c>
      <x:c r="E13" s="46"/>
      <x:c r="F13" s="46"/>
      <x:c r="G13" s="46"/>
      <x:c r="H13" s="46"/>
      <x:c r="I13" s="46"/>
      <x:c r="J13" s="46"/>
      <x:c r="K13" s="46"/>
      <x:c r="L13" s="46"/>
      <x:c r="M13" s="46"/>
    </x:row>
    <x:row r="14">
      <x:c r="A14" s="29" t="str">
        <x:v>Total pipe mass</x:v>
      </x:c>
      <x:c r="B14" s="50" t="n">
        <x:f>'Pipe &amp; Lift'!$C$13</x:f>
        <x:v>5836.381018669034</x:v>
      </x:c>
      <x:c r="C14" s="29" t="str">
        <x:v>t</x:v>
      </x:c>
      <x:c r="D14" s="29" t="str">
        <x:v>Two trunks including pipe reserve</x:v>
      </x:c>
      <x:c r="E14" s="46"/>
      <x:c r="F14" s="46"/>
      <x:c r="G14" s="46"/>
      <x:c r="H14" s="46"/>
      <x:c r="I14" s="46"/>
      <x:c r="J14" s="46"/>
      <x:c r="K14" s="46"/>
      <x:c r="L14" s="46"/>
      <x:c r="M14" s="46"/>
    </x:row>
    <x:row r="15">
      <x:c r="A15" s="29" t="str">
        <x:v>Preliminary deployment mass</x:v>
      </x:c>
      <x:c r="B15" s="50" t="n">
        <x:f>'Pipe &amp; Lift'!$B$37</x:f>
        <x:v>23516.171856667163</x:v>
      </x:c>
      <x:c r="C15" s="29" t="str">
        <x:v>t</x:v>
      </x:c>
      <x:c r="D15" s="29" t="str">
        <x:v>Manifest with contingency; stored water excluded</x:v>
      </x:c>
      <x:c r="E15" s="46"/>
      <x:c r="F15" s="46"/>
      <x:c r="G15" s="46"/>
      <x:c r="H15" s="46"/>
      <x:c r="I15" s="46"/>
      <x:c r="J15" s="46"/>
      <x:c r="K15" s="46"/>
      <x:c r="L15" s="46"/>
      <x:c r="M15" s="46"/>
    </x:row>
    <x:row r="16">
      <x:c r="A16" s="29" t="str">
        <x:v>Installed storage volume</x:v>
      </x:c>
      <x:c r="B16" s="50" t="n">
        <x:f>'Storage &amp; Access'!$D$10</x:f>
        <x:v>47916.66666666666</x:v>
      </x:c>
      <x:c r="C16" s="29" t="str">
        <x:v>m³</x:v>
      </x:c>
      <x:c r="D16" s="29" t="str">
        <x:v>Raw, clearwell, break, district and contingency</x:v>
      </x:c>
      <x:c r="E16" s="46"/>
      <x:c r="F16" s="46"/>
      <x:c r="G16" s="46"/>
      <x:c r="H16" s="46"/>
      <x:c r="I16" s="46"/>
      <x:c r="J16" s="46"/>
      <x:c r="K16" s="46"/>
      <x:c r="L16" s="46"/>
      <x:c r="M16" s="46"/>
    </x:row>
    <x:row r="17">
      <x:c r="A17" s="29" t="str">
        <x:v>Gross storage footprint</x:v>
      </x:c>
      <x:c r="B17" s="50" t="n">
        <x:f>'Storage &amp; Access'!$H$10</x:f>
        <x:v>38333.33333333333</x:v>
      </x:c>
      <x:c r="C17" s="29" t="str">
        <x:v>m²</x:v>
      </x:c>
      <x:c r="D17" s="29" t="str">
        <x:v>Reference depth and site factor</x:v>
      </x:c>
      <x:c r="E17" s="46"/>
      <x:c r="F17" s="46"/>
      <x:c r="G17" s="46"/>
      <x:c r="H17" s="46"/>
      <x:c r="I17" s="46"/>
      <x:c r="J17" s="46"/>
      <x:c r="K17" s="46"/>
      <x:c r="L17" s="46"/>
      <x:c r="M17" s="46"/>
    </x:row>
    <x:row r="18">
      <x:c r="A18" s="29" t="str">
        <x:v>Community return flow</x:v>
      </x:c>
      <x:c r="B18" s="50" t="n">
        <x:f>'Return Flows'!$B$5</x:f>
        <x:v>37500</x:v>
      </x:c>
      <x:c r="C18" s="29" t="str">
        <x:v>m³/day</x:v>
      </x:c>
      <x:c r="D18" s="29" t="str">
        <x:v>Wastewater planning load</x:v>
      </x:c>
      <x:c r="E18" s="46"/>
      <x:c r="F18" s="46"/>
      <x:c r="G18" s="46"/>
      <x:c r="H18" s="46"/>
      <x:c r="I18" s="46"/>
      <x:c r="J18" s="46"/>
      <x:c r="K18" s="46"/>
      <x:c r="L18" s="46"/>
      <x:c r="M18" s="46"/>
    </x:row>
    <x:row r="19">
      <x:c r="A19" s="29" t="str">
        <x:v>Temporary wastewater need</x:v>
      </x:c>
      <x:c r="B19" s="50" t="n">
        <x:f>'Return Flows'!$B$7</x:f>
        <x:v>22500</x:v>
      </x:c>
      <x:c r="C19" s="29" t="str">
        <x:v>m³/day</x:v>
      </x:c>
      <x:c r="D19" s="29" t="str">
        <x:v>Gap after assumed surviving local capacity</x:v>
      </x:c>
      <x:c r="E19" s="46"/>
      <x:c r="F19" s="46"/>
      <x:c r="G19" s="46"/>
      <x:c r="H19" s="46"/>
      <x:c r="I19" s="46"/>
      <x:c r="J19" s="46"/>
      <x:c r="K19" s="46"/>
      <x:c r="L19" s="46"/>
      <x:c r="M19" s="46"/>
    </x:row>
    <x:row r="20">
      <x:c r="A20" s="29" t="str">
        <x:v>Selected construction duration</x:v>
      </x:c>
      <x:c r="B20" s="50" t="n">
        <x:f>'Deployment Plan'!$B$11</x:f>
        <x:v>19.666666666666668</x:v>
      </x:c>
      <x:c r="C20" s="29" t="str">
        <x:v>days</x:v>
      </x:c>
      <x:c r="D20" s="29" t="str">
        <x:v>Assumption-driven until tested</x:v>
      </x:c>
      <x:c r="E20" s="46"/>
      <x:c r="F20" s="46"/>
      <x:c r="G20" s="46"/>
      <x:c r="H20" s="46"/>
      <x:c r="I20" s="46"/>
      <x:c r="J20" s="46"/>
      <x:c r="K20" s="46"/>
      <x:c r="L20" s="46"/>
      <x:c r="M20" s="46"/>
    </x:row>
    <x:row r="21">
      <x:c r="A21" s="29" t="str">
        <x:v>Deployed personnel</x:v>
      </x:c>
      <x:c r="B21" s="50" t="n">
        <x:f>'Workforce'!$F$12</x:f>
        <x:v>2720</x:v>
      </x:c>
      <x:c r="C21" s="29" t="str">
        <x:v>people</x:v>
      </x:c>
      <x:c r="D21" s="29" t="str">
        <x:v>Shift-complete reference group</x:v>
      </x:c>
      <x:c r="E21" s="46"/>
      <x:c r="F21" s="46"/>
      <x:c r="G21" s="46"/>
      <x:c r="H21" s="46"/>
      <x:c r="I21" s="46"/>
      <x:c r="J21" s="46"/>
      <x:c r="K21" s="46"/>
      <x:c r="L21" s="46"/>
      <x:c r="M21" s="46"/>
    </x:row>
    <x:row r="22">
      <x:c r="A22" s="29" t="str">
        <x:v>Service establishment</x:v>
      </x:c>
      <x:c r="B22" s="50" t="n">
        <x:f>'Workforce'!$B$21</x:f>
        <x:v>10200</x:v>
      </x:c>
      <x:c r="C22" s="29" t="str">
        <x:v>billets</x:v>
      </x:c>
      <x:c r="D22" s="29" t="str">
        <x:v>Three operational echelons plus training/depot</x:v>
      </x:c>
      <x:c r="E22" s="46"/>
      <x:c r="F22" s="46"/>
      <x:c r="G22" s="46"/>
      <x:c r="H22" s="46"/>
      <x:c r="I22" s="46"/>
      <x:c r="J22" s="46"/>
      <x:c r="K22" s="46"/>
      <x:c r="L22" s="46"/>
      <x:c r="M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</x:row>
    <x:row r="24" ht="32" customHeight="1">
      <x:c r="A24" s="46"/>
      <x:c r="B24" s="46"/>
      <x:c r="C24" s="46"/>
      <x:c r="D24" s="46"/>
      <x:c r="E24" s="46"/>
      <x:c r="F24" s="18" t="str">
        <x:v>Mass category</x:v>
      </x:c>
      <x:c r="G24" s="20" t="str">
        <x:v>t</x:v>
      </x:c>
      <x:c r="H24" s="46"/>
      <x:c r="I24" s="46"/>
      <x:c r="J24" s="46"/>
      <x:c r="K24" s="46"/>
      <x:c r="L24" s="46"/>
      <x:c r="M24" s="46"/>
    </x:row>
    <x:row r="25">
      <x:c r="A25" s="47" t="str">
        <x:v>Decision findings</x:v>
      </x:c>
      <x:c r="B25" s="48"/>
      <x:c r="C25" s="48"/>
      <x:c r="D25" s="49"/>
      <x:c r="E25" s="46"/>
      <x:c r="F25" s="29" t="str">
        <x:v>Conveyance</x:v>
      </x:c>
      <x:c r="G25" s="45" t="n">
        <x:f>SUMIF('Pipe &amp; Lift'!$A$18:$A$33,F25,'Pipe &amp; Lift'!$F$18:$F$33)</x:f>
        <x:v>6960.845092754056</x:v>
      </x:c>
      <x:c r="H25" s="46"/>
      <x:c r="I25" s="46"/>
      <x:c r="J25" s="46"/>
      <x:c r="K25" s="46"/>
      <x:c r="L25" s="46"/>
      <x:c r="M25" s="46"/>
    </x:row>
    <x:row r="26">
      <x:c r="A26" s="46"/>
      <x:c r="B26" s="46"/>
      <x:c r="C26" s="46"/>
      <x:c r="D26" s="46"/>
      <x:c r="E26" s="46"/>
      <x:c r="F26" s="29" t="str">
        <x:v>Treatment</x:v>
      </x:c>
      <x:c r="G26" s="45" t="n">
        <x:f>SUMIF('Pipe &amp; Lift'!$A$18:$A$33,F26,'Pipe &amp; Lift'!$F$18:$F$33)</x:f>
        <x:v>2580</x:v>
      </x:c>
      <x:c r="H26" s="46"/>
      <x:c r="I26" s="46"/>
      <x:c r="J26" s="46"/>
      <x:c r="K26" s="46"/>
      <x:c r="L26" s="46"/>
      <x:c r="M26" s="46"/>
    </x:row>
    <x:row r="27" ht="32" customHeight="1">
      <x:c r="A27" s="18" t="str">
        <x:v>Finding</x:v>
      </x:c>
      <x:c r="B27" s="19" t="str">
        <x:v>Implication</x:v>
      </x:c>
      <x:c r="C27" s="19" t="str">
        <x:v>Program decision</x:v>
      </x:c>
      <x:c r="D27" s="20" t="str">
        <x:v>Current limit</x:v>
      </x:c>
      <x:c r="E27" s="46"/>
      <x:c r="F27" s="29" t="str">
        <x:v>Construction</x:v>
      </x:c>
      <x:c r="G27" s="45" t="n">
        <x:f>SUMIF('Pipe &amp; Lift'!$A$18:$A$33,F27,'Pipe &amp; Lift'!$F$18:$F$33)</x:f>
        <x:v>1920</x:v>
      </x:c>
      <x:c r="H27" s="46"/>
      <x:c r="I27" s="46"/>
      <x:c r="J27" s="46"/>
      <x:c r="K27" s="46"/>
      <x:c r="L27" s="46"/>
      <x:c r="M27" s="46"/>
    </x:row>
    <x:row r="28">
      <x:c r="A28" s="29" t="str">
        <x:v>The trunk is a multi-thousand-tonne civil system</x:v>
      </x:c>
      <x:c r="B28" s="29" t="str">
        <x:v>Air delivery cannot be the main installation mode</x:v>
      </x:c>
      <x:c r="C28" s="29" t="str">
        <x:v>Fund rail, sealift, heavy handling and a mobile pipeline factory</x:v>
      </x:c>
      <x:c r="D28" s="29" t="str">
        <x:v>Manifest dimensions and reception network remain open</x:v>
      </x:c>
      <x:c r="E28" s="46"/>
      <x:c r="F28" s="29" t="str">
        <x:v>Mobility</x:v>
      </x:c>
      <x:c r="G28" s="45" t="n">
        <x:f>SUMIF('Pipe &amp; Lift'!$A$18:$A$33,F28,'Pipe &amp; Lift'!$F$18:$F$33)</x:f>
        <x:v>3960</x:v>
      </x:c>
      <x:c r="H28" s="46"/>
      <x:c r="I28" s="46"/>
      <x:c r="J28" s="46"/>
      <x:c r="K28" s="46"/>
      <x:c r="L28" s="46"/>
      <x:c r="M28" s="46"/>
    </x:row>
    <x:row r="29">
      <x:c r="A29" s="29" t="str">
        <x:v>Treatment and conveyance power are both material</x:v>
      </x:c>
      <x:c r="B29" s="29" t="str">
        <x:v>The active source case changes plant power and residuals</x:v>
      </x:c>
      <x:c r="C29" s="29" t="str">
        <x:v>Acquire source-specific trains behind common product interfaces</x:v>
      </x:c>
      <x:c r="D29" s="29" t="str">
        <x:v>Fresh and brackish inputs are provisional</x:v>
      </x:c>
      <x:c r="E29" s="46"/>
      <x:c r="F29" s="29" t="str">
        <x:v>Sanitation</x:v>
      </x:c>
      <x:c r="G29" s="45" t="n">
        <x:f>SUMIF('Pipe &amp; Lift'!$A$18:$A$33,F29,'Pipe &amp; Lift'!$F$18:$F$33)</x:f>
        <x:v>1620</x:v>
      </x:c>
      <x:c r="H29" s="46"/>
      <x:c r="I29" s="46"/>
      <x:c r="J29" s="46"/>
      <x:c r="K29" s="46"/>
      <x:c r="L29" s="46"/>
      <x:c r="M29" s="46"/>
    </x:row>
    <x:row r="30">
      <x:c r="A30" s="29" t="str">
        <x:v>Wastewater and concentrate can rival potable output</x:v>
      </x:c>
      <x:c r="B30" s="29" t="str">
        <x:v>Water service can create a second emergency</x:v>
      </x:c>
      <x:c r="C30" s="29" t="str">
        <x:v>Deploy W-5 sanitation and residuals with every regional group</x:v>
      </x:c>
      <x:c r="D30" s="29" t="str">
        <x:v>Influent and receiving-site cases remain open</x:v>
      </x:c>
      <x:c r="E30" s="46"/>
      <x:c r="F30" s="29" t="str">
        <x:v>Support</x:v>
      </x:c>
      <x:c r="G30" s="45" t="n">
        <x:f>SUMIF('Pipe &amp; Lift'!$A$18:$A$33,F30,'Pipe &amp; Lift'!$F$18:$F$33)</x:f>
        <x:v>1440</x:v>
      </x:c>
      <x:c r="H30" s="46"/>
      <x:c r="I30" s="46"/>
      <x:c r="J30" s="46"/>
      <x:c r="K30" s="46"/>
      <x:c r="L30" s="46"/>
      <x:c r="M30" s="46"/>
    </x:row>
    <x:row r="31">
      <x:c r="A31" s="29" t="str">
        <x:v>Current state is R2+</x:v>
      </x:c>
      <x:c r="B31" s="29" t="str">
        <x:v>Concept balances cohere but hardware has not closed</x:v>
      </x:c>
      <x:c r="C31" s="29" t="str">
        <x:v>Do not render or specify a platform yet</x:v>
      </x:c>
      <x:c r="D31" s="29" t="str">
        <x:v>Pressure transients, manifests, productivity and maintenance require evidence</x:v>
      </x:c>
      <x:c r="E31" s="46"/>
      <x:c r="F31" s="29" t="str">
        <x:v>Other</x:v>
      </x:c>
      <x:c r="G31" s="45" t="n">
        <x:f>SUM('Pipe &amp; Lift'!$F$18:$F$33)-SUM(G25:G30)</x:f>
        <x:v>1968</x:v>
      </x:c>
      <x:c r="H31" s="46"/>
      <x:c r="I31" s="46"/>
      <x:c r="J31" s="46"/>
      <x:c r="K31" s="46"/>
      <x:c r="L31" s="46"/>
      <x:c r="M31" s="46"/>
    </x:row>
    <x:row r="32">
      <x:c r="A32" s="46"/>
      <x:c r="B32" s="46"/>
      <x:c r="C32" s="46"/>
      <x:c r="D32" s="46"/>
      <x:c r="E32" s="46"/>
      <x:c r="F32" s="29" t="str">
        <x:v>Contingency</x:v>
      </x:c>
      <x:c r="G32" s="45" t="n">
        <x:f>SUM('Pipe &amp; Lift'!$F$18:$F$33)*'Controls'!$C$26</x:f>
        <x:v>3067.326763913108</x:v>
      </x:c>
      <x:c r="H32" s="46"/>
      <x:c r="I32" s="46"/>
      <x:c r="J32" s="46"/>
      <x:c r="K32" s="46"/>
      <x:c r="L32" s="46"/>
      <x:c r="M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</x:row>
  </x:sheetData>
  <x:conditionalFormatting sqref="B5:B5">
    <x:cfRule type="containsText" dxfId="8" priority="1" operator="containsText" text="R2+"/>
    <x:cfRule type="containsText" dxfId="9" priority="2" operator="containsText" text="R3"/>
  </x:conditionalFormatting>
  <x:pageMargins left="0.7" right="0.7" top="0.75" bottom="0.75" header="0.3" footer="0.3"/>
  <x:drawing xmlns:r="http://schemas.openxmlformats.org/officeDocument/2006/relationships" r:id="Re2e037503f46487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8" hidden="0" customWidth="1"/>
    <x:col min="4" max="4" width="48" hidden="0" customWidth="1"/>
    <x:col min="5" max="5" width="22" hidden="0" customWidth="1"/>
  </x:cols>
  <x:sheetData>
    <x:row r="1" ht="24" customHeight="1">
      <x:c r="A1" s="4" t="str">
        <x:v>WRG-50 controls</x:v>
      </x:c>
      <x:c r="B1" s="5"/>
      <x:c r="C1" s="5"/>
      <x:c r="D1" s="5"/>
      <x:c r="E1" s="5"/>
    </x:row>
    <x:row r="2" ht="30" customHeight="1">
      <x:c r="A2" s="6" t="str">
        <x:v>Yellow cells are editable design-study inputs. Units remain explicit and formulas update across the workbook.</x:v>
      </x:c>
      <x:c r="B2" s="6"/>
      <x:c r="C2" s="6"/>
      <x:c r="D2" s="6"/>
      <x:c r="E2" s="6"/>
    </x:row>
    <x:row r="4" ht="32" customHeight="1">
      <x:c r="A4" s="18" t="str">
        <x:v>Parameter</x:v>
      </x:c>
      <x:c r="B4" s="19" t="str">
        <x:v>Unit</x:v>
      </x:c>
      <x:c r="C4" s="19" t="str">
        <x:v>Value</x:v>
      </x:c>
      <x:c r="D4" s="19" t="str">
        <x:v>Basis</x:v>
      </x:c>
      <x:c r="E4" s="20" t="str">
        <x:v>Evidence status</x:v>
      </x:c>
    </x:row>
    <x:row r="5">
      <x:c r="A5" s="29" t="str">
        <x:v>Source case</x:v>
      </x:c>
      <x:c r="B5" s="29" t="str">
        <x:v>case</x:v>
      </x:c>
      <x:c r="C5" s="30" t="str">
        <x:v>Seawater</x:v>
      </x:c>
      <x:c r="D5" s="29" t="str">
        <x:v>Select the active treatment envelope</x:v>
      </x:c>
      <x:c r="E5" s="29" t="str">
        <x:v>Scenario control</x:v>
      </x:c>
    </x:row>
    <x:row r="6">
      <x:c r="A6" s="29" t="str">
        <x:v>Target product</x:v>
      </x:c>
      <x:c r="B6" s="29" t="str">
        <x:v>m³/day</x:v>
      </x:c>
      <x:c r="C6" s="31" t="n">
        <x:v>50000</x:v>
      </x:c>
      <x:c r="D6" s="29" t="str">
        <x:v>WRG-50 reference output</x:v>
      </x:c>
      <x:c r="E6" s="29" t="str">
        <x:v>Design target</x:v>
      </x:c>
    </x:row>
    <x:row r="7">
      <x:c r="A7" s="29" t="str">
        <x:v>Supported population</x:v>
      </x:c>
      <x:c r="B7" s="29" t="str">
        <x:v>people</x:v>
      </x:c>
      <x:c r="C7" s="31" t="n">
        <x:v>1000000</x:v>
      </x:c>
      <x:c r="D7" s="29" t="str">
        <x:v>Reference campaign population</x:v>
      </x:c>
      <x:c r="E7" s="29" t="str">
        <x:v>Design target</x:v>
      </x:c>
    </x:row>
    <x:row r="8">
      <x:c r="A8" s="29" t="str">
        <x:v>Selected service level</x:v>
      </x:c>
      <x:c r="B8" s="29" t="str">
        <x:v>L/person/day</x:v>
      </x:c>
      <x:c r="C8" s="32" t="n">
        <x:v>50</x:v>
      </x:c>
      <x:c r="D8" s="29" t="str">
        <x:v>Expanded emergency community service</x:v>
      </x:c>
      <x:c r="E8" s="29" t="str">
        <x:v>Design target</x:v>
      </x:c>
    </x:row>
    <x:row r="9">
      <x:c r="A9" s="29" t="str">
        <x:v>Route length</x:v>
      </x:c>
      <x:c r="B9" s="29" t="str">
        <x:v>km</x:v>
      </x:c>
      <x:c r="C9" s="32" t="n">
        <x:v>50</x:v>
      </x:c>
      <x:c r="D9" s="29" t="str">
        <x:v>Reference source-to-service route</x:v>
      </x:c>
      <x:c r="E9" s="29" t="str">
        <x:v>Design assumption</x:v>
      </x:c>
    </x:row>
    <x:row r="10">
      <x:c r="A10" s="29" t="str">
        <x:v>Net static rise</x:v>
      </x:c>
      <x:c r="B10" s="29" t="str">
        <x:v>m</x:v>
      </x:c>
      <x:c r="C10" s="32" t="n">
        <x:v>50</x:v>
      </x:c>
      <x:c r="D10" s="29" t="str">
        <x:v>Reference route elevation change</x:v>
      </x:c>
      <x:c r="E10" s="29" t="str">
        <x:v>Design assumption</x:v>
      </x:c>
    </x:row>
    <x:row r="11">
      <x:c r="A11" s="29" t="str">
        <x:v>Parallel trunk lines</x:v>
      </x:c>
      <x:c r="B11" s="29" t="str">
        <x:v>count</x:v>
      </x:c>
      <x:c r="C11" s="33" t="n">
        <x:v>2</x:v>
      </x:c>
      <x:c r="D11" s="29" t="str">
        <x:v>Two-line degraded-service architecture</x:v>
      </x:c>
      <x:c r="E11" s="29" t="str">
        <x:v>Design assumption</x:v>
      </x:c>
    </x:row>
    <x:row r="12">
      <x:c r="A12" s="29" t="str">
        <x:v>Internal pipe diameter</x:v>
      </x:c>
      <x:c r="B12" s="29" t="str">
        <x:v>m</x:v>
      </x:c>
      <x:c r="C12" s="34" t="n">
        <x:v>0.5</x:v>
      </x:c>
      <x:c r="D12" s="29" t="str">
        <x:v>Reference trunk internal diameter</x:v>
      </x:c>
      <x:c r="E12" s="29" t="str">
        <x:v>Design assumption</x:v>
      </x:c>
    </x:row>
    <x:row r="13">
      <x:c r="A13" s="29" t="str">
        <x:v>Darcy friction factor</x:v>
      </x:c>
      <x:c r="B13" s="29" t="str">
        <x:v>dimensionless</x:v>
      </x:c>
      <x:c r="C13" s="34" t="n">
        <x:v>0.015</x:v>
      </x:c>
      <x:c r="D13" s="29" t="str">
        <x:v>Reference value; route model must test 0.012–0.020</x:v>
      </x:c>
      <x:c r="E13" s="29" t="str">
        <x:v>Engineering assumption</x:v>
      </x:c>
    </x:row>
    <x:row r="14">
      <x:c r="A14" s="29" t="str">
        <x:v>Pump efficiency</x:v>
      </x:c>
      <x:c r="B14" s="29" t="str">
        <x:v>%</x:v>
      </x:c>
      <x:c r="C14" s="35" t="n">
        <x:v>0.75</x:v>
      </x:c>
      <x:c r="D14" s="29" t="str">
        <x:v>Combined pump and drive efficiency</x:v>
      </x:c>
      <x:c r="E14" s="29" t="str">
        <x:v>Engineering assumption</x:v>
      </x:c>
    </x:row>
    <x:row r="15">
      <x:c r="A15" s="29" t="str">
        <x:v>Minor-loss factor</x:v>
      </x:c>
      <x:c r="B15" s="29" t="str">
        <x:v>% of friction head</x:v>
      </x:c>
      <x:c r="C15" s="35" t="n">
        <x:v>0.1</x:v>
      </x:c>
      <x:c r="D15" s="29" t="str">
        <x:v>Valves, fittings and local losses</x:v>
      </x:c>
      <x:c r="E15" s="29" t="str">
        <x:v>Engineering assumption</x:v>
      </x:c>
    </x:row>
    <x:row r="16">
      <x:c r="A16" s="29" t="str">
        <x:v>Pipe dimension ratio</x:v>
      </x:c>
      <x:c r="B16" s="29" t="str">
        <x:v>DR</x:v>
      </x:c>
      <x:c r="C16" s="32" t="n">
        <x:v>17</x:v>
      </x:c>
      <x:c r="D16" s="29" t="str">
        <x:v>Illustrative PE4710 geometry</x:v>
      </x:c>
      <x:c r="E16" s="29" t="str">
        <x:v>Industry reference</x:v>
      </x:c>
    </x:row>
    <x:row r="17">
      <x:c r="A17" s="29" t="str">
        <x:v>Pipe material density</x:v>
      </x:c>
      <x:c r="B17" s="29" t="str">
        <x:v>kg/m³</x:v>
      </x:c>
      <x:c r="C17" s="32" t="n">
        <x:v>950</x:v>
      </x:c>
      <x:c r="D17" s="29" t="str">
        <x:v>Illustrative polyethylene density</x:v>
      </x:c>
      <x:c r="E17" s="29" t="str">
        <x:v>Engineering assumption</x:v>
      </x:c>
    </x:row>
    <x:row r="18">
      <x:c r="A18" s="29" t="str">
        <x:v>Maximum operating pressure</x:v>
      </x:c>
      <x:c r="B18" s="29" t="str">
        <x:v>psi</x:v>
      </x:c>
      <x:c r="C18" s="32" t="n">
        <x:v>100</x:v>
      </x:c>
      <x:c r="D18" s="29" t="str">
        <x:v>Selected operating ceiling below nominal pressure class</x:v>
      </x:c>
      <x:c r="E18" s="29" t="str">
        <x:v>Design choice</x:v>
      </x:c>
    </x:row>
    <x:row r="19">
      <x:c r="A19" s="29" t="str">
        <x:v>Product buffer</x:v>
      </x:c>
      <x:c r="B19" s="29" t="str">
        <x:v>hours</x:v>
      </x:c>
      <x:c r="C19" s="32" t="n">
        <x:v>12</x:v>
      </x:c>
      <x:c r="D19" s="29" t="str">
        <x:v>Treatment and demand decoupling</x:v>
      </x:c>
      <x:c r="E19" s="29" t="str">
        <x:v>Design assumption</x:v>
      </x:c>
    </x:row>
    <x:row r="20">
      <x:c r="A20" s="29" t="str">
        <x:v>District reserve</x:v>
      </x:c>
      <x:c r="B20" s="29" t="str">
        <x:v>hours</x:v>
      </x:c>
      <x:c r="C20" s="32" t="n">
        <x:v>6</x:v>
      </x:c>
      <x:c r="D20" s="29" t="str">
        <x:v>Distributed accessible reserve</x:v>
      </x:c>
      <x:c r="E20" s="29" t="str">
        <x:v>Design assumption</x:v>
      </x:c>
    </x:row>
    <x:row r="21">
      <x:c r="A21" s="29" t="str">
        <x:v>Community return-flow ratio</x:v>
      </x:c>
      <x:c r="B21" s="29" t="str">
        <x:v>%</x:v>
      </x:c>
      <x:c r="C21" s="35" t="n">
        <x:v>0.75</x:v>
      </x:c>
      <x:c r="D21" s="29" t="str">
        <x:v>Wastewater planning midpoint of 60–90% band</x:v>
      </x:c>
      <x:c r="E21" s="29" t="str">
        <x:v>Design assumption</x:v>
      </x:c>
    </x:row>
    <x:row r="22">
      <x:c r="A22" s="29" t="str">
        <x:v>Construction mode</x:v>
      </x:c>
      <x:c r="B22" s="29" t="str">
        <x:v>case</x:v>
      </x:c>
      <x:c r="C22" s="30" t="str">
        <x:v>Surface rapid</x:v>
      </x:c>
      <x:c r="D22" s="29" t="str">
        <x:v>Select route construction case</x:v>
      </x:c>
      <x:c r="E22" s="29" t="str">
        <x:v>Scenario control</x:v>
      </x:c>
    </x:row>
    <x:row r="23">
      <x:c r="A23" s="29" t="str">
        <x:v>Rapid-mode work fronts</x:v>
      </x:c>
      <x:c r="B23" s="29" t="str">
        <x:v>count</x:v>
      </x:c>
      <x:c r="C23" s="33" t="n">
        <x:v>5</x:v>
      </x:c>
      <x:c r="D23" s="29" t="str">
        <x:v>Parallel route-production lines</x:v>
      </x:c>
      <x:c r="E23" s="29" t="str">
        <x:v>Design assumption</x:v>
      </x:c>
    </x:row>
    <x:row r="24">
      <x:c r="A24" s="29" t="str">
        <x:v>Force-generation echelons</x:v>
      </x:c>
      <x:c r="B24" s="29" t="str">
        <x:v>count</x:v>
      </x:c>
      <x:c r="C24" s="33" t="n">
        <x:v>3</x:v>
      </x:c>
      <x:c r="D24" s="29" t="str">
        <x:v>Deployed, ready and reset reference</x:v>
      </x:c>
      <x:c r="E24" s="29" t="str">
        <x:v>Force assumption</x:v>
      </x:c>
    </x:row>
    <x:row r="25">
      <x:c r="A25" s="29" t="str">
        <x:v>Pipe reserve</x:v>
      </x:c>
      <x:c r="B25" s="29" t="str">
        <x:v>%</x:v>
      </x:c>
      <x:c r="C25" s="35" t="n">
        <x:v>0.1</x:v>
      </x:c>
      <x:c r="D25" s="29" t="str">
        <x:v>Damage, bypass and route reserve</x:v>
      </x:c>
      <x:c r="E25" s="29" t="str">
        <x:v>Design assumption</x:v>
      </x:c>
    </x:row>
    <x:row r="26">
      <x:c r="A26" s="29" t="str">
        <x:v>Equipment mass contingency</x:v>
      </x:c>
      <x:c r="B26" s="29" t="str">
        <x:v>%</x:v>
      </x:c>
      <x:c r="C26" s="35" t="n">
        <x:v>0.15</x:v>
      </x:c>
      <x:c r="D26" s="29" t="str">
        <x:v>Preliminary manifest incompleteness</x:v>
      </x:c>
      <x:c r="E26" s="29" t="str">
        <x:v>Design assumption</x:v>
      </x:c>
    </x:row>
    <x:row r="27">
      <x:c r="A27" s="29" t="str">
        <x:v>Power reserve</x:v>
      </x:c>
      <x:c r="B27" s="29" t="str">
        <x:v>%</x:v>
      </x:c>
      <x:c r="C27" s="35" t="n">
        <x:v>0.3</x:v>
      </x:c>
      <x:c r="D27" s="29" t="str">
        <x:v>Installed power above average load</x:v>
      </x:c>
      <x:c r="E27" s="29" t="str">
        <x:v>Design assumption</x:v>
      </x:c>
    </x:row>
    <x:row r="28">
      <x:c r="A28" s="29" t="str">
        <x:v>Pipe temperature factor</x:v>
      </x:c>
      <x:c r="B28" s="29" t="str">
        <x:v>factor</x:v>
      </x:c>
      <x:c r="C28" s="32" t="n">
        <x:v>1</x:v>
      </x:c>
      <x:c r="D28" s="29" t="str">
        <x:v>Must be reduced for elevated service temperature</x:v>
      </x:c>
      <x:c r="E28" s="29" t="str">
        <x:v>Industry reference</x:v>
      </x:c>
    </x:row>
    <x:row r="29">
      <x:c r="A29" s="29" t="str">
        <x:v>Pipe pressure class</x:v>
      </x:c>
      <x:c r="B29" s="29" t="str">
        <x:v>psi</x:v>
      </x:c>
      <x:c r="C29" s="32" t="n">
        <x:v>125</x:v>
      </x:c>
      <x:c r="D29" s="29" t="str">
        <x:v>PE4710 DR17 reference at standard temperature</x:v>
      </x:c>
      <x:c r="E29" s="29" t="str">
        <x:v>Industry reference</x:v>
      </x:c>
    </x:row>
    <x:row r="30">
      <x:c r="A30" s="29" t="str">
        <x:v>Raw-water buffer</x:v>
      </x:c>
      <x:c r="B30" s="29" t="str">
        <x:v>hours</x:v>
      </x:c>
      <x:c r="C30" s="32" t="n">
        <x:v>4</x:v>
      </x:c>
      <x:c r="D30" s="29" t="str">
        <x:v>Source interruption buffer</x:v>
      </x:c>
      <x:c r="E30" s="29" t="str">
        <x:v>Design assumption</x:v>
      </x:c>
    </x:row>
    <x:row r="31">
      <x:c r="A31" s="29" t="str">
        <x:v>Plant clearwell</x:v>
      </x:c>
      <x:c r="B31" s="29" t="str">
        <x:v>hours</x:v>
      </x:c>
      <x:c r="C31" s="32" t="n">
        <x:v>2</x:v>
      </x:c>
      <x:c r="D31" s="29" t="str">
        <x:v>Disinfection/contact and plant buffer</x:v>
      </x:c>
      <x:c r="E31" s="29" t="str">
        <x:v>Design assumption</x:v>
      </x:c>
    </x:row>
    <x:row r="32">
      <x:c r="A32" s="29" t="str">
        <x:v>Break storage per active zone</x:v>
      </x:c>
      <x:c r="B32" s="29" t="str">
        <x:v>hours</x:v>
      </x:c>
      <x:c r="C32" s="32" t="n">
        <x:v>1</x:v>
      </x:c>
      <x:c r="D32" s="29" t="str">
        <x:v>One throughput-hour at each inter-zone break</x:v>
      </x:c>
      <x:c r="E32" s="29" t="str">
        <x:v>Design assumption</x:v>
      </x:c>
    </x:row>
    <x:row r="33">
      <x:c r="A33" s="29" t="str">
        <x:v>Contingency product reserve</x:v>
      </x:c>
      <x:c r="B33" s="29" t="str">
        <x:v>hours</x:v>
      </x:c>
      <x:c r="C33" s="32" t="n">
        <x:v>4</x:v>
      </x:c>
      <x:c r="D33" s="29" t="str">
        <x:v>Isolated reserve outside normal demand cycle</x:v>
      </x:c>
      <x:c r="E33" s="29" t="str">
        <x:v>Design assumption</x:v>
      </x:c>
    </x:row>
    <x:row r="34">
      <x:c r="A34" s="29" t="str">
        <x:v>Existing wastewater acceptance</x:v>
      </x:c>
      <x:c r="B34" s="29" t="str">
        <x:v>% of return flow</x:v>
      </x:c>
      <x:c r="C34" s="35" t="n">
        <x:v>0.4</x:v>
      </x:c>
      <x:c r="D34" s="29" t="str">
        <x:v>Surviving local treatment assumption</x:v>
      </x:c>
      <x:c r="E34" s="29" t="str">
        <x:v>Scenario assumption</x:v>
      </x:c>
    </x:row>
    <x:row r="35">
      <x:c r="A35" s="29" t="str">
        <x:v>Treatment residual factor</x:v>
      </x:c>
      <x:c r="B35" s="29" t="str">
        <x:v>% of product</x:v>
      </x:c>
      <x:c r="C35" s="35" t="n">
        <x:v>0.02</x:v>
      </x:c>
      <x:c r="D35" s="29" t="str">
        <x:v>Backwash and clean-in-place planning factor</x:v>
      </x:c>
      <x:c r="E35" s="29" t="str">
        <x:v>Engineering assumption</x:v>
      </x:c>
    </x:row>
    <x:row r="36">
      <x:c r="A36" s="29" t="str">
        <x:v>Storage site factor</x:v>
      </x:c>
      <x:c r="B36" s="29" t="str">
        <x:v>gross/net area</x:v>
      </x:c>
      <x:c r="C36" s="32" t="n">
        <x:v>2</x:v>
      </x:c>
      <x:c r="D36" s="29" t="str">
        <x:v>Berms, separation, access and protection</x:v>
      </x:c>
      <x:c r="E36" s="29" t="str">
        <x:v>Design assumption</x:v>
      </x:c>
    </x:row>
    <x:row r="37">
      <x:c r="A37" s="29" t="str">
        <x:v>Usable storage depth</x:v>
      </x:c>
      <x:c r="B37" s="29" t="str">
        <x:v>m</x:v>
      </x:c>
      <x:c r="C37" s="32" t="n">
        <x:v>2.5</x:v>
      </x:c>
      <x:c r="D37" s="29" t="str">
        <x:v>Rapid reservoir reference</x:v>
      </x:c>
      <x:c r="E37" s="29" t="str">
        <x:v>Design assumption</x:v>
      </x:c>
    </x:row>
  </x:sheetData>
  <x:dataValidations count="2">
    <x:dataValidation type="list" sqref="C5">
      <x:formula1>"Fresh surface,Brackish,Seawater"</x:formula1>
    </x:dataValidation>
    <x:dataValidation type="list" sqref="C22">
      <x:formula1>"Surface rapid,Shallow protected,Enduring"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20" hidden="0" customWidth="1"/>
    <x:col min="4" max="4" width="19" hidden="0" customWidth="1"/>
    <x:col min="5" max="5" width="22" hidden="0" customWidth="1"/>
    <x:col min="6" max="6" width="20" hidden="0" customWidth="1"/>
    <x:col min="7" max="7" width="44" hidden="0" customWidth="1"/>
    <x:col min="8" max="8" width="17" hidden="0" customWidth="1"/>
  </x:cols>
  <x:sheetData>
    <x:row r="1" ht="24" customHeight="1">
      <x:c r="A1" s="4" t="str">
        <x:v>Delivered water demand</x:v>
      </x:c>
      <x:c r="B1" s="5"/>
      <x:c r="C1" s="5"/>
      <x:c r="D1" s="5"/>
      <x:c r="E1" s="5"/>
      <x:c r="F1" s="5"/>
      <x:c r="G1" s="5"/>
      <x:c r="H1" s="5"/>
    </x:row>
    <x:row r="2" ht="30" customHeight="1">
      <x:c r="A2" s="6" t="str">
        <x:v>Population-service-time demand is measured at point of use, not at the treatment outlet.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8" t="str">
        <x:v>Service condition</x:v>
      </x:c>
      <x:c r="B4" s="19" t="str">
        <x:v>L/person/day</x:v>
      </x:c>
      <x:c r="C4" s="19" t="str">
        <x:v>Reference population</x:v>
      </x:c>
      <x:c r="D4" s="19" t="str">
        <x:v>Demand (m³/day)</x:v>
      </x:c>
      <x:c r="E4" s="19" t="str">
        <x:v>People served by WRG-50</x:v>
      </x:c>
      <x:c r="F4" s="19" t="str">
        <x:v>Daily water mass (t)</x:v>
      </x:c>
      <x:c r="G4" s="19" t="str">
        <x:v>Access interpretation</x:v>
      </x:c>
      <x:c r="H4" s="20" t="str">
        <x:v>Evidence status</x:v>
      </x:c>
    </x:row>
    <x:row r="5">
      <x:c r="A5" s="29" t="str">
        <x:v>Immediate household floor</x:v>
      </x:c>
      <x:c r="B5" s="44" t="n">
        <x:v>3.8</x:v>
      </x:c>
      <x:c r="C5" s="45" t="n">
        <x:f>'Controls'!$C$7</x:f>
        <x:v>1000000</x:v>
      </x:c>
      <x:c r="D5" s="45" t="n">
        <x:f>B5*C5/1000</x:f>
        <x:v>3800</x:v>
      </x:c>
      <x:c r="E5" s="45" t="n">
        <x:f>'Controls'!$C$6*1000/B5</x:f>
        <x:v>13157894.736842105</x:v>
      </x:c>
      <x:c r="F5" s="45" t="n">
        <x:f>D5</x:f>
        <x:v>3800</x:v>
      </x:c>
      <x:c r="G5" s="29" t="str">
        <x:v>Household emergency floor; limited hygiene</x:v>
      </x:c>
      <x:c r="H5" s="29" t="str">
        <x:v>CDC/derived</x:v>
      </x:c>
    </x:row>
    <x:row r="6">
      <x:c r="A6" s="29" t="str">
        <x:v>Emergency public health</x:v>
      </x:c>
      <x:c r="B6" s="44" t="n">
        <x:v>15</x:v>
      </x:c>
      <x:c r="C6" s="45" t="n">
        <x:f>'Controls'!$C$7</x:f>
        <x:v>1000000</x:v>
      </x:c>
      <x:c r="D6" s="45" t="n">
        <x:f>B6*C6/1000</x:f>
        <x:v>15000</x:v>
      </x:c>
      <x:c r="E6" s="45" t="n">
        <x:f>'Controls'!$C$6*1000/B6</x:f>
        <x:v>3333333.3333333335</x:v>
      </x:c>
      <x:c r="F6" s="45" t="n">
        <x:f>D6</x:f>
        <x:v>15000</x:v>
      </x:c>
      <x:c r="G6" s="29" t="str">
        <x:v>Survival service with constrained hygiene</x:v>
      </x:c>
      <x:c r="H6" s="29" t="str">
        <x:v>WHO/derived</x:v>
      </x:c>
    </x:row>
    <x:row r="7">
      <x:c r="A7" s="29" t="str">
        <x:v>Stabilized basic</x:v>
      </x:c>
      <x:c r="B7" s="44" t="n">
        <x:v>20</x:v>
      </x:c>
      <x:c r="C7" s="45" t="n">
        <x:f>'Controls'!$C$7</x:f>
        <x:v>1000000</x:v>
      </x:c>
      <x:c r="D7" s="45" t="n">
        <x:f>B7*C7/1000</x:f>
        <x:v>20000</x:v>
      </x:c>
      <x:c r="E7" s="45" t="n">
        <x:f>'Controls'!$C$6*1000/B7</x:f>
        <x:v>2500000</x:v>
      </x:c>
      <x:c r="F7" s="45" t="n">
        <x:f>D7</x:f>
        <x:v>20000</x:v>
      </x:c>
      <x:c r="G7" s="29" t="str">
        <x:v>Drinking, cooking and basic hand/face hygiene</x:v>
      </x:c>
      <x:c r="H7" s="29" t="str">
        <x:v>WHO/derived</x:v>
      </x:c>
    </x:row>
    <x:row r="8">
      <x:c r="A8" s="29" t="str">
        <x:v>Expanded community</x:v>
      </x:c>
      <x:c r="B8" s="44" t="n">
        <x:v>50</x:v>
      </x:c>
      <x:c r="C8" s="45" t="n">
        <x:f>'Controls'!$C$7</x:f>
        <x:v>1000000</x:v>
      </x:c>
      <x:c r="D8" s="45" t="n">
        <x:f>B8*C8/1000</x:f>
        <x:v>50000</x:v>
      </x:c>
      <x:c r="E8" s="45" t="n">
        <x:f>'Controls'!$C$6*1000/B8</x:f>
        <x:v>1000000</x:v>
      </x:c>
      <x:c r="F8" s="45" t="n">
        <x:f>D8</x:f>
        <x:v>50000</x:v>
      </x:c>
      <x:c r="G8" s="29" t="str">
        <x:v>Near-plot service with materially improved hygiene</x:v>
      </x:c>
      <x:c r="H8" s="29" t="str">
        <x:v>WHO/derived</x:v>
      </x:c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46"/>
      <x:c r="B10" s="46"/>
      <x:c r="C10" s="46"/>
      <x:c r="D10" s="46"/>
      <x:c r="E10" s="46"/>
      <x:c r="F10" s="46"/>
      <x:c r="G10" s="46"/>
      <x:c r="H10" s="46"/>
    </x:row>
    <x:row r="11">
      <x:c r="A11" s="47" t="str">
        <x:v>Selected campaign demand</x:v>
      </x:c>
      <x:c r="B11" s="48"/>
      <x:c r="C11" s="48"/>
      <x:c r="D11" s="48"/>
      <x:c r="E11" s="48"/>
      <x:c r="F11" s="48"/>
      <x:c r="G11" s="48"/>
      <x:c r="H11" s="49"/>
    </x:row>
    <x:row r="12">
      <x:c r="A12" s="46"/>
      <x:c r="B12" s="46"/>
      <x:c r="C12" s="46"/>
      <x:c r="D12" s="46"/>
      <x:c r="E12" s="46"/>
      <x:c r="F12" s="46"/>
      <x:c r="G12" s="46"/>
      <x:c r="H12" s="46"/>
    </x:row>
    <x:row r="13" ht="32" customHeight="1">
      <x:c r="A13" s="18" t="str">
        <x:v>Metric</x:v>
      </x:c>
      <x:c r="B13" s="20" t="str">
        <x:v>Value</x:v>
      </x:c>
      <x:c r="C13" s="46"/>
      <x:c r="D13" s="46"/>
      <x:c r="E13" s="46"/>
      <x:c r="F13" s="46"/>
      <x:c r="G13" s="46"/>
      <x:c r="H13" s="46"/>
    </x:row>
    <x:row r="14">
      <x:c r="A14" s="29" t="str">
        <x:v>Population</x:v>
      </x:c>
      <x:c r="B14" s="50" t="n">
        <x:f>'Controls'!$C$7</x:f>
        <x:v>1000000</x:v>
      </x:c>
      <x:c r="C14" s="46"/>
      <x:c r="D14" s="46"/>
      <x:c r="E14" s="46"/>
      <x:c r="F14" s="46"/>
      <x:c r="G14" s="46"/>
      <x:c r="H14" s="46"/>
    </x:row>
    <x:row r="15">
      <x:c r="A15" s="29" t="str">
        <x:v>Selected service (L/person/day)</x:v>
      </x:c>
      <x:c r="B15" s="50" t="n">
        <x:f>'Controls'!$C$8</x:f>
        <x:v>50</x:v>
      </x:c>
      <x:c r="C15" s="46"/>
      <x:c r="D15" s="46"/>
      <x:c r="E15" s="46"/>
      <x:c r="F15" s="46"/>
      <x:c r="G15" s="46"/>
      <x:c r="H15" s="46"/>
    </x:row>
    <x:row r="16">
      <x:c r="A16" s="29" t="str">
        <x:v>Required delivery (m³/day)</x:v>
      </x:c>
      <x:c r="B16" s="50" t="n">
        <x:f>B14*B15/1000</x:f>
        <x:v>50000</x:v>
      </x:c>
      <x:c r="C16" s="46"/>
      <x:c r="D16" s="46"/>
      <x:c r="E16" s="46"/>
      <x:c r="F16" s="46"/>
      <x:c r="G16" s="46"/>
      <x:c r="H16" s="46"/>
    </x:row>
    <x:row r="17">
      <x:c r="A17" s="29" t="str">
        <x:v>WRG-50 supply margin (m³/day)</x:v>
      </x:c>
      <x:c r="B17" s="50" t="n">
        <x:f>'Controls'!$C$6-B16</x:f>
        <x:v>0</x:v>
      </x:c>
      <x:c r="C17" s="46"/>
      <x:c r="D17" s="46"/>
      <x:c r="E17" s="46"/>
      <x:c r="F17" s="46"/>
      <x:c r="G17" s="46"/>
      <x:c r="H17" s="4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8" hidden="0" customWidth="1"/>
    <x:col min="4" max="4" width="15" hidden="0" customWidth="1"/>
    <x:col min="5" max="5" width="18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5" hidden="0" customWidth="1"/>
    <x:col min="13" max="13" width="12" hidden="0" customWidth="1"/>
    <x:col min="14" max="14" width="17" hidden="0" customWidth="1"/>
    <x:col min="15" max="15" width="18" hidden="0" customWidth="1"/>
    <x:col min="16" max="16" width="38" hidden="0" customWidth="1"/>
  </x:cols>
  <x:sheetData>
    <x:row r="1" ht="24" customHeight="1">
      <x:c r="A1" s="4" t="str">
        <x:v>Source and treatment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6" t="str">
        <x:v>Source cases expose feed, reject, energy and consumable consequences. Non-seawater process inputs remain provisional.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2" customHeight="1">
      <x:c r="A4" s="18" t="str">
        <x:v>Source case</x:v>
      </x:c>
      <x:c r="B4" s="19" t="str">
        <x:v>Recovery</x:v>
      </x:c>
      <x:c r="C4" s="19" t="str">
        <x:v>Process energy (kWh/m³ product)</x:v>
      </x:c>
      <x:c r="D4" s="19" t="str">
        <x:v>Auxiliary factor</x:v>
      </x:c>
      <x:c r="E4" s="19" t="str">
        <x:v>Train capacity (m³/day)</x:v>
      </x:c>
      <x:c r="F4" s="19" t="str">
        <x:v>Trains owned</x:v>
      </x:c>
      <x:c r="G4" s="19" t="str">
        <x:v>Trains online</x:v>
      </x:c>
      <x:c r="H4" s="19" t="str">
        <x:v>Online capacity (m³/day)</x:v>
      </x:c>
      <x:c r="I4" s="19" t="str">
        <x:v>Feed required (m³/day)</x:v>
      </x:c>
      <x:c r="J4" s="19" t="str">
        <x:v>Reject (m³/day)</x:v>
      </x:c>
      <x:c r="K4" s="19" t="str">
        <x:v>Process power (MW)</x:v>
      </x:c>
      <x:c r="L4" s="19" t="str">
        <x:v>Plant power (MW)</x:v>
      </x:c>
      <x:c r="M4" s="19" t="str">
        <x:v>Spare trains</x:v>
      </x:c>
      <x:c r="N4" s="19" t="str">
        <x:v>Consumables (kg/m³)</x:v>
      </x:c>
      <x:c r="O4" s="19" t="str">
        <x:v>Consumables (kg/day)</x:v>
      </x:c>
      <x:c r="P4" s="20" t="str">
        <x:v>Evidence status</x:v>
      </x:c>
    </x:row>
    <x:row r="5">
      <x:c r="A5" s="29" t="str">
        <x:v>Fresh surface</x:v>
      </x:c>
      <x:c r="B5" s="53" t="n">
        <x:v>0.9</x:v>
      </x:c>
      <x:c r="C5" s="54" t="n">
        <x:v>0.6</x:v>
      </x:c>
      <x:c r="D5" s="54" t="n">
        <x:v>0.2</x:v>
      </x:c>
      <x:c r="E5" s="45" t="n">
        <x:v>10000</x:v>
      </x:c>
      <x:c r="F5" s="45" t="n">
        <x:v>6</x:v>
      </x:c>
      <x:c r="G5" s="45" t="n">
        <x:v>5</x:v>
      </x:c>
      <x:c r="H5" s="45" t="n">
        <x:f>E5*G5</x:f>
        <x:v>50000</x:v>
      </x:c>
      <x:c r="I5" s="45" t="n">
        <x:f>'Controls'!$C$6/B5</x:f>
        <x:v>55555.555555555555</x:v>
      </x:c>
      <x:c r="J5" s="45" t="n">
        <x:f>I5-'Controls'!$C$6</x:f>
        <x:v>5555.555555555555</x:v>
      </x:c>
      <x:c r="K5" s="54" t="n">
        <x:f>'Controls'!$C$6*C5/24/1000</x:f>
        <x:v>1.25</x:v>
      </x:c>
      <x:c r="L5" s="54" t="n">
        <x:f>K5*(1+D5)</x:f>
        <x:v>1.5</x:v>
      </x:c>
      <x:c r="M5" s="29" t="n">
        <x:f>F5-G5</x:f>
        <x:v>1</x:v>
      </x:c>
      <x:c r="N5" s="54" t="n">
        <x:v>0.08</x:v>
      </x:c>
      <x:c r="O5" s="45" t="n">
        <x:f>'Controls'!$C$6*N5</x:f>
        <x:v>4000</x:v>
      </x:c>
      <x:c r="P5" s="29" t="str">
        <x:v>Provisional engineering assumption</x:v>
      </x:c>
    </x:row>
    <x:row r="6">
      <x:c r="A6" s="29" t="str">
        <x:v>Brackish</x:v>
      </x:c>
      <x:c r="B6" s="53" t="n">
        <x:v>0.75</x:v>
      </x:c>
      <x:c r="C6" s="54" t="n">
        <x:v>1.5</x:v>
      </x:c>
      <x:c r="D6" s="54" t="n">
        <x:v>0.18</x:v>
      </x:c>
      <x:c r="E6" s="45" t="n">
        <x:v>10000</x:v>
      </x:c>
      <x:c r="F6" s="45" t="n">
        <x:v>6</x:v>
      </x:c>
      <x:c r="G6" s="45" t="n">
        <x:v>5</x:v>
      </x:c>
      <x:c r="H6" s="45" t="n">
        <x:f>E6*G6</x:f>
        <x:v>50000</x:v>
      </x:c>
      <x:c r="I6" s="45" t="n">
        <x:f>'Controls'!$C$6/B6</x:f>
        <x:v>66666.66666666667</x:v>
      </x:c>
      <x:c r="J6" s="45" t="n">
        <x:f>I6-'Controls'!$C$6</x:f>
        <x:v>16666.66666666667</x:v>
      </x:c>
      <x:c r="K6" s="54" t="n">
        <x:f>'Controls'!$C$6*C6/24/1000</x:f>
        <x:v>3.125</x:v>
      </x:c>
      <x:c r="L6" s="54" t="n">
        <x:f>K6*(1+D6)</x:f>
        <x:v>3.6875</x:v>
      </x:c>
      <x:c r="M6" s="29" t="n">
        <x:f>F6-G6</x:f>
        <x:v>1</x:v>
      </x:c>
      <x:c r="N6" s="54" t="n">
        <x:v>0.05</x:v>
      </x:c>
      <x:c r="O6" s="45" t="n">
        <x:f>'Controls'!$C$6*N6</x:f>
        <x:v>2500</x:v>
      </x:c>
      <x:c r="P6" s="29" t="str">
        <x:v>Provisional engineering assumption</x:v>
      </x:c>
    </x:row>
    <x:row r="7">
      <x:c r="A7" s="29" t="str">
        <x:v>Seawater</x:v>
      </x:c>
      <x:c r="B7" s="53" t="n">
        <x:v>0.5</x:v>
      </x:c>
      <x:c r="C7" s="54" t="n">
        <x:v>4</x:v>
      </x:c>
      <x:c r="D7" s="54" t="n">
        <x:v>0.15</x:v>
      </x:c>
      <x:c r="E7" s="45" t="n">
        <x:v>10000</x:v>
      </x:c>
      <x:c r="F7" s="45" t="n">
        <x:v>6</x:v>
      </x:c>
      <x:c r="G7" s="45" t="n">
        <x:v>5</x:v>
      </x:c>
      <x:c r="H7" s="45" t="n">
        <x:f>E7*G7</x:f>
        <x:v>50000</x:v>
      </x:c>
      <x:c r="I7" s="45" t="n">
        <x:f>'Controls'!$C$6/B7</x:f>
        <x:v>100000</x:v>
      </x:c>
      <x:c r="J7" s="45" t="n">
        <x:f>I7-'Controls'!$C$6</x:f>
        <x:v>50000</x:v>
      </x:c>
      <x:c r="K7" s="54" t="n">
        <x:f>'Controls'!$C$6*C7/24/1000</x:f>
        <x:v>8.333333333333334</x:v>
      </x:c>
      <x:c r="L7" s="54" t="n">
        <x:f>K7*(1+D7)</x:f>
        <x:v>9.583333333333334</x:v>
      </x:c>
      <x:c r="M7" s="29" t="n">
        <x:f>F7-G7</x:f>
        <x:v>1</x:v>
      </x:c>
      <x:c r="N7" s="54" t="n">
        <x:v>0.07</x:v>
      </x:c>
      <x:c r="O7" s="45" t="n">
        <x:f>'Controls'!$C$6*N7</x:f>
        <x:v>3500.0000000000005</x:v>
      </x:c>
      <x:c r="P7" s="29" t="str">
        <x:v>DOE energy and recovery reference; auxiliaries provisional</x:v>
      </x:c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</x:row>
    <x:row r="10">
      <x:c r="A10" s="47" t="str">
        <x:v>Selected source output</x:v>
      </x:c>
      <x:c r="B10" s="48"/>
      <x:c r="C10" s="48"/>
      <x:c r="D10" s="49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</x:row>
    <x:row r="12" ht="32" customHeight="1">
      <x:c r="A12" s="18" t="str">
        <x:v>Metric</x:v>
      </x:c>
      <x:c r="B12" s="20" t="str">
        <x:v>Value</x:v>
      </x:c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</x:row>
    <x:row r="13">
      <x:c r="A13" s="29" t="str">
        <x:v>Selected source</x:v>
      </x:c>
      <x:c r="B13" s="29" t="str">
        <x:f>'Controls'!$C$5</x:f>
        <x:v>Seawater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</x:row>
    <x:row r="14">
      <x:c r="A14" s="29" t="str">
        <x:v>Recovery</x:v>
      </x:c>
      <x:c r="B14" s="53" t="n">
        <x:f>INDEX(B5:B7,MATCH(B13,A5:A7,0))</x:f>
        <x:v>0.5</x:v>
      </x:c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</x:row>
    <x:row r="15">
      <x:c r="A15" s="29" t="str">
        <x:v>Feed required (m³/day)</x:v>
      </x:c>
      <x:c r="B15" s="45" t="n">
        <x:f>INDEX(I5:I7,MATCH(B13,A5:A7,0))</x:f>
        <x:v>100000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</x:row>
    <x:row r="16">
      <x:c r="A16" s="29" t="str">
        <x:v>Reject (m³/day)</x:v>
      </x:c>
      <x:c r="B16" s="45" t="n">
        <x:f>INDEX(J5:J7,MATCH(B13,A5:A7,0))</x:f>
        <x:v>50000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</x:row>
    <x:row r="17">
      <x:c r="A17" s="29" t="str">
        <x:v>Plant power (MW)</x:v>
      </x:c>
      <x:c r="B17" s="54" t="n">
        <x:f>INDEX(L5:L7,MATCH(B13,A5:A7,0))</x:f>
        <x:v>9.583333333333334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</x:row>
    <x:row r="18">
      <x:c r="A18" s="29" t="str">
        <x:v>Online capacity (m³/day)</x:v>
      </x:c>
      <x:c r="B18" s="45" t="n">
        <x:f>INDEX(H5:H7,MATCH(B13,A5:A7,0))</x:f>
        <x:v>50000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</x:row>
    <x:row r="19">
      <x:c r="A19" s="29" t="str">
        <x:v>Capacity check</x:v>
      </x:c>
      <x:c r="B19" s="29" t="str">
        <x:f>IF(B18&gt;='Controls'!$C$6,"Capacity available","Target exceeds online trains")</x:f>
        <x:v>Capacity available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</x:row>
    <x:row r="20">
      <x:c r="A20" s="29"/>
      <x:c r="B20" s="29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</x:row>
    <x:row r="21">
      <x:c r="A21" s="29" t="str">
        <x:v>Selected daily consumables (kg/day)</x:v>
      </x:c>
      <x:c r="B21" s="45" t="n">
        <x:f>INDEX(O5:O7,MATCH(B13,A5:A7,0))</x:f>
        <x:v>3500.0000000000005</x:v>
      </x:c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4" hidden="0" customWidth="1"/>
    <x:col min="7" max="7" width="14" hidden="0" customWidth="1"/>
    <x:col min="8" max="8" width="19" hidden="0" customWidth="1"/>
    <x:col min="9" max="9" width="20" hidden="0" customWidth="1"/>
    <x:col min="10" max="10" width="18" hidden="0" customWidth="1"/>
  </x:cols>
  <x:sheetData>
    <x:row r="1" ht="24" customHeight="1">
      <x:c r="A1" s="4" t="str">
        <x:v>Hydraulic reaches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6" t="str">
        <x:v>Darcy–Weisbach reference with uniform route segmentation. A surveyed elevation profile and transient model remain required.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8" t="str">
        <x:v>Metric</x:v>
      </x:c>
      <x:c r="B4" s="19" t="str">
        <x:v>Unit</x:v>
      </x:c>
      <x:c r="C4" s="20" t="str">
        <x:v>Value</x:v>
      </x:c>
      <x:c r="D4" s="46"/>
      <x:c r="E4" s="46"/>
      <x:c r="F4" s="46"/>
      <x:c r="G4" s="46"/>
      <x:c r="H4" s="46"/>
      <x:c r="I4" s="46"/>
      <x:c r="J4" s="46"/>
    </x:row>
    <x:row r="5">
      <x:c r="A5" s="29" t="str">
        <x:v>Total flow</x:v>
      </x:c>
      <x:c r="B5" s="29" t="str">
        <x:v>m³/s</x:v>
      </x:c>
      <x:c r="C5" s="56" t="n">
        <x:f>'Controls'!$C$6/86400</x:f>
        <x:v>0.5787037037037037</x:v>
      </x:c>
      <x:c r="D5" s="46"/>
      <x:c r="E5" s="46"/>
      <x:c r="F5" s="46"/>
      <x:c r="G5" s="46"/>
      <x:c r="H5" s="46"/>
      <x:c r="I5" s="46"/>
      <x:c r="J5" s="46"/>
    </x:row>
    <x:row r="6">
      <x:c r="A6" s="29" t="str">
        <x:v>Flow per line</x:v>
      </x:c>
      <x:c r="B6" s="29" t="str">
        <x:v>m³/s</x:v>
      </x:c>
      <x:c r="C6" s="56" t="n">
        <x:f>C5/'Controls'!$C$11</x:f>
        <x:v>0.28935185185185186</x:v>
      </x:c>
      <x:c r="D6" s="46"/>
      <x:c r="E6" s="46"/>
      <x:c r="F6" s="46"/>
      <x:c r="G6" s="46"/>
      <x:c r="H6" s="46"/>
      <x:c r="I6" s="46"/>
      <x:c r="J6" s="46"/>
    </x:row>
    <x:row r="7">
      <x:c r="A7" s="29" t="str">
        <x:v>Velocity</x:v>
      </x:c>
      <x:c r="B7" s="29" t="str">
        <x:v>m/s</x:v>
      </x:c>
      <x:c r="C7" s="56" t="n">
        <x:f>C6/(PI()*'Controls'!$C$12^2/4)</x:f>
        <x:v>1.4736568804805126</x:v>
      </x:c>
      <x:c r="D7" s="46"/>
      <x:c r="E7" s="46"/>
      <x:c r="F7" s="46"/>
      <x:c r="G7" s="46"/>
      <x:c r="H7" s="46"/>
      <x:c r="I7" s="46"/>
      <x:c r="J7" s="46"/>
    </x:row>
    <x:row r="8">
      <x:c r="A8" s="29" t="str">
        <x:v>Friction head</x:v>
      </x:c>
      <x:c r="B8" s="29" t="str">
        <x:v>m</x:v>
      </x:c>
      <x:c r="C8" s="56" t="n">
        <x:f>'Controls'!$C$13*('Controls'!$C$9*1000/'Controls'!$C$12)*(C7^2/(2*9.81))</x:f>
        <x:v>166.029403775807</x:v>
      </x:c>
      <x:c r="D8" s="46"/>
      <x:c r="E8" s="46"/>
      <x:c r="F8" s="46"/>
      <x:c r="G8" s="46"/>
      <x:c r="H8" s="46"/>
      <x:c r="I8" s="46"/>
      <x:c r="J8" s="46"/>
    </x:row>
    <x:row r="9">
      <x:c r="A9" s="29" t="str">
        <x:v>Minor-loss head</x:v>
      </x:c>
      <x:c r="B9" s="29" t="str">
        <x:v>m</x:v>
      </x:c>
      <x:c r="C9" s="56" t="n">
        <x:f>C8*'Controls'!$C$15</x:f>
        <x:v>16.6029403775807</x:v>
      </x:c>
      <x:c r="D9" s="46"/>
      <x:c r="E9" s="46"/>
      <x:c r="F9" s="46"/>
      <x:c r="G9" s="46"/>
      <x:c r="H9" s="46"/>
      <x:c r="I9" s="46"/>
      <x:c r="J9" s="46"/>
    </x:row>
    <x:row r="10">
      <x:c r="A10" s="29" t="str">
        <x:v>Total dynamic head</x:v>
      </x:c>
      <x:c r="B10" s="29" t="str">
        <x:v>m</x:v>
      </x:c>
      <x:c r="C10" s="56" t="n">
        <x:f>'Controls'!$C$10+C8+C9</x:f>
        <x:v>232.6323441533877</x:v>
      </x:c>
      <x:c r="D10" s="46"/>
      <x:c r="E10" s="46"/>
      <x:c r="F10" s="46"/>
      <x:c r="G10" s="46"/>
      <x:c r="H10" s="46"/>
      <x:c r="I10" s="46"/>
      <x:c r="J10" s="46"/>
    </x:row>
    <x:row r="11">
      <x:c r="A11" s="29" t="str">
        <x:v>Average hydraulic power</x:v>
      </x:c>
      <x:c r="B11" s="29" t="str">
        <x:v>MW</x:v>
      </x:c>
      <x:c r="C11" s="56" t="n">
        <x:f>1000*9.81*C5*C10/'Controls'!$C$14/1000000</x:f>
        <x:v>1.760897605049949</x:v>
      </x:c>
      <x:c r="D11" s="46"/>
      <x:c r="E11" s="46"/>
      <x:c r="F11" s="46"/>
      <x:c r="G11" s="46"/>
      <x:c r="H11" s="46"/>
      <x:c r="I11" s="46"/>
      <x:c r="J11" s="46"/>
    </x:row>
    <x:row r="12">
      <x:c r="A12" s="29" t="str">
        <x:v>Installed hydraulic power</x:v>
      </x:c>
      <x:c r="B12" s="29" t="str">
        <x:v>MW</x:v>
      </x:c>
      <x:c r="C12" s="56" t="n">
        <x:f>C11*(1+'Controls'!$C$27)</x:f>
        <x:v>2.2891668865649337</x:v>
      </x:c>
      <x:c r="D12" s="46"/>
      <x:c r="E12" s="46"/>
      <x:c r="F12" s="46"/>
      <x:c r="G12" s="46"/>
      <x:c r="H12" s="46"/>
      <x:c r="I12" s="46"/>
      <x:c r="J12" s="46"/>
    </x:row>
    <x:row r="13">
      <x:c r="A13" s="29" t="str">
        <x:v>Selected pressure head ceiling</x:v>
      </x:c>
      <x:c r="B13" s="29" t="str">
        <x:v>m</x:v>
      </x:c>
      <x:c r="C13" s="44" t="n">
        <x:f>'Controls'!$C$18*0.70307</x:f>
        <x:v>70.307</x:v>
      </x:c>
      <x:c r="D13" s="46"/>
      <x:c r="E13" s="46"/>
      <x:c r="F13" s="46"/>
      <x:c r="G13" s="46"/>
      <x:c r="H13" s="46"/>
      <x:c r="I13" s="46"/>
      <x:c r="J13" s="46"/>
    </x:row>
    <x:row r="14">
      <x:c r="A14" s="29" t="str">
        <x:v>Required pressure zones</x:v>
      </x:c>
      <x:c r="B14" s="29" t="str">
        <x:v>count</x:v>
      </x:c>
      <x:c r="C14" s="44" t="n">
        <x:f>CEILING(C10/C13,1)</x:f>
        <x:v>4</x:v>
      </x:c>
      <x:c r="D14" s="46"/>
      <x:c r="E14" s="46"/>
      <x:c r="F14" s="46"/>
      <x:c r="G14" s="46"/>
      <x:c r="H14" s="46"/>
      <x:c r="I14" s="46"/>
      <x:c r="J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</x:row>
    <x:row r="16">
      <x:c r="A16" s="47" t="str">
        <x:v>Uniform pressure-zone reference</x:v>
      </x:c>
      <x:c r="B16" s="48"/>
      <x:c r="C16" s="48"/>
      <x:c r="D16" s="48"/>
      <x:c r="E16" s="48"/>
      <x:c r="F16" s="48"/>
      <x:c r="G16" s="48"/>
      <x:c r="H16" s="48"/>
      <x:c r="I16" s="48"/>
      <x:c r="J16" s="49"/>
    </x:row>
    <x:row r="17" ht="32" customHeight="1">
      <x:c r="A17" s="18" t="str">
        <x:v>Zone</x:v>
      </x:c>
      <x:c r="B17" s="19" t="str">
        <x:v>Active</x:v>
      </x:c>
      <x:c r="C17" s="19" t="str">
        <x:v>Length (km)</x:v>
      </x:c>
      <x:c r="D17" s="19" t="str">
        <x:v>Static head (m)</x:v>
      </x:c>
      <x:c r="E17" s="19" t="str">
        <x:v>Friction head (m)</x:v>
      </x:c>
      <x:c r="F17" s="19" t="str">
        <x:v>Minor head (m)</x:v>
      </x:c>
      <x:c r="G17" s="19" t="str">
        <x:v>Zone head (m)</x:v>
      </x:c>
      <x:c r="H17" s="19" t="str">
        <x:v>Operating pressure (psi)</x:v>
      </x:c>
      <x:c r="I17" s="19" t="str">
        <x:v>Installed pump power (MW)</x:v>
      </x:c>
      <x:c r="J17" s="20" t="str">
        <x:v>Pressure check</x:v>
      </x:c>
    </x:row>
    <x:row r="18">
      <x:c r="A18" s="29" t="n">
        <x:v>1</x:v>
      </x:c>
      <x:c r="B18" s="29" t="str">
        <x:f>IF(A18&lt;=$C$14,"Active","-")</x:f>
        <x:v>Active</x:v>
      </x:c>
      <x:c r="C18" s="54" t="n">
        <x:f>IF(B18="Active",'Controls'!$C$9/$C$14,0)</x:f>
        <x:v>12.5</x:v>
      </x:c>
      <x:c r="D18" s="54" t="n">
        <x:f>IF(B18="Active",'Controls'!$C$10/$C$14,0)</x:f>
        <x:v>12.5</x:v>
      </x:c>
      <x:c r="E18" s="54" t="n">
        <x:f>IF(B18="Active",$C$8/$C$14,0)</x:f>
        <x:v>41.50735094395175</x:v>
      </x:c>
      <x:c r="F18" s="54" t="n">
        <x:f>IF(B18="Active",$C$9/$C$14,0)</x:f>
        <x:v>4.150735094395175</x:v>
      </x:c>
      <x:c r="G18" s="54" t="n">
        <x:f>SUM(D18:F18)</x:f>
        <x:v>58.15808603834692</x:v>
      </x:c>
      <x:c r="H18" s="54" t="n">
        <x:f>G18/0.70307</x:f>
        <x:v>82.72019292296204</x:v>
      </x:c>
      <x:c r="I18" s="54" t="n">
        <x:f>IF(B18="Active",1000*9.81*$C$5*G18/'Controls'!$C$14/1000000*(1+'Controls'!$C$27),0)</x:f>
        <x:v>0.5722917216412334</x:v>
      </x:c>
      <x:c r="J18" s="29" t="str">
        <x:f>IF(B18="-","-",IF(H18&lt;='Controls'!$C$18,"Within ceiling","Review"))</x:f>
        <x:v>Within ceiling</x:v>
      </x:c>
    </x:row>
    <x:row r="19">
      <x:c r="A19" s="29" t="n">
        <x:v>2</x:v>
      </x:c>
      <x:c r="B19" s="29" t="str">
        <x:f>IF(A19&lt;=$C$14,"Active","-")</x:f>
        <x:v>Active</x:v>
      </x:c>
      <x:c r="C19" s="54" t="n">
        <x:f>IF(B19="Active",'Controls'!$C$9/$C$14,0)</x:f>
        <x:v>12.5</x:v>
      </x:c>
      <x:c r="D19" s="54" t="n">
        <x:f>IF(B19="Active",'Controls'!$C$10/$C$14,0)</x:f>
        <x:v>12.5</x:v>
      </x:c>
      <x:c r="E19" s="54" t="n">
        <x:f>IF(B19="Active",$C$8/$C$14,0)</x:f>
        <x:v>41.50735094395175</x:v>
      </x:c>
      <x:c r="F19" s="54" t="n">
        <x:f>IF(B19="Active",$C$9/$C$14,0)</x:f>
        <x:v>4.150735094395175</x:v>
      </x:c>
      <x:c r="G19" s="54" t="n">
        <x:f>SUM(D19:F19)</x:f>
        <x:v>58.15808603834692</x:v>
      </x:c>
      <x:c r="H19" s="54" t="n">
        <x:f>G19/0.70307</x:f>
        <x:v>82.72019292296204</x:v>
      </x:c>
      <x:c r="I19" s="54" t="n">
        <x:f>IF(B19="Active",1000*9.81*$C$5*G19/'Controls'!$C$14/1000000*(1+'Controls'!$C$27),0)</x:f>
        <x:v>0.5722917216412334</x:v>
      </x:c>
      <x:c r="J19" s="29" t="str">
        <x:f>IF(B19="-","-",IF(H19&lt;='Controls'!$C$18,"Within ceiling","Review"))</x:f>
        <x:v>Within ceiling</x:v>
      </x:c>
    </x:row>
    <x:row r="20">
      <x:c r="A20" s="29" t="n">
        <x:v>3</x:v>
      </x:c>
      <x:c r="B20" s="29" t="str">
        <x:f>IF(A20&lt;=$C$14,"Active","-")</x:f>
        <x:v>Active</x:v>
      </x:c>
      <x:c r="C20" s="54" t="n">
        <x:f>IF(B20="Active",'Controls'!$C$9/$C$14,0)</x:f>
        <x:v>12.5</x:v>
      </x:c>
      <x:c r="D20" s="54" t="n">
        <x:f>IF(B20="Active",'Controls'!$C$10/$C$14,0)</x:f>
        <x:v>12.5</x:v>
      </x:c>
      <x:c r="E20" s="54" t="n">
        <x:f>IF(B20="Active",$C$8/$C$14,0)</x:f>
        <x:v>41.50735094395175</x:v>
      </x:c>
      <x:c r="F20" s="54" t="n">
        <x:f>IF(B20="Active",$C$9/$C$14,0)</x:f>
        <x:v>4.150735094395175</x:v>
      </x:c>
      <x:c r="G20" s="54" t="n">
        <x:f>SUM(D20:F20)</x:f>
        <x:v>58.15808603834692</x:v>
      </x:c>
      <x:c r="H20" s="54" t="n">
        <x:f>G20/0.70307</x:f>
        <x:v>82.72019292296204</x:v>
      </x:c>
      <x:c r="I20" s="54" t="n">
        <x:f>IF(B20="Active",1000*9.81*$C$5*G20/'Controls'!$C$14/1000000*(1+'Controls'!$C$27),0)</x:f>
        <x:v>0.5722917216412334</x:v>
      </x:c>
      <x:c r="J20" s="29" t="str">
        <x:f>IF(B20="-","-",IF(H20&lt;='Controls'!$C$18,"Within ceiling","Review"))</x:f>
        <x:v>Within ceiling</x:v>
      </x:c>
    </x:row>
    <x:row r="21">
      <x:c r="A21" s="29" t="n">
        <x:v>4</x:v>
      </x:c>
      <x:c r="B21" s="29" t="str">
        <x:f>IF(A21&lt;=$C$14,"Active","-")</x:f>
        <x:v>Active</x:v>
      </x:c>
      <x:c r="C21" s="54" t="n">
        <x:f>IF(B21="Active",'Controls'!$C$9/$C$14,0)</x:f>
        <x:v>12.5</x:v>
      </x:c>
      <x:c r="D21" s="54" t="n">
        <x:f>IF(B21="Active",'Controls'!$C$10/$C$14,0)</x:f>
        <x:v>12.5</x:v>
      </x:c>
      <x:c r="E21" s="54" t="n">
        <x:f>IF(B21="Active",$C$8/$C$14,0)</x:f>
        <x:v>41.50735094395175</x:v>
      </x:c>
      <x:c r="F21" s="54" t="n">
        <x:f>IF(B21="Active",$C$9/$C$14,0)</x:f>
        <x:v>4.150735094395175</x:v>
      </x:c>
      <x:c r="G21" s="54" t="n">
        <x:f>SUM(D21:F21)</x:f>
        <x:v>58.15808603834692</x:v>
      </x:c>
      <x:c r="H21" s="54" t="n">
        <x:f>G21/0.70307</x:f>
        <x:v>82.72019292296204</x:v>
      </x:c>
      <x:c r="I21" s="54" t="n">
        <x:f>IF(B21="Active",1000*9.81*$C$5*G21/'Controls'!$C$14/1000000*(1+'Controls'!$C$27),0)</x:f>
        <x:v>0.5722917216412334</x:v>
      </x:c>
      <x:c r="J21" s="29" t="str">
        <x:f>IF(B21="-","-",IF(H21&lt;='Controls'!$C$18,"Within ceiling","Review"))</x:f>
        <x:v>Within ceiling</x:v>
      </x:c>
    </x:row>
    <x:row r="22">
      <x:c r="A22" s="29" t="n">
        <x:v>5</x:v>
      </x:c>
      <x:c r="B22" s="29" t="str">
        <x:f>IF(A22&lt;=$C$14,"Active","-")</x:f>
        <x:v>-</x:v>
      </x:c>
      <x:c r="C22" s="54" t="n">
        <x:f>IF(B22="Active",'Controls'!$C$9/$C$14,0)</x:f>
        <x:v>0</x:v>
      </x:c>
      <x:c r="D22" s="54" t="n">
        <x:f>IF(B22="Active",'Controls'!$C$10/$C$14,0)</x:f>
        <x:v>0</x:v>
      </x:c>
      <x:c r="E22" s="54" t="n">
        <x:f>IF(B22="Active",$C$8/$C$14,0)</x:f>
        <x:v>0</x:v>
      </x:c>
      <x:c r="F22" s="54" t="n">
        <x:f>IF(B22="Active",$C$9/$C$14,0)</x:f>
        <x:v>0</x:v>
      </x:c>
      <x:c r="G22" s="54" t="n">
        <x:f>SUM(D22:F22)</x:f>
        <x:v>0</x:v>
      </x:c>
      <x:c r="H22" s="54" t="n">
        <x:f>G22/0.70307</x:f>
        <x:v>0</x:v>
      </x:c>
      <x:c r="I22" s="54" t="n">
        <x:f>IF(B22="Active",1000*9.81*$C$5*G22/'Controls'!$C$14/1000000*(1+'Controls'!$C$27),0)</x:f>
        <x:v>0</x:v>
      </x:c>
      <x:c r="J22" s="29" t="str">
        <x:f>IF(B22="-","-",IF(H22&lt;='Controls'!$C$18,"Within ceiling","Review"))</x:f>
        <x:v>-</x:v>
      </x:c>
    </x:row>
    <x:row r="23">
      <x:c r="A23" s="29" t="n">
        <x:v>6</x:v>
      </x:c>
      <x:c r="B23" s="29" t="str">
        <x:f>IF(A23&lt;=$C$14,"Active","-")</x:f>
        <x:v>-</x:v>
      </x:c>
      <x:c r="C23" s="54" t="n">
        <x:f>IF(B23="Active",'Controls'!$C$9/$C$14,0)</x:f>
        <x:v>0</x:v>
      </x:c>
      <x:c r="D23" s="54" t="n">
        <x:f>IF(B23="Active",'Controls'!$C$10/$C$14,0)</x:f>
        <x:v>0</x:v>
      </x:c>
      <x:c r="E23" s="54" t="n">
        <x:f>IF(B23="Active",$C$8/$C$14,0)</x:f>
        <x:v>0</x:v>
      </x:c>
      <x:c r="F23" s="54" t="n">
        <x:f>IF(B23="Active",$C$9/$C$14,0)</x:f>
        <x:v>0</x:v>
      </x:c>
      <x:c r="G23" s="54" t="n">
        <x:f>SUM(D23:F23)</x:f>
        <x:v>0</x:v>
      </x:c>
      <x:c r="H23" s="54" t="n">
        <x:f>G23/0.70307</x:f>
        <x:v>0</x:v>
      </x:c>
      <x:c r="I23" s="54" t="n">
        <x:f>IF(B23="Active",1000*9.81*$C$5*G23/'Controls'!$C$14/1000000*(1+'Controls'!$C$27),0)</x:f>
        <x:v>0</x:v>
      </x:c>
      <x:c r="J23" s="29" t="str">
        <x:f>IF(B23="-","-",IF(H23&lt;='Controls'!$C$18,"Within ceiling","Review"))</x:f>
        <x:v>-</x:v>
      </x:c>
    </x:row>
    <x:row r="24">
      <x:c r="A24" s="29" t="n">
        <x:v>7</x:v>
      </x:c>
      <x:c r="B24" s="29" t="str">
        <x:f>IF(A24&lt;=$C$14,"Active","-")</x:f>
        <x:v>-</x:v>
      </x:c>
      <x:c r="C24" s="54" t="n">
        <x:f>IF(B24="Active",'Controls'!$C$9/$C$14,0)</x:f>
        <x:v>0</x:v>
      </x:c>
      <x:c r="D24" s="54" t="n">
        <x:f>IF(B24="Active",'Controls'!$C$10/$C$14,0)</x:f>
        <x:v>0</x:v>
      </x:c>
      <x:c r="E24" s="54" t="n">
        <x:f>IF(B24="Active",$C$8/$C$14,0)</x:f>
        <x:v>0</x:v>
      </x:c>
      <x:c r="F24" s="54" t="n">
        <x:f>IF(B24="Active",$C$9/$C$14,0)</x:f>
        <x:v>0</x:v>
      </x:c>
      <x:c r="G24" s="54" t="n">
        <x:f>SUM(D24:F24)</x:f>
        <x:v>0</x:v>
      </x:c>
      <x:c r="H24" s="54" t="n">
        <x:f>G24/0.70307</x:f>
        <x:v>0</x:v>
      </x:c>
      <x:c r="I24" s="54" t="n">
        <x:f>IF(B24="Active",1000*9.81*$C$5*G24/'Controls'!$C$14/1000000*(1+'Controls'!$C$27),0)</x:f>
        <x:v>0</x:v>
      </x:c>
      <x:c r="J24" s="29" t="str">
        <x:f>IF(B24="-","-",IF(H24&lt;='Controls'!$C$18,"Within ceiling","Review"))</x:f>
        <x:v>-</x:v>
      </x:c>
    </x:row>
    <x:row r="25">
      <x:c r="A25" s="29" t="n">
        <x:v>8</x:v>
      </x:c>
      <x:c r="B25" s="29" t="str">
        <x:f>IF(A25&lt;=$C$14,"Active","-")</x:f>
        <x:v>-</x:v>
      </x:c>
      <x:c r="C25" s="54" t="n">
        <x:f>IF(B25="Active",'Controls'!$C$9/$C$14,0)</x:f>
        <x:v>0</x:v>
      </x:c>
      <x:c r="D25" s="54" t="n">
        <x:f>IF(B25="Active",'Controls'!$C$10/$C$14,0)</x:f>
        <x:v>0</x:v>
      </x:c>
      <x:c r="E25" s="54" t="n">
        <x:f>IF(B25="Active",$C$8/$C$14,0)</x:f>
        <x:v>0</x:v>
      </x:c>
      <x:c r="F25" s="54" t="n">
        <x:f>IF(B25="Active",$C$9/$C$14,0)</x:f>
        <x:v>0</x:v>
      </x:c>
      <x:c r="G25" s="54" t="n">
        <x:f>SUM(D25:F25)</x:f>
        <x:v>0</x:v>
      </x:c>
      <x:c r="H25" s="54" t="n">
        <x:f>G25/0.70307</x:f>
        <x:v>0</x:v>
      </x:c>
      <x:c r="I25" s="54" t="n">
        <x:f>IF(B25="Active",1000*9.81*$C$5*G25/'Controls'!$C$14/1000000*(1+'Controls'!$C$27),0)</x:f>
        <x:v>0</x:v>
      </x:c>
      <x:c r="J25" s="29" t="str">
        <x:f>IF(B25="-","-",IF(H25&lt;='Controls'!$C$18,"Within ceiling","Review"))</x:f>
        <x:v>-</x:v>
      </x:c>
    </x:row>
    <x:row r="26">
      <x:c r="A26" s="29" t="n">
        <x:v>9</x:v>
      </x:c>
      <x:c r="B26" s="29" t="str">
        <x:f>IF(A26&lt;=$C$14,"Active","-")</x:f>
        <x:v>-</x:v>
      </x:c>
      <x:c r="C26" s="54" t="n">
        <x:f>IF(B26="Active",'Controls'!$C$9/$C$14,0)</x:f>
        <x:v>0</x:v>
      </x:c>
      <x:c r="D26" s="54" t="n">
        <x:f>IF(B26="Active",'Controls'!$C$10/$C$14,0)</x:f>
        <x:v>0</x:v>
      </x:c>
      <x:c r="E26" s="54" t="n">
        <x:f>IF(B26="Active",$C$8/$C$14,0)</x:f>
        <x:v>0</x:v>
      </x:c>
      <x:c r="F26" s="54" t="n">
        <x:f>IF(B26="Active",$C$9/$C$14,0)</x:f>
        <x:v>0</x:v>
      </x:c>
      <x:c r="G26" s="54" t="n">
        <x:f>SUM(D26:F26)</x:f>
        <x:v>0</x:v>
      </x:c>
      <x:c r="H26" s="54" t="n">
        <x:f>G26/0.70307</x:f>
        <x:v>0</x:v>
      </x:c>
      <x:c r="I26" s="54" t="n">
        <x:f>IF(B26="Active",1000*9.81*$C$5*G26/'Controls'!$C$14/1000000*(1+'Controls'!$C$27),0)</x:f>
        <x:v>0</x:v>
      </x:c>
      <x:c r="J26" s="29" t="str">
        <x:f>IF(B26="-","-",IF(H26&lt;='Controls'!$C$18,"Within ceiling","Review"))</x:f>
        <x:v>-</x:v>
      </x:c>
    </x:row>
    <x:row r="27">
      <x:c r="A27" s="29" t="n">
        <x:v>10</x:v>
      </x:c>
      <x:c r="B27" s="29" t="str">
        <x:f>IF(A27&lt;=$C$14,"Active","-")</x:f>
        <x:v>-</x:v>
      </x:c>
      <x:c r="C27" s="54" t="n">
        <x:f>IF(B27="Active",'Controls'!$C$9/$C$14,0)</x:f>
        <x:v>0</x:v>
      </x:c>
      <x:c r="D27" s="54" t="n">
        <x:f>IF(B27="Active",'Controls'!$C$10/$C$14,0)</x:f>
        <x:v>0</x:v>
      </x:c>
      <x:c r="E27" s="54" t="n">
        <x:f>IF(B27="Active",$C$8/$C$14,0)</x:f>
        <x:v>0</x:v>
      </x:c>
      <x:c r="F27" s="54" t="n">
        <x:f>IF(B27="Active",$C$9/$C$14,0)</x:f>
        <x:v>0</x:v>
      </x:c>
      <x:c r="G27" s="54" t="n">
        <x:f>SUM(D27:F27)</x:f>
        <x:v>0</x:v>
      </x:c>
      <x:c r="H27" s="54" t="n">
        <x:f>G27/0.70307</x:f>
        <x:v>0</x:v>
      </x:c>
      <x:c r="I27" s="54" t="n">
        <x:f>IF(B27="Active",1000*9.81*$C$5*G27/'Controls'!$C$14/1000000*(1+'Controls'!$C$27),0)</x:f>
        <x:v>0</x:v>
      </x:c>
      <x:c r="J27" s="29" t="str">
        <x:f>IF(B27="-","-",IF(H27&lt;='Controls'!$C$18,"Within ceiling","Review"))</x:f>
        <x:v>-</x:v>
      </x:c>
    </x:row>
  </x:sheetData>
  <x:conditionalFormatting sqref="J18:J27">
    <x:cfRule type="containsText" dxfId="0" priority="1" operator="containsText" text="Review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2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3" hidden="0" customWidth="1"/>
    <x:col min="10" max="10" width="38" hidden="0" customWidth="1"/>
  </x:cols>
  <x:sheetData>
    <x:row r="1" ht="24" customHeight="1">
      <x:c r="A1" s="4" t="str">
        <x:v>Pipe geometry and deployment manifest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6" t="str">
        <x:v>Pipe mass is formula-derived. Other equipment masses are preliminary assumptions retained to expose the lift burden.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8" t="str">
        <x:v>Pipe metric</x:v>
      </x:c>
      <x:c r="B4" s="19" t="str">
        <x:v>Unit</x:v>
      </x:c>
      <x:c r="C4" s="20" t="str">
        <x:v>Value</x:v>
      </x:c>
      <x:c r="D4" s="46"/>
      <x:c r="E4" s="46"/>
      <x:c r="F4" s="46"/>
      <x:c r="G4" s="46"/>
      <x:c r="H4" s="46"/>
      <x:c r="I4" s="46"/>
      <x:c r="J4" s="46"/>
    </x:row>
    <x:row r="5">
      <x:c r="A5" s="29" t="str">
        <x:v>Internal diameter</x:v>
      </x:c>
      <x:c r="B5" s="29" t="str">
        <x:v>m</x:v>
      </x:c>
      <x:c r="C5" s="56" t="n">
        <x:f>'Controls'!$C$12</x:f>
        <x:v>0.5</x:v>
      </x:c>
      <x:c r="D5" s="46"/>
      <x:c r="E5" s="46"/>
      <x:c r="F5" s="46"/>
      <x:c r="G5" s="46"/>
      <x:c r="H5" s="46"/>
      <x:c r="I5" s="46"/>
      <x:c r="J5" s="46"/>
    </x:row>
    <x:row r="6">
      <x:c r="A6" s="29" t="str">
        <x:v>Dimension ratio</x:v>
      </x:c>
      <x:c r="B6" s="29" t="str">
        <x:v>DR</x:v>
      </x:c>
      <x:c r="C6" s="56" t="n">
        <x:f>'Controls'!$C$16</x:f>
        <x:v>17</x:v>
      </x:c>
      <x:c r="D6" s="46"/>
      <x:c r="E6" s="46"/>
      <x:c r="F6" s="46"/>
      <x:c r="G6" s="46"/>
      <x:c r="H6" s="46"/>
      <x:c r="I6" s="46"/>
      <x:c r="J6" s="46"/>
    </x:row>
    <x:row r="7">
      <x:c r="A7" s="29" t="str">
        <x:v>Outer diameter</x:v>
      </x:c>
      <x:c r="B7" s="29" t="str">
        <x:v>m</x:v>
      </x:c>
      <x:c r="C7" s="56" t="n">
        <x:f>C5/(1-2/C6)</x:f>
        <x:v>0.5666666666666667</x:v>
      </x:c>
      <x:c r="D7" s="46"/>
      <x:c r="E7" s="46"/>
      <x:c r="F7" s="46"/>
      <x:c r="G7" s="46"/>
      <x:c r="H7" s="46"/>
      <x:c r="I7" s="46"/>
      <x:c r="J7" s="46"/>
    </x:row>
    <x:row r="8">
      <x:c r="A8" s="29" t="str">
        <x:v>Wall thickness</x:v>
      </x:c>
      <x:c r="B8" s="29" t="str">
        <x:v>m</x:v>
      </x:c>
      <x:c r="C8" s="56" t="n">
        <x:f>C7/C6</x:f>
        <x:v>0.03333333333333333</x:v>
      </x:c>
      <x:c r="D8" s="46"/>
      <x:c r="E8" s="46"/>
      <x:c r="F8" s="46"/>
      <x:c r="G8" s="46"/>
      <x:c r="H8" s="46"/>
      <x:c r="I8" s="46"/>
      <x:c r="J8" s="46"/>
    </x:row>
    <x:row r="9">
      <x:c r="A9" s="29" t="str">
        <x:v>Material area</x:v>
      </x:c>
      <x:c r="B9" s="29" t="str">
        <x:v>m²</x:v>
      </x:c>
      <x:c r="C9" s="56" t="n">
        <x:f>PI()/4*(C7^2-C5^2)</x:f>
        <x:v>0.05585053606381851</x:v>
      </x:c>
      <x:c r="D9" s="46"/>
      <x:c r="E9" s="46"/>
      <x:c r="F9" s="46"/>
      <x:c r="G9" s="46"/>
      <x:c r="H9" s="46"/>
      <x:c r="I9" s="46"/>
      <x:c r="J9" s="46"/>
    </x:row>
    <x:row r="10">
      <x:c r="A10" s="29" t="str">
        <x:v>Linear mass</x:v>
      </x:c>
      <x:c r="B10" s="29" t="str">
        <x:v>kg/m and t/km</x:v>
      </x:c>
      <x:c r="C10" s="50" t="n">
        <x:f>C9*'Controls'!$C$17</x:f>
        <x:v>53.058009260627585</x:v>
      </x:c>
      <x:c r="D10" s="46"/>
      <x:c r="E10" s="46"/>
      <x:c r="F10" s="46"/>
      <x:c r="G10" s="46"/>
      <x:c r="H10" s="46"/>
      <x:c r="I10" s="46"/>
      <x:c r="J10" s="46"/>
    </x:row>
    <x:row r="11">
      <x:c r="A11" s="29" t="str">
        <x:v>Base pipe mass</x:v>
      </x:c>
      <x:c r="B11" s="29" t="str">
        <x:v>t</x:v>
      </x:c>
      <x:c r="C11" s="50" t="n">
        <x:f>C10*'Controls'!$C$9*'Controls'!$C$11</x:f>
        <x:v>5305.800926062759</x:v>
      </x:c>
      <x:c r="D11" s="46"/>
      <x:c r="E11" s="46"/>
      <x:c r="F11" s="46"/>
      <x:c r="G11" s="46"/>
      <x:c r="H11" s="46"/>
      <x:c r="I11" s="46"/>
      <x:c r="J11" s="46"/>
    </x:row>
    <x:row r="12">
      <x:c r="A12" s="29" t="str">
        <x:v>Reserve pipe mass</x:v>
      </x:c>
      <x:c r="B12" s="29" t="str">
        <x:v>t</x:v>
      </x:c>
      <x:c r="C12" s="50" t="n">
        <x:f>C11*'Controls'!$C$25</x:f>
        <x:v>530.5800926062759</x:v>
      </x:c>
      <x:c r="D12" s="46"/>
      <x:c r="E12" s="46"/>
      <x:c r="F12" s="46"/>
      <x:c r="G12" s="46"/>
      <x:c r="H12" s="46"/>
      <x:c r="I12" s="46"/>
      <x:c r="J12" s="46"/>
    </x:row>
    <x:row r="13">
      <x:c r="A13" s="29" t="str">
        <x:v>Total pipe mass</x:v>
      </x:c>
      <x:c r="B13" s="29" t="str">
        <x:v>t</x:v>
      </x:c>
      <x:c r="C13" s="50" t="n">
        <x:f>C11+C12</x:f>
        <x:v>5836.381018669034</x:v>
      </x:c>
      <x:c r="D13" s="46"/>
      <x:c r="E13" s="46"/>
      <x:c r="F13" s="46"/>
      <x:c r="G13" s="46"/>
      <x:c r="H13" s="46"/>
      <x:c r="I13" s="46"/>
      <x:c r="J13" s="46"/>
    </x:row>
    <x:row r="14">
      <x:c r="A14" s="29" t="str">
        <x:v>Pressure-class check</x:v>
      </x:c>
      <x:c r="B14" s="29" t="str">
        <x:v>status</x:v>
      </x:c>
      <x:c r="C14" s="29" t="str">
        <x:f>IF('Controls'!$C$18&lt;='Controls'!$C$29*'Controls'!$C$28,"Selected ceiling below adjusted class","Review pressure class")</x:f>
        <x:v>Selected ceiling below adjusted class</x:v>
      </x:c>
      <x:c r="D14" s="46"/>
      <x:c r="E14" s="46"/>
      <x:c r="F14" s="46"/>
      <x:c r="G14" s="46"/>
      <x:c r="H14" s="46"/>
      <x:c r="I14" s="46"/>
      <x:c r="J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</x:row>
    <x:row r="16">
      <x:c r="A16" s="47" t="str">
        <x:v>Preliminary equipment and lift manifest</x:v>
      </x:c>
      <x:c r="B16" s="48"/>
      <x:c r="C16" s="48"/>
      <x:c r="D16" s="48"/>
      <x:c r="E16" s="48"/>
      <x:c r="F16" s="48"/>
      <x:c r="G16" s="48"/>
      <x:c r="H16" s="48"/>
      <x:c r="I16" s="48"/>
      <x:c r="J16" s="49"/>
    </x:row>
    <x:row r="17" ht="32" customHeight="1">
      <x:c r="A17" s="18" t="str">
        <x:v>Category</x:v>
      </x:c>
      <x:c r="B17" s="19" t="str">
        <x:v>Item</x:v>
      </x:c>
      <x:c r="C17" s="19" t="str">
        <x:v>Unit</x:v>
      </x:c>
      <x:c r="D17" s="19" t="str">
        <x:v>Quantity</x:v>
      </x:c>
      <x:c r="E17" s="19" t="str">
        <x:v>Unit mass (t)</x:v>
      </x:c>
      <x:c r="F17" s="19" t="str">
        <x:v>Base mass (t)</x:v>
      </x:c>
      <x:c r="G17" s="19" t="str">
        <x:v>Unit cube (m³)</x:v>
      </x:c>
      <x:c r="H17" s="19" t="str">
        <x:v>Total cube (m³)</x:v>
      </x:c>
      <x:c r="I17" s="19" t="str">
        <x:v>Primary lift</x:v>
      </x:c>
      <x:c r="J17" s="20" t="str">
        <x:v>Basis</x:v>
      </x:c>
    </x:row>
    <x:row r="18">
      <x:c r="A18" s="29" t="str">
        <x:v>Conveyance</x:v>
      </x:c>
      <x:c r="B18" s="29" t="str">
        <x:v>Potable trunk pipe including reserve</x:v>
      </x:c>
      <x:c r="C18" s="29" t="str">
        <x:v>km</x:v>
      </x:c>
      <x:c r="D18" s="50" t="n">
        <x:f>'Controls'!$C$9*'Controls'!$C$11*(1+'Controls'!$C$25)</x:f>
        <x:v>110.00000000000001</x:v>
      </x:c>
      <x:c r="E18" s="50" t="n">
        <x:f>$C$10</x:f>
        <x:v>53.058009260627585</x:v>
      </x:c>
      <x:c r="F18" s="50" t="n">
        <x:f>D18*E18</x:f>
        <x:v>5836.381018669035</x:v>
      </x:c>
      <x:c r="G18" s="50" t="n">
        <x:v>18</x:v>
      </x:c>
      <x:c r="H18" s="50" t="n">
        <x:f>D18*G18</x:f>
        <x:v>1980.0000000000002</x:v>
      </x:c>
      <x:c r="I18" s="29" t="str">
        <x:v>Rail</x:v>
      </x:c>
      <x:c r="J18" s="29" t="str">
        <x:v>Formula-derived geometry</x:v>
      </x:c>
    </x:row>
    <x:row r="19">
      <x:c r="A19" s="29" t="str">
        <x:v>Conveyance</x:v>
      </x:c>
      <x:c r="B19" s="29" t="str">
        <x:v>Fittings, valves, anchors and bypass reserve</x:v>
      </x:c>
      <x:c r="C19" s="29" t="str">
        <x:v>set</x:v>
      </x:c>
      <x:c r="D19" s="50" t="n">
        <x:f>1</x:f>
        <x:v>1</x:v>
      </x:c>
      <x:c r="E19" s="50" t="n">
        <x:f>$C$11*0.08</x:f>
        <x:v>424.4640740850207</x:v>
      </x:c>
      <x:c r="F19" s="50" t="n">
        <x:f>D19*E19</x:f>
        <x:v>424.4640740850207</x:v>
      </x:c>
      <x:c r="G19" s="50" t="n">
        <x:v>1500</x:v>
      </x:c>
      <x:c r="H19" s="50" t="n">
        <x:f>D19*G19</x:f>
        <x:v>1500</x:v>
      </x:c>
      <x:c r="I19" s="29" t="str">
        <x:v>Road</x:v>
      </x:c>
      <x:c r="J19" s="29" t="str">
        <x:v>8% of base pipe mass assumption</x:v>
      </x:c>
    </x:row>
    <x:row r="20">
      <x:c r="A20" s="29" t="str">
        <x:v>Conveyance</x:v>
      </x:c>
      <x:c r="B20" s="29" t="str">
        <x:v>Booster station packages</x:v>
      </x:c>
      <x:c r="C20" s="29" t="str">
        <x:v>station</x:v>
      </x:c>
      <x:c r="D20" s="50" t="n">
        <x:f>'Hydraulic Reaches'!$C$14</x:f>
        <x:v>4</x:v>
      </x:c>
      <x:c r="E20" s="50" t="n">
        <x:f>85</x:f>
        <x:v>85</x:v>
      </x:c>
      <x:c r="F20" s="50" t="n">
        <x:f>D20*E20</x:f>
        <x:v>340</x:v>
      </x:c>
      <x:c r="G20" s="50" t="n">
        <x:v>400</x:v>
      </x:c>
      <x:c r="H20" s="50" t="n">
        <x:f>D20*G20</x:f>
        <x:v>1600</x:v>
      </x:c>
      <x:c r="I20" s="29" t="str">
        <x:v>Road</x:v>
      </x:c>
      <x:c r="J20" s="29" t="str">
        <x:v>Preliminary package assumption</x:v>
      </x:c>
    </x:row>
    <x:row r="21">
      <x:c r="A21" s="29" t="str">
        <x:v>Conveyance</x:v>
      </x:c>
      <x:c r="B21" s="29" t="str">
        <x:v>Break-tank packages</x:v>
      </x:c>
      <x:c r="C21" s="29" t="str">
        <x:v>station</x:v>
      </x:c>
      <x:c r="D21" s="50" t="n">
        <x:f>MAX('Hydraulic Reaches'!$C$14-1,0)</x:f>
        <x:v>3</x:v>
      </x:c>
      <x:c r="E21" s="50" t="n">
        <x:f>120</x:f>
        <x:v>120</x:v>
      </x:c>
      <x:c r="F21" s="50" t="n">
        <x:f>D21*E21</x:f>
        <x:v>360</x:v>
      </x:c>
      <x:c r="G21" s="50" t="n">
        <x:v>900</x:v>
      </x:c>
      <x:c r="H21" s="50" t="n">
        <x:f>D21*G21</x:f>
        <x:v>2700</x:v>
      </x:c>
      <x:c r="I21" s="29" t="str">
        <x:v>Road</x:v>
      </x:c>
      <x:c r="J21" s="29" t="str">
        <x:v>Hardware only; stored water excluded</x:v>
      </x:c>
    </x:row>
    <x:row r="22">
      <x:c r="A22" s="29" t="str">
        <x:v>Treatment</x:v>
      </x:c>
      <x:c r="B22" s="29" t="str">
        <x:v>Treatment trains</x:v>
      </x:c>
      <x:c r="C22" s="29" t="str">
        <x:v>train</x:v>
      </x:c>
      <x:c r="D22" s="50" t="n">
        <x:f>6</x:f>
        <x:v>6</x:v>
      </x:c>
      <x:c r="E22" s="50" t="n">
        <x:f>350</x:f>
        <x:v>350</x:v>
      </x:c>
      <x:c r="F22" s="50" t="n">
        <x:f>D22*E22</x:f>
        <x:v>2100</x:v>
      </x:c>
      <x:c r="G22" s="50" t="n">
        <x:v>1200</x:v>
      </x:c>
      <x:c r="H22" s="50" t="n">
        <x:f>D22*G22</x:f>
        <x:v>7200</x:v>
      </x:c>
      <x:c r="I22" s="29" t="str">
        <x:v>Sealift</x:v>
      </x:c>
      <x:c r="J22" s="29" t="str">
        <x:v>Preliminary 10,000 m³/day train</x:v>
      </x:c>
    </x:row>
    <x:row r="23">
      <x:c r="A23" s="29" t="str">
        <x:v>Treatment</x:v>
      </x:c>
      <x:c r="B23" s="29" t="str">
        <x:v>Intake and source modules</x:v>
      </x:c>
      <x:c r="C23" s="29" t="str">
        <x:v>module</x:v>
      </x:c>
      <x:c r="D23" s="50" t="n">
        <x:f>6</x:f>
        <x:v>6</x:v>
      </x:c>
      <x:c r="E23" s="50" t="n">
        <x:f>80</x:f>
        <x:v>80</x:v>
      </x:c>
      <x:c r="F23" s="50" t="n">
        <x:f>D23*E23</x:f>
        <x:v>480</x:v>
      </x:c>
      <x:c r="G23" s="50" t="n">
        <x:v>350</x:v>
      </x:c>
      <x:c r="H23" s="50" t="n">
        <x:f>D23*G23</x:f>
        <x:v>2100</x:v>
      </x:c>
      <x:c r="I23" s="29" t="str">
        <x:v>Sealift</x:v>
      </x:c>
      <x:c r="J23" s="29" t="str">
        <x:v>Preliminary modular intake</x:v>
      </x:c>
    </x:row>
    <x:row r="24">
      <x:c r="A24" s="29" t="str">
        <x:v>Quality</x:v>
      </x:c>
      <x:c r="B24" s="29" t="str">
        <x:v>Field and confirmatory laboratories</x:v>
      </x:c>
      <x:c r="C24" s="29" t="str">
        <x:v>lab</x:v>
      </x:c>
      <x:c r="D24" s="50" t="n">
        <x:f>8</x:f>
        <x:v>8</x:v>
      </x:c>
      <x:c r="E24" s="50" t="n">
        <x:f>25</x:f>
        <x:v>25</x:v>
      </x:c>
      <x:c r="F24" s="50" t="n">
        <x:f>D24*E24</x:f>
        <x:v>200</x:v>
      </x:c>
      <x:c r="G24" s="50" t="n">
        <x:v>90</x:v>
      </x:c>
      <x:c r="H24" s="50" t="n">
        <x:f>D24*G24</x:f>
        <x:v>720</x:v>
      </x:c>
      <x:c r="I24" s="29" t="str">
        <x:v>Air</x:v>
      </x:c>
      <x:c r="J24" s="29" t="str">
        <x:v>Independent quality chain</x:v>
      </x:c>
    </x:row>
    <x:row r="25">
      <x:c r="A25" s="29" t="str">
        <x:v>Storage</x:v>
      </x:c>
      <x:c r="B25" s="29" t="str">
        <x:v>Reservoir liner and sanitary hardware sets</x:v>
      </x:c>
      <x:c r="C25" s="29" t="str">
        <x:v>set</x:v>
      </x:c>
      <x:c r="D25" s="50" t="n">
        <x:f>8</x:f>
        <x:v>8</x:v>
      </x:c>
      <x:c r="E25" s="50" t="n">
        <x:f>90</x:f>
        <x:v>90</x:v>
      </x:c>
      <x:c r="F25" s="50" t="n">
        <x:f>D25*E25</x:f>
        <x:v>720</x:v>
      </x:c>
      <x:c r="G25" s="50" t="n">
        <x:v>500</x:v>
      </x:c>
      <x:c r="H25" s="50" t="n">
        <x:f>D25*G25</x:f>
        <x:v>4000</x:v>
      </x:c>
      <x:c r="I25" s="29" t="str">
        <x:v>Road</x:v>
      </x:c>
      <x:c r="J25" s="29" t="str">
        <x:v>Water and earth fill excluded</x:v>
      </x:c>
    </x:row>
    <x:row r="26">
      <x:c r="A26" s="29" t="str">
        <x:v>Distribution</x:v>
      </x:c>
      <x:c r="B26" s="29" t="str">
        <x:v>District and critical-facility interfaces</x:v>
      </x:c>
      <x:c r="C26" s="29" t="str">
        <x:v>node</x:v>
      </x:c>
      <x:c r="D26" s="50" t="n">
        <x:f>'Storage &amp; Access'!$E$21</x:f>
        <x:v>111</x:v>
      </x:c>
      <x:c r="E26" s="50" t="n">
        <x:f>3</x:f>
        <x:v>3</x:v>
      </x:c>
      <x:c r="F26" s="50" t="n">
        <x:f>D26*E26</x:f>
        <x:v>333</x:v>
      </x:c>
      <x:c r="G26" s="50" t="n">
        <x:v>18</x:v>
      </x:c>
      <x:c r="H26" s="50" t="n">
        <x:f>D26*G26</x:f>
        <x:v>1998</x:v>
      </x:c>
      <x:c r="I26" s="29" t="str">
        <x:v>Road</x:v>
      </x:c>
      <x:c r="J26" s="29" t="str">
        <x:v>Node count from access model</x:v>
      </x:c>
    </x:row>
    <x:row r="27">
      <x:c r="A27" s="29" t="str">
        <x:v>Sanitation</x:v>
      </x:c>
      <x:c r="B27" s="29" t="str">
        <x:v>Temporary wastewater trains</x:v>
      </x:c>
      <x:c r="C27" s="29" t="str">
        <x:v>train</x:v>
      </x:c>
      <x:c r="D27" s="50" t="n">
        <x:f>CEILING('Return Flows'!$B$7/2500,1)</x:f>
        <x:v>9</x:v>
      </x:c>
      <x:c r="E27" s="50" t="n">
        <x:f>180</x:f>
        <x:v>180</x:v>
      </x:c>
      <x:c r="F27" s="50" t="n">
        <x:f>D27*E27</x:f>
        <x:v>1620</x:v>
      </x:c>
      <x:c r="G27" s="50" t="n">
        <x:v>650</x:v>
      </x:c>
      <x:c r="H27" s="50" t="n">
        <x:f>D27*G27</x:f>
        <x:v>5850</x:v>
      </x:c>
      <x:c r="I27" s="29" t="str">
        <x:v>Sealift</x:v>
      </x:c>
      <x:c r="J27" s="29" t="str">
        <x:v>2,500 m³/day per train assumption</x:v>
      </x:c>
    </x:row>
    <x:row r="28">
      <x:c r="A28" s="29" t="str">
        <x:v>Construction</x:v>
      </x:c>
      <x:c r="B28" s="29" t="str">
        <x:v>Pipe and route work machines</x:v>
      </x:c>
      <x:c r="C28" s="29" t="str">
        <x:v>machine</x:v>
      </x:c>
      <x:c r="D28" s="50" t="n">
        <x:f>60</x:f>
        <x:v>60</x:v>
      </x:c>
      <x:c r="E28" s="50" t="n">
        <x:f>32</x:f>
        <x:v>32</x:v>
      </x:c>
      <x:c r="F28" s="50" t="n">
        <x:f>D28*E28</x:f>
        <x:v>1920</x:v>
      </x:c>
      <x:c r="G28" s="50" t="n">
        <x:v>140</x:v>
      </x:c>
      <x:c r="H28" s="50" t="n">
        <x:f>D28*G28</x:f>
        <x:v>8400</x:v>
      </x:c>
      <x:c r="I28" s="29" t="str">
        <x:v>Rail</x:v>
      </x:c>
      <x:c r="J28" s="29" t="str">
        <x:v>Five-front construction reference</x:v>
      </x:c>
    </x:row>
    <x:row r="29">
      <x:c r="A29" s="29" t="str">
        <x:v>Mobility</x:v>
      </x:c>
      <x:c r="B29" s="29" t="str">
        <x:v>Cargo and utility vehicle fleet</x:v>
      </x:c>
      <x:c r="C29" s="29" t="str">
        <x:v>vehicle</x:v>
      </x:c>
      <x:c r="D29" s="50" t="n">
        <x:f>220</x:f>
        <x:v>220</x:v>
      </x:c>
      <x:c r="E29" s="50" t="n">
        <x:f>18</x:f>
        <x:v>18</x:v>
      </x:c>
      <x:c r="F29" s="50" t="n">
        <x:f>D29*E29</x:f>
        <x:v>3960</x:v>
      </x:c>
      <x:c r="G29" s="50" t="n">
        <x:v>85</x:v>
      </x:c>
      <x:c r="H29" s="50" t="n">
        <x:f>D29*G29</x:f>
        <x:v>18700</x:v>
      </x:c>
      <x:c r="I29" s="29" t="str">
        <x:v>Sealift</x:v>
      </x:c>
      <x:c r="J29" s="29" t="str">
        <x:v>Preliminary formation fleet</x:v>
      </x:c>
    </x:row>
    <x:row r="30">
      <x:c r="A30" s="29" t="str">
        <x:v>Power</x:v>
      </x:c>
      <x:c r="B30" s="29" t="str">
        <x:v>Five-megawatt power modules</x:v>
      </x:c>
      <x:c r="C30" s="29" t="str">
        <x:v>module</x:v>
      </x:c>
      <x:c r="D30" s="50" t="n">
        <x:f>CEILING(('Treatment Cases'!$B$17+'Hydraulic Reaches'!$C$11)*(1+'Controls'!$C$27)/5,1)</x:f>
        <x:v>3</x:v>
      </x:c>
      <x:c r="E30" s="50" t="n">
        <x:f>70</x:f>
        <x:v>70</x:v>
      </x:c>
      <x:c r="F30" s="50" t="n">
        <x:f>D30*E30</x:f>
        <x:v>210</x:v>
      </x:c>
      <x:c r="G30" s="50" t="n">
        <x:v>250</x:v>
      </x:c>
      <x:c r="H30" s="50" t="n">
        <x:f>D30*G30</x:f>
        <x:v>750</x:v>
      </x:c>
      <x:c r="I30" s="29" t="str">
        <x:v>Rail</x:v>
      </x:c>
      <x:c r="J30" s="29" t="str">
        <x:v>Treatment plus conveyance with reserve</x:v>
      </x:c>
    </x:row>
    <x:row r="31">
      <x:c r="A31" s="29" t="str">
        <x:v>Support</x:v>
      </x:c>
      <x:c r="B31" s="29" t="str">
        <x:v>Camp, workshop and warehouse modules</x:v>
      </x:c>
      <x:c r="C31" s="29" t="str">
        <x:v>module</x:v>
      </x:c>
      <x:c r="D31" s="50" t="n">
        <x:f>120</x:f>
        <x:v>120</x:v>
      </x:c>
      <x:c r="E31" s="50" t="n">
        <x:f>12</x:f>
        <x:v>12</x:v>
      </x:c>
      <x:c r="F31" s="50" t="n">
        <x:f>D31*E31</x:f>
        <x:v>1440</x:v>
      </x:c>
      <x:c r="G31" s="50" t="n">
        <x:v>55</x:v>
      </x:c>
      <x:c r="H31" s="50" t="n">
        <x:f>D31*G31</x:f>
        <x:v>6600</x:v>
      </x:c>
      <x:c r="I31" s="29" t="str">
        <x:v>Sealift</x:v>
      </x:c>
      <x:c r="J31" s="29" t="str">
        <x:v>Six-month field sustainment assumption</x:v>
      </x:c>
    </x:row>
    <x:row r="32">
      <x:c r="A32" s="29" t="str">
        <x:v>Spares</x:v>
      </x:c>
      <x:c r="B32" s="29" t="str">
        <x:v>Spare pumps, drives and valve packages</x:v>
      </x:c>
      <x:c r="C32" s="29" t="str">
        <x:v>package</x:v>
      </x:c>
      <x:c r="D32" s="50" t="n">
        <x:f>20</x:f>
        <x:v>20</x:v>
      </x:c>
      <x:c r="E32" s="50" t="n">
        <x:f>20</x:f>
        <x:v>20</x:v>
      </x:c>
      <x:c r="F32" s="50" t="n">
        <x:f>D32*E32</x:f>
        <x:v>400</x:v>
      </x:c>
      <x:c r="G32" s="50" t="n">
        <x:v>80</x:v>
      </x:c>
      <x:c r="H32" s="50" t="n">
        <x:f>D32*G32</x:f>
        <x:v>1600</x:v>
      </x:c>
      <x:c r="I32" s="29" t="str">
        <x:v>Road</x:v>
      </x:c>
      <x:c r="J32" s="29" t="str">
        <x:v>Preliminary field repair stock</x:v>
      </x:c>
    </x:row>
    <x:row r="33">
      <x:c r="A33" s="29" t="str">
        <x:v>Consumables</x:v>
      </x:c>
      <x:c r="B33" s="29" t="str">
        <x:v>Thirty-day treatment consumables</x:v>
      </x:c>
      <x:c r="C33" s="29" t="str">
        <x:v>lot</x:v>
      </x:c>
      <x:c r="D33" s="50" t="n">
        <x:f>1</x:f>
        <x:v>1</x:v>
      </x:c>
      <x:c r="E33" s="50" t="n">
        <x:f>'Treatment Cases'!$B$21*30/1000</x:f>
        <x:v>105.00000000000001</x:v>
      </x:c>
      <x:c r="F33" s="50" t="n">
        <x:f>D33*E33</x:f>
        <x:v>105.00000000000001</x:v>
      </x:c>
      <x:c r="G33" s="50" t="n">
        <x:v>400</x:v>
      </x:c>
      <x:c r="H33" s="50" t="n">
        <x:f>D33*G33</x:f>
        <x:v>400</x:v>
      </x:c>
      <x:c r="I33" s="29" t="str">
        <x:v>Road</x:v>
      </x:c>
      <x:c r="J33" s="29" t="str">
        <x:v>Selected source case</x:v>
      </x:c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</x:row>
    <x:row r="35">
      <x:c r="A35" s="47" t="str">
        <x:v>Manifest summary</x:v>
      </x:c>
      <x:c r="B35" s="48" t="str"/>
      <x:c r="C35" s="48" t="str"/>
      <x:c r="D35" s="48" t="str"/>
      <x:c r="E35" s="48" t="str"/>
      <x:c r="F35" s="49" t="str"/>
      <x:c r="G35" s="46"/>
      <x:c r="H35" s="46"/>
      <x:c r="I35" s="46"/>
      <x:c r="J35" s="46"/>
    </x:row>
    <x:row r="36">
      <x:c r="A36" s="29" t="str">
        <x:v>Base manifest mass (t)</x:v>
      </x:c>
      <x:c r="B36" s="45" t="n">
        <x:f>SUM(F18:F33)</x:f>
        <x:v>20448.845092754054</x:v>
      </x:c>
      <x:c r="C36" s="46"/>
      <x:c r="D36" s="46"/>
      <x:c r="E36" s="46"/>
      <x:c r="F36" s="46"/>
      <x:c r="G36" s="46"/>
      <x:c r="H36" s="46"/>
      <x:c r="I36" s="46"/>
      <x:c r="J36" s="46"/>
    </x:row>
    <x:row r="37">
      <x:c r="A37" s="29" t="str">
        <x:v>Manifest mass with contingency (t)</x:v>
      </x:c>
      <x:c r="B37" s="45" t="n">
        <x:f>B36*(1+'Controls'!$C$26)</x:f>
        <x:v>23516.171856667163</x:v>
      </x:c>
      <x:c r="C37" s="46"/>
      <x:c r="D37" s="46"/>
      <x:c r="E37" s="46"/>
      <x:c r="F37" s="46"/>
      <x:c r="G37" s="46"/>
      <x:c r="H37" s="46"/>
      <x:c r="I37" s="46"/>
      <x:c r="J37" s="4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1" hidden="0" customWidth="1"/>
    <x:col min="4" max="4" width="23" hidden="0" customWidth="1"/>
    <x:col min="5" max="5" width="12" hidden="0" customWidth="1"/>
    <x:col min="6" max="6" width="19" hidden="0" customWidth="1"/>
    <x:col min="7" max="7" width="16" hidden="0" customWidth="1"/>
    <x:col min="8" max="8" width="48" hidden="0" customWidth="1"/>
    <x:col min="9" max="9" width="42" hidden="0" customWidth="1"/>
  </x:cols>
  <x:sheetData>
    <x:row r="1" ht="24" customHeight="1">
      <x:c r="A1" s="4" t="str">
        <x:v>Storage and point-of-use access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6" t="str">
        <x:v>The model separates hydraulic buffering from the distribution interfaces that make water usable.</x:v>
      </x:c>
      <x:c r="B2" s="6"/>
      <x:c r="C2" s="6"/>
      <x:c r="D2" s="6"/>
      <x:c r="E2" s="6"/>
      <x:c r="F2" s="6"/>
      <x:c r="G2" s="6"/>
      <x:c r="H2" s="6"/>
      <x:c r="I2" s="6"/>
    </x:row>
    <x:row r="4" ht="32" customHeight="1">
      <x:c r="A4" s="18" t="str">
        <x:v>Storage component</x:v>
      </x:c>
      <x:c r="B4" s="19" t="str">
        <x:v>Equivalent hours</x:v>
      </x:c>
      <x:c r="C4" s="19" t="str">
        <x:v>Reference flow (m³/day)</x:v>
      </x:c>
      <x:c r="D4" s="19" t="str">
        <x:v>Volume (m³)</x:v>
      </x:c>
      <x:c r="E4" s="19" t="str">
        <x:v>Water mass (t)</x:v>
      </x:c>
      <x:c r="F4" s="19" t="str">
        <x:v>Usable depth (m)</x:v>
      </x:c>
      <x:c r="G4" s="19" t="str">
        <x:v>Site factor</x:v>
      </x:c>
      <x:c r="H4" s="19" t="str">
        <x:v>Gross footprint (m²)</x:v>
      </x:c>
      <x:c r="I4" s="20" t="str">
        <x:v>Basis</x:v>
      </x:c>
    </x:row>
    <x:row r="5">
      <x:c r="A5" s="29" t="str">
        <x:v>Raw-water buffer</x:v>
      </x:c>
      <x:c r="B5" s="44" t="n">
        <x:f>'Controls'!$C$30</x:f>
        <x:v>4</x:v>
      </x:c>
      <x:c r="C5" s="45" t="n">
        <x:f>'Treatment Cases'!$B$15</x:f>
        <x:v>100000</x:v>
      </x:c>
      <x:c r="D5" s="45" t="n">
        <x:f>B5/24*C5</x:f>
        <x:v>16666.666666666664</x:v>
      </x:c>
      <x:c r="E5" s="45" t="n">
        <x:f>D5</x:f>
        <x:v>16666.666666666664</x:v>
      </x:c>
      <x:c r="F5" s="44" t="n">
        <x:f>'Controls'!$C$37</x:f>
        <x:v>2.5</x:v>
      </x:c>
      <x:c r="G5" s="44" t="n">
        <x:f>'Controls'!$C$36</x:f>
        <x:v>2</x:v>
      </x:c>
      <x:c r="H5" s="45" t="n">
        <x:f>D5/F5*G5</x:f>
        <x:v>13333.333333333332</x:v>
      </x:c>
      <x:c r="I5" s="29" t="str">
        <x:v>Feed-side source interruption buffer</x:v>
      </x:c>
    </x:row>
    <x:row r="6">
      <x:c r="A6" s="29" t="str">
        <x:v>Plant clearwell</x:v>
      </x:c>
      <x:c r="B6" s="44" t="n">
        <x:f>'Controls'!$C$31</x:f>
        <x:v>2</x:v>
      </x:c>
      <x:c r="C6" s="45" t="n">
        <x:f>'Controls'!$C$6</x:f>
        <x:v>50000</x:v>
      </x:c>
      <x:c r="D6" s="45" t="n">
        <x:f>B6/24*C6</x:f>
        <x:v>4166.666666666666</x:v>
      </x:c>
      <x:c r="E6" s="45" t="n">
        <x:f>D6</x:f>
        <x:v>4166.666666666666</x:v>
      </x:c>
      <x:c r="F6" s="44" t="n">
        <x:f>'Controls'!$C$37</x:f>
        <x:v>2.5</x:v>
      </x:c>
      <x:c r="G6" s="44" t="n">
        <x:f>'Controls'!$C$36</x:f>
        <x:v>2</x:v>
      </x:c>
      <x:c r="H6" s="45" t="n">
        <x:f>D6/F6*G6</x:f>
        <x:v>3333.333333333333</x:v>
      </x:c>
      <x:c r="I6" s="29" t="str">
        <x:v>Contact and plant-output buffer</x:v>
      </x:c>
    </x:row>
    <x:row r="7">
      <x:c r="A7" s="29" t="str">
        <x:v>Inter-zone break storage</x:v>
      </x:c>
      <x:c r="B7" s="44" t="n">
        <x:f>'Controls'!$C$32*MAX('Hydraulic Reaches'!$C$14-1,0)</x:f>
        <x:v>3</x:v>
      </x:c>
      <x:c r="C7" s="45" t="n">
        <x:f>'Controls'!$C$6</x:f>
        <x:v>50000</x:v>
      </x:c>
      <x:c r="D7" s="45" t="n">
        <x:f>B7/24*C7</x:f>
        <x:v>6250</x:v>
      </x:c>
      <x:c r="E7" s="45" t="n">
        <x:f>D7</x:f>
        <x:v>6250</x:v>
      </x:c>
      <x:c r="F7" s="44" t="n">
        <x:f>'Controls'!$C$37</x:f>
        <x:v>2.5</x:v>
      </x:c>
      <x:c r="G7" s="44" t="n">
        <x:f>'Controls'!$C$36</x:f>
        <x:v>2</x:v>
      </x:c>
      <x:c r="H7" s="45" t="n">
        <x:f>D7/F7*G7</x:f>
        <x:v>5000</x:v>
      </x:c>
      <x:c r="I7" s="29" t="str">
        <x:v>One throughput-hour at each inter-zone break</x:v>
      </x:c>
    </x:row>
    <x:row r="8">
      <x:c r="A8" s="29" t="str">
        <x:v>District reserve</x:v>
      </x:c>
      <x:c r="B8" s="44" t="n">
        <x:f>'Controls'!$C$20</x:f>
        <x:v>6</x:v>
      </x:c>
      <x:c r="C8" s="45" t="n">
        <x:f>'Controls'!$C$6</x:f>
        <x:v>50000</x:v>
      </x:c>
      <x:c r="D8" s="45" t="n">
        <x:f>B8/24*C8</x:f>
        <x:v>12500</x:v>
      </x:c>
      <x:c r="E8" s="45" t="n">
        <x:f>D8</x:f>
        <x:v>12500</x:v>
      </x:c>
      <x:c r="F8" s="44" t="n">
        <x:f>'Controls'!$C$37</x:f>
        <x:v>2.5</x:v>
      </x:c>
      <x:c r="G8" s="44" t="n">
        <x:f>'Controls'!$C$36</x:f>
        <x:v>2</x:v>
      </x:c>
      <x:c r="H8" s="45" t="n">
        <x:f>D8/F8*G8</x:f>
        <x:v>10000</x:v>
      </x:c>
      <x:c r="I8" s="29" t="str">
        <x:v>Accessible reserve near served population</x:v>
      </x:c>
    </x:row>
    <x:row r="9">
      <x:c r="A9" s="29" t="str">
        <x:v>Contingency product reserve</x:v>
      </x:c>
      <x:c r="B9" s="44" t="n">
        <x:f>'Controls'!$C$33</x:f>
        <x:v>4</x:v>
      </x:c>
      <x:c r="C9" s="45" t="n">
        <x:f>'Controls'!$C$6</x:f>
        <x:v>50000</x:v>
      </x:c>
      <x:c r="D9" s="45" t="n">
        <x:f>B9/24*C9</x:f>
        <x:v>8333.333333333332</x:v>
      </x:c>
      <x:c r="E9" s="45" t="n">
        <x:f>D9</x:f>
        <x:v>8333.333333333332</x:v>
      </x:c>
      <x:c r="F9" s="44" t="n">
        <x:f>'Controls'!$C$37</x:f>
        <x:v>2.5</x:v>
      </x:c>
      <x:c r="G9" s="44" t="n">
        <x:f>'Controls'!$C$36</x:f>
        <x:v>2</x:v>
      </x:c>
      <x:c r="H9" s="45" t="n">
        <x:f>D9/F9*G9</x:f>
        <x:v>6666.666666666666</x:v>
      </x:c>
      <x:c r="I9" s="29" t="str">
        <x:v>Isolated reserve</x:v>
      </x:c>
    </x:row>
    <x:row r="10">
      <x:c r="A10" s="65" t="str">
        <x:v>Total</x:v>
      </x:c>
      <x:c r="B10" s="66"/>
      <x:c r="C10" s="67"/>
      <x:c r="D10" s="67" t="n">
        <x:f>SUM(D5:D9)</x:f>
        <x:v>47916.66666666666</x:v>
      </x:c>
      <x:c r="E10" s="67" t="n">
        <x:f>SUM(E5:E9)</x:f>
        <x:v>47916.66666666666</x:v>
      </x:c>
      <x:c r="F10" s="66"/>
      <x:c r="G10" s="66"/>
      <x:c r="H10" s="67" t="n">
        <x:f>SUM(H5:H9)</x:f>
        <x:v>38333.33333333333</x:v>
      </x:c>
      <x:c r="I10" s="65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</x:row>
    <x:row r="13">
      <x:c r="A13" s="47" t="str">
        <x:v>Distribution channels</x:v>
      </x:c>
      <x:c r="B13" s="48"/>
      <x:c r="C13" s="48"/>
      <x:c r="D13" s="48"/>
      <x:c r="E13" s="48"/>
      <x:c r="F13" s="48"/>
      <x:c r="G13" s="48"/>
      <x:c r="H13" s="49"/>
      <x:c r="I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</x:row>
    <x:row r="15" ht="32" customHeight="1">
      <x:c r="A15" s="18" t="str">
        <x:v>Channel</x:v>
      </x:c>
      <x:c r="B15" s="19" t="str">
        <x:v>Share</x:v>
      </x:c>
      <x:c r="C15" s="19" t="str">
        <x:v>Volume (m³/day)</x:v>
      </x:c>
      <x:c r="D15" s="19" t="str">
        <x:v>Node capacity (m³/day)</x:v>
      </x:c>
      <x:c r="E15" s="19" t="str">
        <x:v>Nodes</x:v>
      </x:c>
      <x:c r="F15" s="19" t="str">
        <x:v>Samples/node/day</x:v>
      </x:c>
      <x:c r="G15" s="19" t="str">
        <x:v>Samples/day</x:v>
      </x:c>
      <x:c r="H15" s="20" t="str">
        <x:v>Operating role</x:v>
      </x:c>
      <x:c r="I15" s="46"/>
    </x:row>
    <x:row r="16">
      <x:c r="A16" s="29" t="str">
        <x:v>Safe utility sectors</x:v>
      </x:c>
      <x:c r="B16" s="53" t="n">
        <x:v>0.5</x:v>
      </x:c>
      <x:c r="C16" s="45" t="n">
        <x:f>'Controls'!$C$6*B16</x:f>
        <x:v>25000</x:v>
      </x:c>
      <x:c r="D16" s="45" t="n">
        <x:v>5000</x:v>
      </x:c>
      <x:c r="E16" s="45" t="n">
        <x:f>CEILING(C16/D16,1)</x:f>
        <x:v>5</x:v>
      </x:c>
      <x:c r="F16" s="45" t="n">
        <x:v>1</x:v>
      </x:c>
      <x:c r="G16" s="45" t="n">
        <x:f>E16*F16</x:f>
        <x:v>5</x:v>
      </x:c>
      <x:c r="H16" s="29" t="str">
        <x:v>Repressurized and sampled bounded sectors</x:v>
      </x:c>
      <x:c r="I16" s="46"/>
    </x:row>
    <x:row r="17">
      <x:c r="A17" s="29" t="str">
        <x:v>Direct critical facilities</x:v>
      </x:c>
      <x:c r="B17" s="53" t="n">
        <x:v>0.1</x:v>
      </x:c>
      <x:c r="C17" s="45" t="n">
        <x:f>'Controls'!$C$6*B17</x:f>
        <x:v>5000</x:v>
      </x:c>
      <x:c r="D17" s="45" t="n">
        <x:v>250</x:v>
      </x:c>
      <x:c r="E17" s="45" t="n">
        <x:f>CEILING(C17/D17,1)</x:f>
        <x:v>20</x:v>
      </x:c>
      <x:c r="F17" s="45" t="n">
        <x:v>2</x:v>
      </x:c>
      <x:c r="G17" s="45" t="n">
        <x:f>E17*F17</x:f>
        <x:v>40</x:v>
      </x:c>
      <x:c r="H17" s="29" t="str">
        <x:v>Hospitals, dialysis, shelters and food systems</x:v>
      </x:c>
      <x:c r="I17" s="46"/>
    </x:row>
    <x:row r="18">
      <x:c r="A18" s="29" t="str">
        <x:v>District loops and service islands</x:v>
      </x:c>
      <x:c r="B18" s="53" t="n">
        <x:v>0.25</x:v>
      </x:c>
      <x:c r="C18" s="45" t="n">
        <x:f>'Controls'!$C$6*B18</x:f>
        <x:v>12500</x:v>
      </x:c>
      <x:c r="D18" s="45" t="n">
        <x:v>200</x:v>
      </x:c>
      <x:c r="E18" s="45" t="n">
        <x:f>CEILING(C18/D18,1)</x:f>
        <x:v>63</x:v>
      </x:c>
      <x:c r="F18" s="45" t="n">
        <x:v>1</x:v>
      </x:c>
      <x:c r="G18" s="45" t="n">
        <x:f>E18*F18</x:f>
        <x:v>63</x:v>
      </x:c>
      <x:c r="H18" s="29" t="str">
        <x:v>Neighborhood-scale accessible service</x:v>
      </x:c>
      <x:c r="I18" s="46"/>
    </x:row>
    <x:row r="19">
      <x:c r="A19" s="29" t="str">
        <x:v>Tanker fill and delivery</x:v>
      </x:c>
      <x:c r="B19" s="53" t="n">
        <x:v>0.1</x:v>
      </x:c>
      <x:c r="C19" s="45" t="n">
        <x:f>'Controls'!$C$6*B19</x:f>
        <x:v>5000</x:v>
      </x:c>
      <x:c r="D19" s="45" t="n">
        <x:v>500</x:v>
      </x:c>
      <x:c r="E19" s="45" t="n">
        <x:f>CEILING(C19/D19,1)</x:f>
        <x:v>10</x:v>
      </x:c>
      <x:c r="F19" s="45" t="n">
        <x:v>2</x:v>
      </x:c>
      <x:c r="G19" s="45" t="n">
        <x:f>E19*F19</x:f>
        <x:v>20</x:v>
      </x:c>
      <x:c r="H19" s="29" t="str">
        <x:v>Isolated facilities and dispersed users</x:v>
      </x:c>
      <x:c r="I19" s="46"/>
    </x:row>
    <x:row r="20">
      <x:c r="A20" s="29" t="str">
        <x:v>Packaged-water interfaces</x:v>
      </x:c>
      <x:c r="B20" s="53" t="n">
        <x:v>0.05</x:v>
      </x:c>
      <x:c r="C20" s="45" t="n">
        <x:f>'Controls'!$C$6*B20</x:f>
        <x:v>2500</x:v>
      </x:c>
      <x:c r="D20" s="45" t="n">
        <x:v>200</x:v>
      </x:c>
      <x:c r="E20" s="45" t="n">
        <x:f>CEILING(C20/D20,1)</x:f>
        <x:v>13</x:v>
      </x:c>
      <x:c r="F20" s="45" t="n">
        <x:v>2</x:v>
      </x:c>
      <x:c r="G20" s="45" t="n">
        <x:f>E20*F20</x:f>
        <x:v>26</x:v>
      </x:c>
      <x:c r="H20" s="29" t="str">
        <x:v>First entry and users unsuitable for bulk issue</x:v>
      </x:c>
      <x:c r="I20" s="46"/>
    </x:row>
    <x:row r="21">
      <x:c r="A21" s="65" t="str">
        <x:v>Total / check</x:v>
      </x:c>
      <x:c r="B21" s="68" t="n">
        <x:f>SUM(B16:B20)</x:f>
        <x:v>1</x:v>
      </x:c>
      <x:c r="C21" s="67" t="n">
        <x:f>SUM(C16:C20)</x:f>
        <x:v>50000</x:v>
      </x:c>
      <x:c r="D21" s="67"/>
      <x:c r="E21" s="67" t="n">
        <x:f>SUM(E16:E20)</x:f>
        <x:v>111</x:v>
      </x:c>
      <x:c r="F21" s="67"/>
      <x:c r="G21" s="67" t="n">
        <x:f>SUM(G16:G20)</x:f>
        <x:v>154</x:v>
      </x:c>
      <x:c r="H21" s="65" t="str">
        <x:f>IF(ABS(B21-1)&lt;0.0001,"Shares reconcile","Review shares")</x:f>
        <x:v>Shares reconcile</x:v>
      </x:c>
      <x:c r="I21" s="4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4" hidden="0" customWidth="1"/>
    <x:col min="4" max="4" width="42" hidden="0" customWidth="1"/>
    <x:col min="5" max="5" width="38" hidden="0" customWidth="1"/>
    <x:col min="6" max="6" width="29" hidden="0" customWidth="1"/>
    <x:col min="7" max="7" width="16" hidden="0" customWidth="1"/>
    <x:col min="8" max="8" width="42" hidden="0" customWidth="1"/>
  </x:cols>
  <x:sheetData>
    <x:row r="1" ht="24" customHeight="1">
      <x:c r="A1" s="4" t="str">
        <x:v>Wastewater and treatment residuals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6" t="str">
        <x:v>Potable output, community return flows and source-treatment residuals are modeled as one operational promise.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8" t="str">
        <x:v>Metric</x:v>
      </x:c>
      <x:c r="B4" s="20" t="str">
        <x:v>Value</x:v>
      </x:c>
      <x:c r="C4" s="46"/>
      <x:c r="D4" s="46"/>
      <x:c r="E4" s="46"/>
      <x:c r="F4" s="46"/>
      <x:c r="G4" s="46"/>
      <x:c r="H4" s="46"/>
    </x:row>
    <x:row r="5">
      <x:c r="A5" s="29" t="str">
        <x:v>Community return flow (m³/day)</x:v>
      </x:c>
      <x:c r="B5" s="45" t="n">
        <x:f>'Controls'!$C$6*'Controls'!$C$21</x:f>
        <x:v>37500</x:v>
      </x:c>
      <x:c r="C5" s="46"/>
      <x:c r="D5" s="46"/>
      <x:c r="E5" s="46"/>
      <x:c r="F5" s="46"/>
      <x:c r="G5" s="46"/>
      <x:c r="H5" s="46"/>
    </x:row>
    <x:row r="6">
      <x:c r="A6" s="29" t="str">
        <x:v>Existing local acceptance (m³/day)</x:v>
      </x:c>
      <x:c r="B6" s="45" t="n">
        <x:f>B5*'Controls'!$C$34</x:f>
        <x:v>15000</x:v>
      </x:c>
      <x:c r="C6" s="46"/>
      <x:c r="D6" s="46"/>
      <x:c r="E6" s="46"/>
      <x:c r="F6" s="46"/>
      <x:c r="G6" s="46"/>
      <x:c r="H6" s="46"/>
    </x:row>
    <x:row r="7">
      <x:c r="A7" s="29" t="str">
        <x:v>Temporary wastewater capacity required (m³/day)</x:v>
      </x:c>
      <x:c r="B7" s="45" t="n">
        <x:f>MAX(B5-B6,0)</x:f>
        <x:v>22500</x:v>
      </x:c>
      <x:c r="C7" s="46"/>
      <x:c r="D7" s="46"/>
      <x:c r="E7" s="46"/>
      <x:c r="F7" s="46"/>
      <x:c r="G7" s="46"/>
      <x:c r="H7" s="46"/>
    </x:row>
    <x:row r="8">
      <x:c r="A8" s="29" t="str">
        <x:v>Treatment reject (m³/day)</x:v>
      </x:c>
      <x:c r="B8" s="45" t="n">
        <x:f>'Treatment Cases'!$B$16</x:f>
        <x:v>50000</x:v>
      </x:c>
      <x:c r="C8" s="46"/>
      <x:c r="D8" s="46"/>
      <x:c r="E8" s="46"/>
      <x:c r="F8" s="46"/>
      <x:c r="G8" s="46"/>
      <x:c r="H8" s="46"/>
    </x:row>
    <x:row r="9">
      <x:c r="A9" s="29" t="str">
        <x:v>Backwash/CIP residual (m³/day)</x:v>
      </x:c>
      <x:c r="B9" s="45" t="n">
        <x:f>'Controls'!$C$6*'Controls'!$C$35</x:f>
        <x:v>1000</x:v>
      </x:c>
      <x:c r="C9" s="46"/>
      <x:c r="D9" s="46"/>
      <x:c r="E9" s="46"/>
      <x:c r="F9" s="46"/>
      <x:c r="G9" s="46"/>
      <x:c r="H9" s="46"/>
    </x:row>
    <x:row r="10">
      <x:c r="A10" s="29" t="str">
        <x:v>Total managed liquid flow (m³/day)</x:v>
      </x:c>
      <x:c r="B10" s="45" t="n">
        <x:f>B5+B8+B9</x:f>
        <x:v>88500</x:v>
      </x:c>
      <x:c r="C10" s="46"/>
      <x:c r="D10" s="46"/>
      <x:c r="E10" s="46"/>
      <x:c r="F10" s="46"/>
      <x:c r="G10" s="46"/>
      <x:c r="H10" s="46"/>
    </x:row>
    <x:row r="11">
      <x:c r="A11" s="29" t="str">
        <x:v>Wastewater share requiring temporary capacity</x:v>
      </x:c>
      <x:c r="B11" s="53" t="n">
        <x:f>IF(B5=0,0,B7/B5)</x:f>
        <x:v>0.6</x:v>
      </x:c>
      <x:c r="C11" s="46"/>
      <x:c r="D11" s="46"/>
      <x:c r="E11" s="46"/>
      <x:c r="F11" s="46"/>
      <x:c r="G11" s="46"/>
      <x:c r="H11" s="46"/>
    </x:row>
    <x:row r="12">
      <x:c r="A12" s="46"/>
      <x:c r="B12" s="46"/>
      <x:c r="C12" s="46"/>
      <x:c r="D12" s="46"/>
      <x:c r="E12" s="46"/>
      <x:c r="F12" s="46"/>
      <x:c r="G12" s="46"/>
      <x:c r="H12" s="46"/>
    </x:row>
    <x:row r="13">
      <x:c r="A13" s="47" t="str">
        <x:v>Residual stream disposition</x:v>
      </x:c>
      <x:c r="B13" s="48"/>
      <x:c r="C13" s="48"/>
      <x:c r="D13" s="48"/>
      <x:c r="E13" s="48"/>
      <x:c r="F13" s="48"/>
      <x:c r="G13" s="48"/>
      <x:c r="H13" s="49"/>
    </x:row>
    <x:row r="14">
      <x:c r="A14" s="46"/>
      <x:c r="B14" s="46"/>
      <x:c r="C14" s="46"/>
      <x:c r="D14" s="46"/>
      <x:c r="E14" s="46"/>
      <x:c r="F14" s="46"/>
      <x:c r="G14" s="46"/>
      <x:c r="H14" s="46"/>
    </x:row>
    <x:row r="15" ht="32" customHeight="1">
      <x:c r="A15" s="18" t="str">
        <x:v>Stream</x:v>
      </x:c>
      <x:c r="B15" s="19" t="str">
        <x:v>Flow (m³/day)</x:v>
      </x:c>
      <x:c r="C15" s="19" t="str">
        <x:v>Default disposition</x:v>
      </x:c>
      <x:c r="D15" s="19" t="str">
        <x:v>Monitoring</x:v>
      </x:c>
      <x:c r="E15" s="19" t="str">
        <x:v>Cannot assume</x:v>
      </x:c>
      <x:c r="F15" s="19" t="str">
        <x:v>Owning formation</x:v>
      </x:c>
      <x:c r="G15" s="19" t="str">
        <x:v>Evidence status</x:v>
      </x:c>
      <x:c r="H15" s="20" t="str">
        <x:v>Next closure</x:v>
      </x:c>
    </x:row>
    <x:row r="16">
      <x:c r="A16" s="29" t="str">
        <x:v>Community wastewater</x:v>
      </x:c>
      <x:c r="B16" s="45" t="n">
        <x:f>$B$5</x:f>
        <x:v>37500</x:v>
      </x:c>
      <x:c r="C16" s="29" t="str">
        <x:v>Surviving sewer plus temporary modular treatment</x:v>
      </x:c>
      <x:c r="D16" s="29" t="str">
        <x:v>Influent, pathogens, industrial hazards and discharge</x:v>
      </x:c>
      <x:c r="E16" s="29" t="str">
        <x:v>Local system has capacity or power</x:v>
      </x:c>
      <x:c r="F16" s="29" t="str">
        <x:v>W-5 sanitation regiment</x:v>
      </x:c>
      <x:c r="G16" s="29" t="str">
        <x:v>Bounded</x:v>
      </x:c>
      <x:c r="H16" s="29" t="str">
        <x:v>Influent cases and treatment train guarantees</x:v>
      </x:c>
    </x:row>
    <x:row r="17">
      <x:c r="A17" s="29" t="str">
        <x:v>Seawater/brackish concentrate</x:v>
      </x:c>
      <x:c r="B17" s="45" t="n">
        <x:f>$B$8</x:f>
        <x:v>50000</x:v>
      </x:c>
      <x:c r="C17" s="29" t="str">
        <x:v>Source-specific monitored discharge or treatment</x:v>
      </x:c>
      <x:c r="D17" s="29" t="str">
        <x:v>Salinity, temperature, chemicals and receiving water</x:v>
      </x:c>
      <x:c r="E17" s="29" t="str">
        <x:v>Damaged sewer can accept concentrate</x:v>
      </x:c>
      <x:c r="F17" s="29" t="str">
        <x:v>Treatment and residuals companies</x:v>
      </x:c>
      <x:c r="G17" s="29" t="str">
        <x:v>Bounded</x:v>
      </x:c>
      <x:c r="H17" s="29" t="str">
        <x:v>Receiving-site intake/discharge model</x:v>
      </x:c>
    </x:row>
    <x:row r="18">
      <x:c r="A18" s="29" t="str">
        <x:v>Backwash and clean-in-place</x:v>
      </x:c>
      <x:c r="B18" s="45" t="n">
        <x:f>$B$9</x:f>
        <x:v>1000</x:v>
      </x:c>
      <x:c r="C18" s="29" t="str">
        <x:v>Contained characterization then authorized treatment/disposal</x:v>
      </x:c>
      <x:c r="D18" s="29" t="str">
        <x:v>pH, chemicals, solids and hazardous constituents</x:v>
      </x:c>
      <x:c r="E18" s="29" t="str">
        <x:v>Compatible with sanitary sewer</x:v>
      </x:c>
      <x:c r="F18" s="29" t="str">
        <x:v>Treatment support company</x:v>
      </x:c>
      <x:c r="G18" s="29" t="str">
        <x:v>Open</x:v>
      </x:c>
      <x:c r="H18" s="29" t="str">
        <x:v>Chemical-specific waste matrix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4" hidden="0" customWidth="1"/>
    <x:col min="4" max="4" width="24" hidden="0" customWidth="1"/>
    <x:col min="5" max="5" width="48" hidden="0" customWidth="1"/>
    <x:col min="6" max="6" width="24" hidden="0" customWidth="1"/>
    <x:col min="7" max="7" width="36" hidden="0" customWidth="1"/>
    <x:col min="8" max="8" width="20" hidden="0" customWidth="1"/>
  </x:cols>
  <x:sheetData>
    <x:row r="1" ht="24" customHeight="1">
      <x:c r="A1" s="4" t="str">
        <x:v>Construction and lift plan</x:v>
      </x:c>
      <x:c r="B1" s="5"/>
      <x:c r="C1" s="5"/>
      <x:c r="D1" s="5"/>
      <x:c r="E1" s="5"/>
      <x:c r="F1" s="5"/>
      <x:c r="G1" s="5"/>
      <x:c r="H1" s="5"/>
    </x:row>
    <x:row r="2" ht="30" customHeight="1">
      <x:c r="A2" s="6" t="str">
        <x:v>Installation and reception rates are scenario assumptions pending instrumented field demonstrations and network analysis.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8" t="str">
        <x:v>Construction mode</x:v>
      </x:c>
      <x:c r="B4" s="19" t="str">
        <x:v>Route km/front-day</x:v>
      </x:c>
      <x:c r="C4" s="19" t="str">
        <x:v>Work fronts</x:v>
      </x:c>
      <x:c r="D4" s="19" t="str">
        <x:v>Commissioning days</x:v>
      </x:c>
      <x:c r="E4" s="19" t="str">
        <x:v>Route construction days</x:v>
      </x:c>
      <x:c r="F4" s="19" t="str">
        <x:v>Total to service (days)</x:v>
      </x:c>
      <x:c r="G4" s="20" t="str">
        <x:v>Evidence status</x:v>
      </x:c>
      <x:c r="H4" s="46"/>
    </x:row>
    <x:row r="5">
      <x:c r="A5" s="29" t="str">
        <x:v>Surface rapid</x:v>
      </x:c>
      <x:c r="B5" s="54" t="n">
        <x:v>0.6</x:v>
      </x:c>
      <x:c r="C5" s="44" t="n">
        <x:f>'Controls'!$C$23</x:f>
        <x:v>5</x:v>
      </x:c>
      <x:c r="D5" s="44" t="n">
        <x:v>3</x:v>
      </x:c>
      <x:c r="E5" s="44" t="n">
        <x:f>'Controls'!$C$9/(B5*C5)</x:f>
        <x:v>16.666666666666668</x:v>
      </x:c>
      <x:c r="F5" s="44" t="n">
        <x:f>E5+D5</x:f>
        <x:v>19.666666666666668</x:v>
      </x:c>
      <x:c r="G5" s="29" t="str">
        <x:v>Design assumption</x:v>
      </x:c>
      <x:c r="H5" s="46"/>
    </x:row>
    <x:row r="6">
      <x:c r="A6" s="29" t="str">
        <x:v>Shallow protected</x:v>
      </x:c>
      <x:c r="B6" s="54" t="n">
        <x:v>0.3</x:v>
      </x:c>
      <x:c r="C6" s="44" t="n">
        <x:f>6</x:f>
        <x:v>6</x:v>
      </x:c>
      <x:c r="D6" s="44" t="n">
        <x:v>5</x:v>
      </x:c>
      <x:c r="E6" s="44" t="n">
        <x:f>'Controls'!$C$9/(B6*C6)</x:f>
        <x:v>27.777777777777782</x:v>
      </x:c>
      <x:c r="F6" s="44" t="n">
        <x:f>E6+D6</x:f>
        <x:v>32.777777777777786</x:v>
      </x:c>
      <x:c r="G6" s="29" t="str">
        <x:v>Design assumption</x:v>
      </x:c>
      <x:c r="H6" s="46"/>
    </x:row>
    <x:row r="7">
      <x:c r="A7" s="29" t="str">
        <x:v>Enduring</x:v>
      </x:c>
      <x:c r="B7" s="54" t="n">
        <x:v>0.12</x:v>
      </x:c>
      <x:c r="C7" s="44" t="n">
        <x:f>8</x:f>
        <x:v>8</x:v>
      </x:c>
      <x:c r="D7" s="44" t="n">
        <x:v>10</x:v>
      </x:c>
      <x:c r="E7" s="44" t="n">
        <x:f>'Controls'!$C$9/(B7*C7)</x:f>
        <x:v>52.083333333333336</x:v>
      </x:c>
      <x:c r="F7" s="44" t="n">
        <x:f>E7+D7</x:f>
        <x:v>62.083333333333336</x:v>
      </x:c>
      <x:c r="G7" s="29" t="str">
        <x:v>Design assumption</x:v>
      </x:c>
      <x:c r="H7" s="46"/>
    </x:row>
    <x:row r="8">
      <x:c r="A8" s="46"/>
      <x:c r="B8" s="46"/>
      <x:c r="C8" s="46"/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29" t="str">
        <x:v>Selected mode</x:v>
      </x:c>
      <x:c r="B10" s="29" t="str">
        <x:f>'Controls'!$C$22</x:f>
        <x:v>Surface rapid</x:v>
      </x:c>
      <x:c r="C10" s="46"/>
      <x:c r="D10" s="46"/>
      <x:c r="E10" s="46"/>
      <x:c r="F10" s="46"/>
      <x:c r="G10" s="46"/>
      <x:c r="H10" s="46"/>
    </x:row>
    <x:row r="11">
      <x:c r="A11" s="29" t="str">
        <x:v>Days to reference service</x:v>
      </x:c>
      <x:c r="B11" s="44" t="n">
        <x:f>INDEX(F5:F7,MATCH(B10,A5:A7,0))</x:f>
        <x:v>19.666666666666668</x:v>
      </x:c>
      <x:c r="C11" s="46"/>
      <x:c r="D11" s="46"/>
      <x:c r="E11" s="46"/>
      <x:c r="F11" s="46"/>
      <x:c r="G11" s="46"/>
      <x:c r="H11" s="46"/>
    </x:row>
    <x:row r="12">
      <x:c r="A12" s="29" t="str">
        <x:v>21-day reference check</x:v>
      </x:c>
      <x:c r="B12" s="29" t="str">
        <x:f>IF(B11&lt;=21,"Within reference window","Beyond reference window")</x:f>
        <x:v>Within reference window</x:v>
      </x:c>
      <x:c r="C12" s="46"/>
      <x:c r="D12" s="46"/>
      <x:c r="E12" s="46"/>
      <x:c r="F12" s="46"/>
      <x:c r="G12" s="46"/>
      <x:c r="H12" s="46"/>
    </x:row>
    <x:row r="13">
      <x:c r="A13" s="46"/>
      <x:c r="B13" s="46"/>
      <x:c r="C13" s="46"/>
      <x:c r="D13" s="46"/>
      <x:c r="E13" s="46"/>
      <x:c r="F13" s="46"/>
      <x:c r="G13" s="46"/>
      <x:c r="H13" s="46"/>
    </x:row>
    <x:row r="14">
      <x:c r="A14" s="47" t="str">
        <x:v>Primary lift allocation</x:v>
      </x:c>
      <x:c r="B14" s="48"/>
      <x:c r="C14" s="48"/>
      <x:c r="D14" s="48"/>
      <x:c r="E14" s="49"/>
      <x:c r="F14" s="46"/>
      <x:c r="G14" s="46"/>
      <x:c r="H14" s="46"/>
    </x:row>
    <x:row r="15">
      <x:c r="A15" s="46"/>
      <x:c r="B15" s="46"/>
      <x:c r="C15" s="46"/>
      <x:c r="D15" s="46"/>
      <x:c r="E15" s="46"/>
      <x:c r="F15" s="46"/>
      <x:c r="G15" s="46"/>
      <x:c r="H15" s="46"/>
    </x:row>
    <x:row r="16" ht="32" customHeight="1">
      <x:c r="A16" s="18" t="str">
        <x:v>Primary lift</x:v>
      </x:c>
      <x:c r="B16" s="19" t="str">
        <x:v>Manifest mass (t)</x:v>
      </x:c>
      <x:c r="C16" s="19" t="str">
        <x:v>Reference throughput (t/day)</x:v>
      </x:c>
      <x:c r="D16" s="19" t="str">
        <x:v>Serial movement days</x:v>
      </x:c>
      <x:c r="E16" s="20" t="str">
        <x:v>Evidence status</x:v>
      </x:c>
      <x:c r="F16" s="46"/>
      <x:c r="G16" s="46"/>
      <x:c r="H16" s="46"/>
    </x:row>
    <x:row r="17">
      <x:c r="A17" s="29" t="str">
        <x:v>Sealift</x:v>
      </x:c>
      <x:c r="B17" s="50" t="n">
        <x:f>SUMIF('Pipe &amp; Lift'!$I$18:$I$33,A17,'Pipe &amp; Lift'!$F$18:$F$33)*(1+'Controls'!$C$26)</x:f>
        <x:v>11040</x:v>
      </x:c>
      <x:c r="C17" s="50" t="n">
        <x:v>5000</x:v>
      </x:c>
      <x:c r="D17" s="50" t="n">
        <x:f>B17/C17</x:f>
        <x:v>2.208</x:v>
      </x:c>
      <x:c r="E17" s="29" t="str">
        <x:v>Scenario assumption; excludes network queue and reception limits</x:v>
      </x:c>
      <x:c r="F17" s="46"/>
      <x:c r="G17" s="46"/>
      <x:c r="H17" s="46"/>
    </x:row>
    <x:row r="18">
      <x:c r="A18" s="29" t="str">
        <x:v>Rail</x:v>
      </x:c>
      <x:c r="B18" s="50" t="n">
        <x:f>SUMIF('Pipe &amp; Lift'!$I$18:$I$33,A18,'Pipe &amp; Lift'!$F$18:$F$33)*(1+'Controls'!$C$26)</x:f>
        <x:v>9161.33817146939</x:v>
      </x:c>
      <x:c r="C18" s="50" t="n">
        <x:v>4000</x:v>
      </x:c>
      <x:c r="D18" s="50" t="n">
        <x:f>B18/C18</x:f>
        <x:v>2.2903345428673476</x:v>
      </x:c>
      <x:c r="E18" s="29" t="str">
        <x:v>Scenario assumption; excludes network queue and reception limits</x:v>
      </x:c>
      <x:c r="F18" s="46"/>
      <x:c r="G18" s="46"/>
      <x:c r="H18" s="46"/>
    </x:row>
    <x:row r="19">
      <x:c r="A19" s="29" t="str">
        <x:v>Road</x:v>
      </x:c>
      <x:c r="B19" s="50" t="n">
        <x:f>SUMIF('Pipe &amp; Lift'!$I$18:$I$33,A19,'Pipe &amp; Lift'!$F$18:$F$33)*(1+'Controls'!$C$26)</x:f>
        <x:v>3084.833685197774</x:v>
      </x:c>
      <x:c r="C19" s="50" t="n">
        <x:v>2000</x:v>
      </x:c>
      <x:c r="D19" s="50" t="n">
        <x:f>B19/C19</x:f>
        <x:v>1.542416842598887</x:v>
      </x:c>
      <x:c r="E19" s="29" t="str">
        <x:v>Scenario assumption; excludes network queue and reception limits</x:v>
      </x:c>
      <x:c r="F19" s="46"/>
      <x:c r="G19" s="46"/>
      <x:c r="H19" s="46"/>
    </x:row>
    <x:row r="20">
      <x:c r="A20" s="29" t="str">
        <x:v>Air</x:v>
      </x:c>
      <x:c r="B20" s="50" t="n">
        <x:f>SUMIF('Pipe &amp; Lift'!$I$18:$I$33,A20,'Pipe &amp; Lift'!$F$18:$F$33)*(1+'Controls'!$C$26)</x:f>
        <x:v>229.99999999999997</x:v>
      </x:c>
      <x:c r="C20" s="50" t="n">
        <x:v>200</x:v>
      </x:c>
      <x:c r="D20" s="50" t="n">
        <x:f>B20/C20</x:f>
        <x:v>1.15</x:v>
      </x:c>
      <x:c r="E20" s="29" t="str">
        <x:v>Scenario assumption; excludes network queue and reception limits</x:v>
      </x:c>
      <x:c r="F20" s="46"/>
      <x:c r="G20" s="46"/>
      <x:c r="H20" s="46"/>
    </x:row>
    <x:row r="21">
      <x:c r="A21" s="29" t="str">
        <x:v>Parallel arrival lower bound (days)</x:v>
      </x:c>
      <x:c r="B21" s="50" t="n">
        <x:f>MAX(D17:D20)</x:f>
        <x:v>2.2903345428673476</x:v>
      </x:c>
      <x:c r="C21" s="50"/>
      <x:c r="D21" s="50"/>
      <x:c r="E21" s="29"/>
      <x:c r="F21" s="46"/>
      <x:c r="G21" s="46"/>
      <x:c r="H21" s="46"/>
    </x:row>
    <x:row r="22">
      <x:c r="A22" s="46"/>
      <x:c r="B22" s="46"/>
      <x:c r="C22" s="46"/>
      <x:c r="D22" s="46"/>
      <x:c r="E22" s="46"/>
      <x:c r="F22" s="46"/>
      <x:c r="G22" s="46"/>
      <x:c r="H22" s="46"/>
    </x:row>
    <x:row r="23">
      <x:c r="A23" s="47" t="str">
        <x:v>Layered deployment sequence</x:v>
      </x:c>
      <x:c r="B23" s="48"/>
      <x:c r="C23" s="48"/>
      <x:c r="D23" s="49"/>
      <x:c r="E23" s="46"/>
      <x:c r="F23" s="46"/>
      <x:c r="G23" s="46"/>
      <x:c r="H23" s="46"/>
    </x:row>
    <x:row r="24">
      <x:c r="A24" s="46"/>
      <x:c r="B24" s="46"/>
      <x:c r="C24" s="46"/>
      <x:c r="D24" s="46"/>
      <x:c r="E24" s="46"/>
      <x:c r="F24" s="46"/>
      <x:c r="G24" s="46"/>
      <x:c r="H24" s="46"/>
    </x:row>
    <x:row r="25" ht="32" customHeight="1">
      <x:c r="A25" s="18" t="str">
        <x:v>Phase</x:v>
      </x:c>
      <x:c r="B25" s="19" t="str">
        <x:v>Time</x:v>
      </x:c>
      <x:c r="C25" s="19" t="str">
        <x:v>Primary effect</x:v>
      </x:c>
      <x:c r="D25" s="20" t="str">
        <x:v>Main modules</x:v>
      </x:c>
      <x:c r="E25" s="46"/>
      <x:c r="F25" s="46"/>
      <x:c r="G25" s="46"/>
      <x:c r="H25" s="46"/>
    </x:row>
    <x:row r="26">
      <x:c r="A26" s="29" t="str">
        <x:v>First entry</x:v>
      </x:c>
      <x:c r="B26" s="29" t="str">
        <x:v>0–24 h</x:v>
      </x:c>
      <x:c r="C26" s="29" t="str">
        <x:v>Survey, isolate, protect and bridge critical demand</x:v>
      </x:c>
      <x:c r="D26" s="29" t="str">
        <x:v>Command, survey, W-1, quality and utility liaison</x:v>
      </x:c>
      <x:c r="E26" s="46"/>
      <x:c r="F26" s="46"/>
      <x:c r="G26" s="46"/>
      <x:c r="H26" s="46"/>
    </x:row>
    <x:row r="27">
      <x:c r="A27" s="29" t="str">
        <x:v>Critical service</x:v>
      </x:c>
      <x:c r="B27" s="29" t="str">
        <x:v>24–72 h</x:v>
      </x:c>
      <x:c r="C27" s="29" t="str">
        <x:v>Hospitals, shelters and first district storage</x:v>
      </x:c>
      <x:c r="D27" s="29" t="str">
        <x:v>Intake, early treatment, tanker/bladder, power and sewer bypass</x:v>
      </x:c>
      <x:c r="E27" s="46"/>
      <x:c r="F27" s="46"/>
      <x:c r="G27" s="46"/>
      <x:c r="H27" s="46"/>
    </x:row>
    <x:row r="28">
      <x:c r="A28" s="29" t="str">
        <x:v>Network build</x:v>
      </x:c>
      <x:c r="B28" s="29" t="str">
        <x:v>Days 3–10</x:v>
      </x:c>
      <x:c r="C28" s="29" t="str">
        <x:v>Treatment parallelization and first trunk reaches</x:v>
      </x:c>
      <x:c r="D28" s="29" t="str">
        <x:v>Pipeline fronts, boosters, break tanks and safe sectors</x:v>
      </x:c>
      <x:c r="E28" s="46"/>
      <x:c r="F28" s="46"/>
      <x:c r="G28" s="46"/>
      <x:c r="H28" s="46"/>
    </x:row>
    <x:row r="29">
      <x:c r="A29" s="29" t="str">
        <x:v>Regional service</x:v>
      </x:c>
      <x:c r="B29" s="29" t="str">
        <x:v>Days 7–21</x:v>
      </x:c>
      <x:c r="C29" s="29" t="str">
        <x:v>Reference output and accessible distribution</x:v>
      </x:c>
      <x:c r="D29" s="29" t="str">
        <x:v>Complete conveyance, storage, district nodes and sanitation</x:v>
      </x:c>
      <x:c r="E29" s="46"/>
      <x:c r="F29" s="46"/>
      <x:c r="G29" s="46"/>
      <x:c r="H29" s="46"/>
    </x:row>
    <x:row r="30">
      <x:c r="A30" s="29" t="str">
        <x:v>Transfer</x:v>
      </x:c>
      <x:c r="B30" s="29" t="str">
        <x:v>Weeks 3–26</x:v>
      </x:c>
      <x:c r="C30" s="29" t="str">
        <x:v>Reliability, enduring conversion and civil handoff</x:v>
      </x:c>
      <x:c r="D30" s="29" t="str">
        <x:v>Repair, training, as-builts, spares and demobilization</x:v>
      </x:c>
      <x:c r="E30" s="46"/>
      <x:c r="F30" s="46"/>
      <x:c r="G30" s="46"/>
      <x:c r="H30" s="4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13" hidden="0" customWidth="1"/>
    <x:col min="4" max="4" width="14" hidden="0" customWidth="1"/>
    <x:col min="5" max="5" width="13" hidden="0" customWidth="1"/>
    <x:col min="6" max="6" width="18" hidden="0" customWidth="1"/>
    <x:col min="7" max="7" width="58" hidden="0" customWidth="1"/>
  </x:cols>
  <x:sheetData>
    <x:row r="1" ht="24" customHeight="1">
      <x:c r="A1" s="4" t="str">
        <x:v>WRG-50 workforce</x:v>
      </x:c>
      <x:c r="B1" s="5"/>
      <x:c r="C1" s="5"/>
      <x:c r="D1" s="5"/>
      <x:c r="E1" s="5"/>
      <x:c r="F1" s="5"/>
      <x:c r="G1" s="5"/>
    </x:row>
    <x:row r="2" ht="30" customHeight="1">
      <x:c r="A2" s="6" t="str">
        <x:v>Positions, shift factors and force-generation echelons remain editable assumptions pending exercises and occupational analysis.</x:v>
      </x:c>
      <x:c r="B2" s="6"/>
      <x:c r="C2" s="6"/>
      <x:c r="D2" s="6"/>
      <x:c r="E2" s="6"/>
      <x:c r="F2" s="6"/>
      <x:c r="G2" s="6"/>
    </x:row>
    <x:row r="4" ht="32" customHeight="1">
      <x:c r="A4" s="18" t="str">
        <x:v>Workforce block</x:v>
      </x:c>
      <x:c r="B4" s="19" t="str">
        <x:v>Continuous positions/shift</x:v>
      </x:c>
      <x:c r="C4" s="19" t="str">
        <x:v>Shifts/day</x:v>
      </x:c>
      <x:c r="D4" s="19" t="str">
        <x:v>Relief factor</x:v>
      </x:c>
      <x:c r="E4" s="19" t="str">
        <x:v>Day staff</x:v>
      </x:c>
      <x:c r="F4" s="19" t="str">
        <x:v>Deployed people</x:v>
      </x:c>
      <x:c r="G4" s="20" t="str">
        <x:v>Occupational core</x:v>
      </x:c>
    </x:row>
    <x:row r="5">
      <x:c r="A5" s="29" t="str">
        <x:v>Command and civil integration</x:v>
      </x:c>
      <x:c r="B5" s="50" t="n">
        <x:v>20</x:v>
      </x:c>
      <x:c r="C5" s="50" t="n">
        <x:v>3</x:v>
      </x:c>
      <x:c r="D5" s="50" t="n">
        <x:v>1.2</x:v>
      </x:c>
      <x:c r="E5" s="50" t="n">
        <x:v>48</x:v>
      </x:c>
      <x:c r="F5" s="50" t="n">
        <x:f>B5*C5*D5+E5</x:f>
        <x:v>120</x:v>
      </x:c>
      <x:c r="G5" s="29" t="str">
        <x:v>Utility command, engineering authority, legal/environmental and liaison</x:v>
      </x:c>
    </x:row>
    <x:row r="6">
      <x:c r="A6" s="29" t="str">
        <x:v>Source, network and route assessment</x:v>
      </x:c>
      <x:c r="B6" s="50" t="n">
        <x:v>35</x:v>
      </x:c>
      <x:c r="C6" s="50" t="n">
        <x:v>3</x:v>
      </x:c>
      <x:c r="D6" s="50" t="n">
        <x:v>1.2</x:v>
      </x:c>
      <x:c r="E6" s="50" t="n">
        <x:v>74</x:v>
      </x:c>
      <x:c r="F6" s="50" t="n">
        <x:f>B6*C6*D6+E6</x:f>
        <x:v>200</x:v>
      </x:c>
      <x:c r="G6" s="29" t="str">
        <x:v>Hydrogeology, hydraulics, survey, GIS, inspection and unmanned systems</x:v>
      </x:c>
    </x:row>
    <x:row r="7">
      <x:c r="A7" s="29" t="str">
        <x:v>Treatment and quality</x:v>
      </x:c>
      <x:c r="B7" s="50" t="n">
        <x:v>90</x:v>
      </x:c>
      <x:c r="C7" s="50" t="n">
        <x:v>3</x:v>
      </x:c>
      <x:c r="D7" s="50" t="n">
        <x:v>1.2</x:v>
      </x:c>
      <x:c r="E7" s="50" t="n">
        <x:v>101</x:v>
      </x:c>
      <x:c r="F7" s="50" t="n">
        <x:f>B7*C7*D7+E7</x:f>
        <x:v>425</x:v>
      </x:c>
      <x:c r="G7" s="29" t="str">
        <x:v>Operators, process engineering, chemistry, microbiology and public health</x:v>
      </x:c>
    </x:row>
    <x:row r="8">
      <x:c r="A8" s="29" t="str">
        <x:v>Conveyance construction and operations</x:v>
      </x:c>
      <x:c r="B8" s="50" t="n">
        <x:v>130</x:v>
      </x:c>
      <x:c r="C8" s="50" t="n">
        <x:v>2</x:v>
      </x:c>
      <x:c r="D8" s="50" t="n">
        <x:v>1.2</x:v>
      </x:c>
      <x:c r="E8" s="50" t="n">
        <x:v>438</x:v>
      </x:c>
      <x:c r="F8" s="50" t="n">
        <x:f>B8*C8*D8+E8</x:f>
        <x:v>750</x:v>
      </x:c>
      <x:c r="G8" s="29" t="str">
        <x:v>Heavy equipment, pipe fusion, pump/valve, electrical, civil and patrol</x:v>
      </x:c>
    </x:row>
    <x:row r="9">
      <x:c r="A9" s="29" t="str">
        <x:v>Storage and distribution</x:v>
      </x:c>
      <x:c r="B9" s="50" t="n">
        <x:v>90</x:v>
      </x:c>
      <x:c r="C9" s="50" t="n">
        <x:v>3</x:v>
      </x:c>
      <x:c r="D9" s="50" t="n">
        <x:v>1.2</x:v>
      </x:c>
      <x:c r="E9" s="50" t="n">
        <x:v>151</x:v>
      </x:c>
      <x:c r="F9" s="50" t="n">
        <x:f>B9*C9*D9+E9</x:f>
        <x:v>475</x:v>
      </x:c>
      <x:c r="G9" s="29" t="str">
        <x:v>Reservoir, district node, critical facility, tanker and accessibility</x:v>
      </x:c>
    </x:row>
    <x:row r="10">
      <x:c r="A10" s="29" t="str">
        <x:v>Sanitation and residuals</x:v>
      </x:c>
      <x:c r="B10" s="50" t="n">
        <x:v>70</x:v>
      </x:c>
      <x:c r="C10" s="50" t="n">
        <x:v>3</x:v>
      </x:c>
      <x:c r="D10" s="50" t="n">
        <x:v>1.2</x:v>
      </x:c>
      <x:c r="E10" s="50" t="n">
        <x:v>123</x:v>
      </x:c>
      <x:c r="F10" s="50" t="n">
        <x:f>B10*C10*D10+E10</x:f>
        <x:v>375</x:v>
      </x:c>
      <x:c r="G10" s="29" t="str">
        <x:v>Wastewater, bypass, industrial hygiene and residual monitoring</x:v>
      </x:c>
    </x:row>
    <x:row r="11">
      <x:c r="A11" s="29" t="str">
        <x:v>Maintenance, logistics and internal support</x:v>
      </x:c>
      <x:c r="B11" s="50" t="n">
        <x:v>75</x:v>
      </x:c>
      <x:c r="C11" s="50" t="n">
        <x:v>3</x:v>
      </x:c>
      <x:c r="D11" s="50" t="n">
        <x:v>1.2</x:v>
      </x:c>
      <x:c r="E11" s="50" t="n">
        <x:v>105</x:v>
      </x:c>
      <x:c r="F11" s="50" t="n">
        <x:f>B11*C11*D11+E11</x:f>
        <x:v>375</x:v>
      </x:c>
      <x:c r="G11" s="29" t="str">
        <x:v>Mechanical, electrical, warehouse, transport, communications and camp</x:v>
      </x:c>
    </x:row>
    <x:row r="12">
      <x:c r="A12" s="65" t="str">
        <x:v>Deployed WRG-50</x:v>
      </x:c>
      <x:c r="B12" s="70"/>
      <x:c r="C12" s="70"/>
      <x:c r="D12" s="70"/>
      <x:c r="E12" s="70"/>
      <x:c r="F12" s="70" t="n">
        <x:f>SUM(F5:F11)</x:f>
        <x:v>2720</x:v>
      </x:c>
      <x:c r="G12" s="65"/>
    </x:row>
    <x:row r="13">
      <x:c r="A13" s="46"/>
      <x:c r="B13" s="46"/>
      <x:c r="C13" s="46"/>
      <x:c r="D13" s="46"/>
      <x:c r="E13" s="46"/>
      <x:c r="F13" s="46"/>
      <x:c r="G13" s="46"/>
    </x:row>
    <x:row r="14">
      <x:c r="A14" s="47" t="str">
        <x:v>Force-generation establishment</x:v>
      </x:c>
      <x:c r="B14" s="48"/>
      <x:c r="C14" s="49"/>
      <x:c r="D14" s="46"/>
      <x:c r="E14" s="46"/>
      <x:c r="F14" s="46"/>
      <x:c r="G14" s="46"/>
    </x:row>
    <x:row r="15">
      <x:c r="A15" s="46"/>
      <x:c r="B15" s="46"/>
      <x:c r="C15" s="46"/>
      <x:c r="D15" s="46"/>
      <x:c r="E15" s="46"/>
      <x:c r="F15" s="46"/>
      <x:c r="G15" s="46"/>
    </x:row>
    <x:row r="16" ht="32" customHeight="1">
      <x:c r="A16" s="18" t="str">
        <x:v>Metric</x:v>
      </x:c>
      <x:c r="B16" s="20" t="str">
        <x:v>Value</x:v>
      </x:c>
      <x:c r="C16" s="46"/>
      <x:c r="D16" s="46"/>
      <x:c r="E16" s="46"/>
      <x:c r="F16" s="46"/>
      <x:c r="G16" s="46"/>
    </x:row>
    <x:row r="17">
      <x:c r="A17" s="29" t="str">
        <x:v>Deployed group</x:v>
      </x:c>
      <x:c r="B17" s="45" t="n">
        <x:f>F12</x:f>
        <x:v>2720</x:v>
      </x:c>
      <x:c r="C17" s="46"/>
      <x:c r="D17" s="46"/>
      <x:c r="E17" s="46"/>
      <x:c r="F17" s="46"/>
      <x:c r="G17" s="46"/>
    </x:row>
    <x:row r="18">
      <x:c r="A18" s="29" t="str">
        <x:v>Operational echelons</x:v>
      </x:c>
      <x:c r="B18" s="45" t="n">
        <x:f>'Controls'!$C$24</x:f>
        <x:v>3</x:v>
      </x:c>
      <x:c r="C18" s="46"/>
      <x:c r="D18" s="46"/>
      <x:c r="E18" s="46"/>
      <x:c r="F18" s="46"/>
      <x:c r="G18" s="46"/>
    </x:row>
    <x:row r="19">
      <x:c r="A19" s="29" t="str">
        <x:v>Operational establishment</x:v>
      </x:c>
      <x:c r="B19" s="45" t="n">
        <x:f>B17*B18</x:f>
        <x:v>8160</x:v>
      </x:c>
      <x:c r="C19" s="46"/>
      <x:c r="D19" s="46"/>
      <x:c r="E19" s="46"/>
      <x:c r="F19" s="46"/>
      <x:c r="G19" s="46"/>
    </x:row>
    <x:row r="20">
      <x:c r="A20" s="29" t="str">
        <x:v>Training/depot overhead</x:v>
      </x:c>
      <x:c r="B20" s="35" t="n">
        <x:v>0.25</x:v>
      </x:c>
      <x:c r="C20" s="46"/>
      <x:c r="D20" s="46"/>
      <x:c r="E20" s="46"/>
      <x:c r="F20" s="46"/>
      <x:c r="G20" s="46"/>
    </x:row>
    <x:row r="21">
      <x:c r="A21" s="29" t="str">
        <x:v>Total service billets</x:v>
      </x:c>
      <x:c r="B21" s="45" t="n">
        <x:f>B19*(1+B20)</x:f>
        <x:v>10200</x:v>
      </x:c>
      <x:c r="C21" s="46"/>
      <x:c r="D21" s="46"/>
      <x:c r="E21" s="46"/>
      <x:c r="F21" s="46"/>
      <x:c r="G21" s="46"/>
    </x:row>
    <x:row r="22">
      <x:c r="A22" s="29" t="str">
        <x:v>Annual replacement rate</x:v>
      </x:c>
      <x:c r="B22" s="35" t="n">
        <x:v>0.08</x:v>
      </x:c>
      <x:c r="C22" s="46"/>
      <x:c r="D22" s="46"/>
      <x:c r="E22" s="46"/>
      <x:c r="F22" s="46"/>
      <x:c r="G22" s="46"/>
    </x:row>
    <x:row r="23">
      <x:c r="A23" s="29" t="str">
        <x:v>Annual accessions</x:v>
      </x:c>
      <x:c r="B23" s="45" t="n">
        <x:f>B21*B22</x:f>
        <x:v>816</x:v>
      </x:c>
      <x:c r="C23" s="46"/>
      <x:c r="D23" s="46"/>
      <x:c r="E23" s="46"/>
      <x:c r="F23" s="46"/>
      <x:c r="G23" s="4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7" hidden="0" customWidth="1"/>
    <x:col min="7" max="7" width="17" hidden="0" customWidth="1"/>
    <x:col min="8" max="8" width="21" hidden="0" customWidth="1"/>
    <x:col min="9" max="9" width="19" hidden="0" customWidth="1"/>
    <x:col min="10" max="10" width="19" hidden="0" customWidth="1"/>
    <x:col min="11" max="11" width="17" hidden="0" customWidth="1"/>
    <x:col min="12" max="12" width="55" hidden="0" customWidth="1"/>
  </x:cols>
  <x:sheetData>
    <x:row r="1" ht="24" customHeight="1">
      <x:c r="A1" s="4" t="str">
        <x:v>Degraded-service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6" t="str">
        <x:v>Capacity factors are provisional scenario assumptions. Safe operating responses matter as much as arithmetic output.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8" t="str">
        <x:v>Scenario</x:v>
      </x:c>
      <x:c r="B4" s="19" t="str">
        <x:v>Treatment factor</x:v>
      </x:c>
      <x:c r="C4" s="19" t="str">
        <x:v>Trunk factor</x:v>
      </x:c>
      <x:c r="D4" s="19" t="str">
        <x:v>Source factor</x:v>
      </x:c>
      <x:c r="E4" s="19" t="str">
        <x:v>Power factor</x:v>
      </x:c>
      <x:c r="F4" s="19" t="str">
        <x:v>Distribution factor</x:v>
      </x:c>
      <x:c r="G4" s="19" t="str">
        <x:v>Wastewater factor</x:v>
      </x:c>
      <x:c r="H4" s="19" t="str">
        <x:v>Delivered capacity (m³/day)</x:v>
      </x:c>
      <x:c r="I4" s="19" t="str">
        <x:v>People at 50 L/day</x:v>
      </x:c>
      <x:c r="J4" s="19" t="str">
        <x:v>People at 15 L/day</x:v>
      </x:c>
      <x:c r="K4" s="19" t="str">
        <x:v>Recovery (hours)</x:v>
      </x:c>
      <x:c r="L4" s="20" t="str">
        <x:v>Safe operating response</x:v>
      </x:c>
    </x:row>
    <x:row r="5">
      <x:c r="A5" s="29" t="str">
        <x:v>Base reference</x:v>
      </x:c>
      <x:c r="B5" s="73" t="n">
        <x:v>1</x:v>
      </x:c>
      <x:c r="C5" s="73" t="n">
        <x:v>1</x:v>
      </x:c>
      <x:c r="D5" s="73" t="n">
        <x:v>1</x:v>
      </x:c>
      <x:c r="E5" s="73" t="n">
        <x:v>1</x:v>
      </x:c>
      <x:c r="F5" s="73" t="n">
        <x:v>1</x:v>
      </x:c>
      <x:c r="G5" s="73" t="n">
        <x:v>1</x:v>
      </x:c>
      <x:c r="H5" s="45" t="n">
        <x:f>'Controls'!$C$6*MIN(B5:G5)</x:f>
        <x:v>50000</x:v>
      </x:c>
      <x:c r="I5" s="45" t="n">
        <x:f>H5*1000/50</x:f>
        <x:v>1000000</x:v>
      </x:c>
      <x:c r="J5" s="45" t="n">
        <x:f>H5*1000/15</x:f>
        <x:v>3333333.3333333335</x:v>
      </x:c>
      <x:c r="K5" s="74" t="n">
        <x:v>0</x:v>
      </x:c>
      <x:c r="L5" s="29" t="str">
        <x:v>Full reference service</x:v>
      </x:c>
    </x:row>
    <x:row r="6">
      <x:c r="A6" s="29" t="str">
        <x:v>One treatment train unavailable</x:v>
      </x:c>
      <x:c r="B6" s="73" t="n">
        <x:v>1</x:v>
      </x:c>
      <x:c r="C6" s="73" t="n">
        <x:v>1</x:v>
      </x:c>
      <x:c r="D6" s="73" t="n">
        <x:v>1</x:v>
      </x:c>
      <x:c r="E6" s="73" t="n">
        <x:v>1</x:v>
      </x:c>
      <x:c r="F6" s="73" t="n">
        <x:v>1</x:v>
      </x:c>
      <x:c r="G6" s="73" t="n">
        <x:v>1</x:v>
      </x:c>
      <x:c r="H6" s="45" t="n">
        <x:f>'Controls'!$C$6*MIN(B6:G6)</x:f>
        <x:v>50000</x:v>
      </x:c>
      <x:c r="I6" s="45" t="n">
        <x:f>H6*1000/50</x:f>
        <x:v>1000000</x:v>
      </x:c>
      <x:c r="J6" s="45" t="n">
        <x:f>H6*1000/15</x:f>
        <x:v>3333333.3333333335</x:v>
      </x:c>
      <x:c r="K6" s="74" t="n">
        <x:v>8</x:v>
      </x:c>
      <x:c r="L6" s="29" t="str">
        <x:v>Start spare train; maintenance reserve consumed</x:v>
      </x:c>
    </x:row>
    <x:row r="7">
      <x:c r="A7" s="29" t="str">
        <x:v>One trunk line isolated</x:v>
      </x:c>
      <x:c r="B7" s="73" t="n">
        <x:v>1</x:v>
      </x:c>
      <x:c r="C7" s="73" t="n">
        <x:v>0.5</x:v>
      </x:c>
      <x:c r="D7" s="73" t="n">
        <x:v>1</x:v>
      </x:c>
      <x:c r="E7" s="73" t="n">
        <x:v>1</x:v>
      </x:c>
      <x:c r="F7" s="73" t="n">
        <x:v>1</x:v>
      </x:c>
      <x:c r="G7" s="73" t="n">
        <x:v>1</x:v>
      </x:c>
      <x:c r="H7" s="45" t="n">
        <x:f>'Controls'!$C$6*MIN(B7:G7)</x:f>
        <x:v>25000</x:v>
      </x:c>
      <x:c r="I7" s="45" t="n">
        <x:f>H7*1000/50</x:f>
        <x:v>500000</x:v>
      </x:c>
      <x:c r="J7" s="45" t="n">
        <x:f>H7*1000/15</x:f>
        <x:v>1666666.6666666667</x:v>
      </x:c>
      <x:c r="K7" s="74" t="n">
        <x:v>12</x:v>
      </x:c>
      <x:c r="L7" s="29" t="str">
        <x:v>Cut expanded service; preserve emergency and critical loads</x:v>
      </x:c>
    </x:row>
    <x:row r="8">
      <x:c r="A8" s="29" t="str">
        <x:v>One booster station unavailable</x:v>
      </x:c>
      <x:c r="B8" s="73" t="n">
        <x:v>1</x:v>
      </x:c>
      <x:c r="C8" s="73" t="n">
        <x:v>0.5</x:v>
      </x:c>
      <x:c r="D8" s="73" t="n">
        <x:v>1</x:v>
      </x:c>
      <x:c r="E8" s="73" t="n">
        <x:v>1</x:v>
      </x:c>
      <x:c r="F8" s="73" t="n">
        <x:v>1</x:v>
      </x:c>
      <x:c r="G8" s="73" t="n">
        <x:v>1</x:v>
      </x:c>
      <x:c r="H8" s="45" t="n">
        <x:f>'Controls'!$C$6*MIN(B8:G8)</x:f>
        <x:v>25000</x:v>
      </x:c>
      <x:c r="I8" s="45" t="n">
        <x:f>H8*1000/50</x:f>
        <x:v>500000</x:v>
      </x:c>
      <x:c r="J8" s="45" t="n">
        <x:f>H8*1000/15</x:f>
        <x:v>1666666.6666666667</x:v>
      </x:c>
      <x:c r="K8" s="74" t="n">
        <x:v>6</x:v>
      </x:c>
      <x:c r="L8" s="29" t="str">
        <x:v>Isolate reach; install bypass/spare pump package</x:v>
      </x:c>
    </x:row>
    <x:row r="9">
      <x:c r="A9" s="29" t="str">
        <x:v>Grid and prime-power loss</x:v>
      </x:c>
      <x:c r="B9" s="73" t="n">
        <x:v>1</x:v>
      </x:c>
      <x:c r="C9" s="73" t="n">
        <x:v>1</x:v>
      </x:c>
      <x:c r="D9" s="73" t="n">
        <x:v>1</x:v>
      </x:c>
      <x:c r="E9" s="73" t="n">
        <x:v>0.25</x:v>
      </x:c>
      <x:c r="F9" s="73" t="n">
        <x:v>1</x:v>
      </x:c>
      <x:c r="G9" s="73" t="n">
        <x:v>1</x:v>
      </x:c>
      <x:c r="H9" s="45" t="n">
        <x:f>'Controls'!$C$6*MIN(B9:G9)</x:f>
        <x:v>12500</x:v>
      </x:c>
      <x:c r="I9" s="45" t="n">
        <x:f>H9*1000/50</x:f>
        <x:v>250000</x:v>
      </x:c>
      <x:c r="J9" s="45" t="n">
        <x:f>H9*1000/15</x:f>
        <x:v>833333.3333333334</x:v>
      </x:c>
      <x:c r="K9" s="74" t="n">
        <x:v>4</x:v>
      </x:c>
      <x:c r="L9" s="29" t="str">
        <x:v>Operate black-start critical train and district reserves</x:v>
      </x:c>
    </x:row>
    <x:row r="10">
      <x:c r="A10" s="29" t="str">
        <x:v>Source outside treatment envelope</x:v>
      </x:c>
      <x:c r="B10" s="73" t="n">
        <x:v>1</x:v>
      </x:c>
      <x:c r="C10" s="73" t="n">
        <x:v>1</x:v>
      </x:c>
      <x:c r="D10" s="73" t="n">
        <x:v>0</x:v>
      </x:c>
      <x:c r="E10" s="73" t="n">
        <x:v>1</x:v>
      </x:c>
      <x:c r="F10" s="73" t="n">
        <x:v>1</x:v>
      </x:c>
      <x:c r="G10" s="73" t="n">
        <x:v>1</x:v>
      </x:c>
      <x:c r="H10" s="45" t="n">
        <x:f>'Controls'!$C$6*MIN(B10:G10)</x:f>
        <x:v>0</x:v>
      </x:c>
      <x:c r="I10" s="45" t="n">
        <x:f>H10*1000/50</x:f>
        <x:v>0</x:v>
      </x:c>
      <x:c r="J10" s="45" t="n">
        <x:f>H10*1000/15</x:f>
        <x:v>0</x:v>
      </x:c>
      <x:c r="K10" s="74" t="n">
        <x:v>24</x:v>
      </x:c>
      <x:c r="L10" s="29" t="str">
        <x:v>Stop release; switch source/train and maintain stored critical supply</x:v>
      </x:c>
    </x:row>
    <x:row r="11">
      <x:c r="A11" s="29" t="str">
        <x:v>One district contamination event</x:v>
      </x:c>
      <x:c r="B11" s="73" t="n">
        <x:v>1</x:v>
      </x:c>
      <x:c r="C11" s="73" t="n">
        <x:v>1</x:v>
      </x:c>
      <x:c r="D11" s="73" t="n">
        <x:v>1</x:v>
      </x:c>
      <x:c r="E11" s="73" t="n">
        <x:v>1</x:v>
      </x:c>
      <x:c r="F11" s="73" t="n">
        <x:v>0.8</x:v>
      </x:c>
      <x:c r="G11" s="73" t="n">
        <x:v>1</x:v>
      </x:c>
      <x:c r="H11" s="45" t="n">
        <x:f>'Controls'!$C$6*MIN(B11:G11)</x:f>
        <x:v>40000</x:v>
      </x:c>
      <x:c r="I11" s="45" t="n">
        <x:f>H11*1000/50</x:f>
        <x:v>800000</x:v>
      </x:c>
      <x:c r="J11" s="45" t="n">
        <x:f>H11*1000/15</x:f>
        <x:v>2666666.6666666665</x:v>
      </x:c>
      <x:c r="K11" s="74" t="n">
        <x:v>24</x:v>
      </x:c>
      <x:c r="L11" s="29" t="str">
        <x:v>Isolate district, issue advisory, sample and flush</x:v>
      </x:c>
    </x:row>
    <x:row r="12">
      <x:c r="A12" s="29" t="str">
        <x:v>Local wastewater acceptance lost</x:v>
      </x:c>
      <x:c r="B12" s="73" t="n">
        <x:v>1</x:v>
      </x:c>
      <x:c r="C12" s="73" t="n">
        <x:v>1</x:v>
      </x:c>
      <x:c r="D12" s="73" t="n">
        <x:v>1</x:v>
      </x:c>
      <x:c r="E12" s="73" t="n">
        <x:v>1</x:v>
      </x:c>
      <x:c r="F12" s="73" t="n">
        <x:v>1</x:v>
      </x:c>
      <x:c r="G12" s="73" t="n">
        <x:v>0.4</x:v>
      </x:c>
      <x:c r="H12" s="45" t="n">
        <x:f>'Controls'!$C$6*MIN(B12:G12)</x:f>
        <x:v>20000</x:v>
      </x:c>
      <x:c r="I12" s="45" t="n">
        <x:f>H12*1000/50</x:f>
        <x:v>400000</x:v>
      </x:c>
      <x:c r="J12" s="45" t="n">
        <x:f>H12*1000/15</x:f>
        <x:v>1333333.3333333333</x:v>
      </x:c>
      <x:c r="K12" s="74" t="n">
        <x:v>12</x:v>
      </x:c>
      <x:c r="L12" s="29" t="str">
        <x:v>Restrict water service to matched sanitation capacity</x:v>
      </x:c>
    </x:row>
    <x:row r="13">
      <x:c r="A13" s="29" t="str">
        <x:v>Severe route damage</x:v>
      </x:c>
      <x:c r="B13" s="73" t="n">
        <x:v>1</x:v>
      </x:c>
      <x:c r="C13" s="73" t="n">
        <x:v>0.5</x:v>
      </x:c>
      <x:c r="D13" s="73" t="n">
        <x:v>1</x:v>
      </x:c>
      <x:c r="E13" s="73" t="n">
        <x:v>1</x:v>
      </x:c>
      <x:c r="F13" s="73" t="n">
        <x:v>0.9</x:v>
      </x:c>
      <x:c r="G13" s="73" t="n">
        <x:v>1</x:v>
      </x:c>
      <x:c r="H13" s="45" t="n">
        <x:f>'Controls'!$C$6*MIN(B13:G13)</x:f>
        <x:v>25000</x:v>
      </x:c>
      <x:c r="I13" s="45" t="n">
        <x:f>H13*1000/50</x:f>
        <x:v>500000</x:v>
      </x:c>
      <x:c r="J13" s="45" t="n">
        <x:f>H13*1000/15</x:f>
        <x:v>1666666.6666666667</x:v>
      </x:c>
      <x:c r="K13" s="74" t="n">
        <x:v>48</x:v>
      </x:c>
      <x:c r="L13" s="29" t="str">
        <x:v>Sectional isolation, tanker bridge and emergency bypass</x:v>
      </x:c>
    </x:row>
    <x:row r="14">
      <x:c r="A14" s="29" t="str">
        <x:v>Telemetry and positioning unavailable</x:v>
      </x:c>
      <x:c r="B14" s="73" t="n">
        <x:v>1</x:v>
      </x:c>
      <x:c r="C14" s="73" t="n">
        <x:v>1</x:v>
      </x:c>
      <x:c r="D14" s="73" t="n">
        <x:v>1</x:v>
      </x:c>
      <x:c r="E14" s="73" t="n">
        <x:v>1</x:v>
      </x:c>
      <x:c r="F14" s="73" t="n">
        <x:v>0.8</x:v>
      </x:c>
      <x:c r="G14" s="73" t="n">
        <x:v>1</x:v>
      </x:c>
      <x:c r="H14" s="45" t="n">
        <x:f>'Controls'!$C$6*MIN(B14:G14)</x:f>
        <x:v>40000</x:v>
      </x:c>
      <x:c r="I14" s="45" t="n">
        <x:f>H14*1000/50</x:f>
        <x:v>800000</x:v>
      </x:c>
      <x:c r="J14" s="45" t="n">
        <x:f>H14*1000/15</x:f>
        <x:v>2666666.6666666665</x:v>
      </x:c>
      <x:c r="K14" s="74" t="n">
        <x:v>2</x:v>
      </x:c>
      <x:c r="L14" s="29" t="str">
        <x:v>Manual local control, paper logging and reduced pressure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48" hidden="0" customWidth="1"/>
    <x:col min="4" max="4" width="17" hidden="0" customWidth="1"/>
    <x:col min="5" max="5" width="30" hidden="0" customWidth="1"/>
    <x:col min="6" max="6" width="48" hidden="0" customWidth="1"/>
  </x:cols>
  <x:sheetData>
    <x:row r="1" ht="24" customHeight="1">
      <x:c r="A1" s="4" t="str">
        <x:v>Physics-closure gate</x:v>
      </x:c>
      <x:c r="B1" s="5"/>
      <x:c r="C1" s="5"/>
      <x:c r="D1" s="5"/>
      <x:c r="E1" s="5"/>
      <x:c r="F1" s="5"/>
    </x:row>
    <x:row r="2" ht="30" customHeight="1">
      <x:c r="A2" s="6" t="str">
        <x:v>Rendering remains prohibited until every configuration-level gate is verified, not merely modeled or bounded.</x:v>
      </x:c>
      <x:c r="B2" s="6"/>
      <x:c r="C2" s="6"/>
      <x:c r="D2" s="6"/>
      <x:c r="E2" s="6"/>
      <x:c r="F2" s="6"/>
    </x:row>
    <x:row r="4" ht="32" customHeight="1">
      <x:c r="A4" s="18" t="str">
        <x:v>Gate</x:v>
      </x:c>
      <x:c r="B4" s="19" t="str">
        <x:v>Evidence required</x:v>
      </x:c>
      <x:c r="C4" s="19" t="str">
        <x:v>Current evidence</x:v>
      </x:c>
      <x:c r="D4" s="19" t="str">
        <x:v>Status</x:v>
      </x:c>
      <x:c r="E4" s="19" t="str">
        <x:v>Owner</x:v>
      </x:c>
      <x:c r="F4" s="20" t="str">
        <x:v>Next closure action</x:v>
      </x:c>
    </x:row>
    <x:row r="5">
      <x:c r="A5" s="29" t="str">
        <x:v>Mass</x:v>
      </x:c>
      <x:c r="B5" s="29" t="str">
        <x:v>Configuration mass and center-of-gravity records</x:v>
      </x:c>
      <x:c r="C5" s="29" t="str">
        <x:v>Pipe geometry and preliminary manifest reconcile</x:v>
      </x:c>
      <x:c r="D5" s="29" t="str">
        <x:v>Model closed</x:v>
      </x:c>
      <x:c r="E5" s="29" t="str">
        <x:v>Systems engineering</x:v>
      </x:c>
      <x:c r="F5" s="29" t="str">
        <x:v>Vendor/configuration equipment schedule</x:v>
      </x:c>
    </x:row>
    <x:row r="6">
      <x:c r="A6" s="29" t="str">
        <x:v>Energy</x:v>
      </x:c>
      <x:c r="B6" s="29" t="str">
        <x:v>All loads, starts, reserves and fuel/connection cases</x:v>
      </x:c>
      <x:c r="C6" s="29" t="str">
        <x:v>Treatment and steady hydraulic loads close</x:v>
      </x:c>
      <x:c r="D6" s="29" t="str">
        <x:v>Model closed</x:v>
      </x:c>
      <x:c r="E6" s="29" t="str">
        <x:v>Power engineering</x:v>
      </x:c>
      <x:c r="F6" s="29" t="str">
        <x:v>Transient load and black-start model</x:v>
      </x:c>
    </x:row>
    <x:row r="7">
      <x:c r="A7" s="29" t="str">
        <x:v>Flow</x:v>
      </x:c>
      <x:c r="B7" s="29" t="str">
        <x:v>Source-to-point-of-use balance with losses</x:v>
      </x:c>
      <x:c r="C7" s="29" t="str">
        <x:v>Production, trunk, storage and channel flows reconcile</x:v>
      </x:c>
      <x:c r="D7" s="29" t="str">
        <x:v>Model closed</x:v>
      </x:c>
      <x:c r="E7" s="29" t="str">
        <x:v>Utility engineering</x:v>
      </x:c>
      <x:c r="F7" s="29" t="str">
        <x:v>Instrumented loss and demand trials</x:v>
      </x:c>
    </x:row>
    <x:row r="8">
      <x:c r="A8" s="29" t="str">
        <x:v>Pressure and surge</x:v>
      </x:c>
      <x:c r="B8" s="29" t="str">
        <x:v>Route profile, pipe class, air/vacuum and transient model</x:v>
      </x:c>
      <x:c r="C8" s="29" t="str">
        <x:v>Uniform-zone steady-state model only</x:v>
      </x:c>
      <x:c r="D8" s="29" t="str">
        <x:v>Open</x:v>
      </x:c>
      <x:c r="E8" s="29" t="str">
        <x:v>Hydraulics authority</x:v>
      </x:c>
      <x:c r="F8" s="29" t="str">
        <x:v>Surveyed route and transient simulation</x:v>
      </x:c>
    </x:row>
    <x:row r="9">
      <x:c r="A9" s="29" t="str">
        <x:v>Treatment envelope</x:v>
      </x:c>
      <x:c r="B9" s="29" t="str">
        <x:v>Guaranteed output by feed chemistry and temperature</x:v>
      </x:c>
      <x:c r="C9" s="29" t="str">
        <x:v>Three source cases; only seawater energy externally anchored</x:v>
      </x:c>
      <x:c r="D9" s="29" t="str">
        <x:v>Bounded</x:v>
      </x:c>
      <x:c r="E9" s="29" t="str">
        <x:v>Process authority</x:v>
      </x:c>
      <x:c r="F9" s="29" t="str">
        <x:v>Source matrix and vendor guarantee tests</x:v>
      </x:c>
    </x:row>
    <x:row r="10">
      <x:c r="A10" s="29" t="str">
        <x:v>Storage</x:v>
      </x:c>
      <x:c r="B10" s="29" t="str">
        <x:v>Sanitary design, structures, site works and operating rules</x:v>
      </x:c>
      <x:c r="C10" s="29" t="str">
        <x:v>Volume, water mass and gross footprint close</x:v>
      </x:c>
      <x:c r="D10" s="29" t="str">
        <x:v>Model closed</x:v>
      </x:c>
      <x:c r="E10" s="29" t="str">
        <x:v>Storage/civil authority</x:v>
      </x:c>
      <x:c r="F10" s="29" t="str">
        <x:v>Detailed reservoir and tank configurations</x:v>
      </x:c>
    </x:row>
    <x:row r="11">
      <x:c r="A11" s="29" t="str">
        <x:v>Waste and residuals</x:v>
      </x:c>
      <x:c r="B11" s="29" t="str">
        <x:v>Influent and discharge cases with legal authority</x:v>
      </x:c>
      <x:c r="C11" s="29" t="str">
        <x:v>Return-flow and reject volumes bounded</x:v>
      </x:c>
      <x:c r="D11" s="29" t="str">
        <x:v>Bounded</x:v>
      </x:c>
      <x:c r="E11" s="29" t="str">
        <x:v>Sanitation authority</x:v>
      </x:c>
      <x:c r="F11" s="29" t="str">
        <x:v>Treatment/discharge matrix and receiving-site study</x:v>
      </x:c>
    </x:row>
    <x:row r="12">
      <x:c r="A12" s="29" t="str">
        <x:v>Crew and qualifications</x:v>
      </x:c>
      <x:c r="B12" s="29" t="str">
        <x:v>Position book, shifts, fatigue, credentials and rotation</x:v>
      </x:c>
      <x:c r="C12" s="29" t="str">
        <x:v>2,720-person reference and three echelons modeled</x:v>
      </x:c>
      <x:c r="D12" s="29" t="str">
        <x:v>Bounded</x:v>
      </x:c>
      <x:c r="E12" s="29" t="str">
        <x:v>Force design</x:v>
      </x:c>
      <x:c r="F12" s="29" t="str">
        <x:v>Occupation-level exercise and school plan</x:v>
      </x:c>
    </x:row>
    <x:row r="13">
      <x:c r="A13" s="29" t="str">
        <x:v>Lift and reception</x:v>
      </x:c>
      <x:c r="B13" s="29" t="str">
        <x:v>Packaged dimensions, network routes, handling and throughput</x:v>
      </x:c>
      <x:c r="C13" s="29" t="str">
        <x:v>Preliminary mass by primary lift mode</x:v>
      </x:c>
      <x:c r="D13" s="29" t="str">
        <x:v>Bounded</x:v>
      </x:c>
      <x:c r="E13" s="29" t="str">
        <x:v>Mobility command</x:v>
      </x:c>
      <x:c r="F13" s="29" t="str">
        <x:v>Origin-destination and reception model</x:v>
      </x:c>
    </x:row>
    <x:row r="14">
      <x:c r="A14" s="29" t="str">
        <x:v>Construction tempo</x:v>
      </x:c>
      <x:c r="B14" s="29" t="str">
        <x:v>Repeated route-class installation demonstrations</x:v>
      </x:c>
      <x:c r="C14" s="29" t="str">
        <x:v>Mode rates are assumptions</x:v>
      </x:c>
      <x:c r="D14" s="29" t="str">
        <x:v>Test required</x:v>
      </x:c>
      <x:c r="E14" s="29" t="str">
        <x:v>Land engineering test center</x:v>
      </x:c>
      <x:c r="F14" s="29" t="str">
        <x:v>Instrumented multi-front field trials</x:v>
      </x:c>
    </x:row>
    <x:row r="15">
      <x:c r="A15" s="29" t="str">
        <x:v>Maintenance and spares</x:v>
      </x:c>
      <x:c r="B15" s="29" t="str">
        <x:v>Failure rates, repair times, depot and stock policy</x:v>
      </x:c>
      <x:c r="C15" s="29" t="str">
        <x:v>Preliminary spare packages only</x:v>
      </x:c>
      <x:c r="D15" s="29" t="str">
        <x:v>Open</x:v>
      </x:c>
      <x:c r="E15" s="29" t="str">
        <x:v>Lifecycle authority</x:v>
      </x:c>
      <x:c r="F15" s="29" t="str">
        <x:v>Reliability-centered maintenance model</x:v>
      </x:c>
    </x:row>
    <x:row r="16">
      <x:c r="A16" s="29" t="str">
        <x:v>Degraded modes</x:v>
      </x:c>
      <x:c r="B16" s="29" t="str">
        <x:v>Safe demonstrated behavior under named failures</x:v>
      </x:c>
      <x:c r="C16" s="29" t="str">
        <x:v>Ten arithmetic cases and safe-state concepts</x:v>
      </x:c>
      <x:c r="D16" s="29" t="str">
        <x:v>Test required</x:v>
      </x:c>
      <x:c r="E16" s="29" t="str">
        <x:v>Operational test command</x:v>
      </x:c>
      <x:c r="F16" s="29" t="str">
        <x:v>Full-scale fault injection and exercise</x:v>
      </x:c>
    </x:row>
    <x:row r="17">
      <x:c r="A17" s="46"/>
      <x:c r="B17" s="46"/>
      <x:c r="C17" s="46"/>
      <x:c r="D17" s="46"/>
      <x:c r="E17" s="46"/>
      <x:c r="F17" s="46"/>
    </x:row>
    <x:row r="18" ht="32" customHeight="1">
      <x:c r="A18" s="18" t="str">
        <x:v>Gate summary</x:v>
      </x:c>
      <x:c r="B18" s="20" t="str">
        <x:v>Value</x:v>
      </x:c>
      <x:c r="C18" s="46"/>
      <x:c r="D18" s="46"/>
      <x:c r="E18" s="46"/>
      <x:c r="F18" s="46"/>
    </x:row>
    <x:row r="19">
      <x:c r="A19" s="29" t="str">
        <x:v>Verified gates</x:v>
      </x:c>
      <x:c r="B19" s="29" t="n">
        <x:f>COUNTIF(D5:D16,"Verified")</x:f>
        <x:v>0</x:v>
      </x:c>
      <x:c r="C19" s="46"/>
      <x:c r="D19" s="46"/>
      <x:c r="E19" s="46"/>
      <x:c r="F19" s="46"/>
    </x:row>
    <x:row r="20">
      <x:c r="A20" s="29" t="str">
        <x:v>Total gates</x:v>
      </x:c>
      <x:c r="B20" s="29" t="n">
        <x:f>ROWS(D5:D16)</x:f>
        <x:v>12</x:v>
      </x:c>
      <x:c r="C20" s="46"/>
      <x:c r="D20" s="46"/>
      <x:c r="E20" s="46"/>
      <x:c r="F20" s="46"/>
    </x:row>
    <x:row r="21">
      <x:c r="A21" s="29" t="str">
        <x:v>Visualization state</x:v>
      </x:c>
      <x:c r="B21" s="29" t="str">
        <x:f>IF(B19=B20,"R3","R2+")</x:f>
        <x:v>R2+</x:v>
      </x:c>
      <x:c r="C21" s="46"/>
      <x:c r="D21" s="46"/>
      <x:c r="E21" s="46"/>
      <x:c r="F21" s="46"/>
    </x:row>
    <x:row r="22">
      <x:c r="A22" s="46"/>
      <x:c r="B22" s="46"/>
      <x:c r="C22" s="46"/>
      <x:c r="D22" s="46"/>
      <x:c r="E22" s="46"/>
      <x:c r="F22" s="46"/>
    </x:row>
    <x:row r="23">
      <x:c r="A23" s="47" t="str">
        <x:v>Model integrity and decision checks</x:v>
      </x:c>
      <x:c r="B23" s="48"/>
      <x:c r="C23" s="48"/>
      <x:c r="D23" s="49"/>
      <x:c r="E23" s="46"/>
      <x:c r="F23" s="46"/>
    </x:row>
    <x:row r="24">
      <x:c r="A24" s="46"/>
      <x:c r="B24" s="46"/>
      <x:c r="C24" s="46"/>
      <x:c r="D24" s="46"/>
      <x:c r="E24" s="46"/>
      <x:c r="F24" s="46"/>
    </x:row>
    <x:row r="25" ht="32" customHeight="1">
      <x:c r="A25" s="18" t="str">
        <x:v>Check</x:v>
      </x:c>
      <x:c r="B25" s="19" t="str">
        <x:v>Observed</x:v>
      </x:c>
      <x:c r="C25" s="19" t="str">
        <x:v>Rule</x:v>
      </x:c>
      <x:c r="D25" s="20" t="str">
        <x:v>Result</x:v>
      </x:c>
      <x:c r="E25" s="46"/>
      <x:c r="F25" s="46"/>
    </x:row>
    <x:row r="26">
      <x:c r="A26" s="29" t="str">
        <x:v>Treatment capacity</x:v>
      </x:c>
      <x:c r="B26" s="76" t="n">
        <x:f>'Treatment Cases'!$B$18</x:f>
        <x:v>50000</x:v>
      </x:c>
      <x:c r="C26" s="29" t="str">
        <x:v>&gt;= target product</x:v>
      </x:c>
      <x:c r="D26" s="29" t="str">
        <x:f>IF(B26&gt;='Controls'!$C$6,"OK","Review")</x:f>
        <x:v>OK</x:v>
      </x:c>
      <x:c r="E26" s="46"/>
      <x:c r="F26" s="46"/>
    </x:row>
    <x:row r="27">
      <x:c r="A27" s="29" t="str">
        <x:v>Trunk velocity</x:v>
      </x:c>
      <x:c r="B27" s="76" t="n">
        <x:f>'Hydraulic Reaches'!$C$7</x:f>
        <x:v>1.4736568804805126</x:v>
      </x:c>
      <x:c r="C27" s="29" t="str">
        <x:v>0.6–2.0 m/s preliminary band</x:v>
      </x:c>
      <x:c r="D27" s="29" t="str">
        <x:f>IF(AND(B27&gt;=0.6,B27&lt;=2),"OK","Review")</x:f>
        <x:v>OK</x:v>
      </x:c>
      <x:c r="E27" s="46"/>
      <x:c r="F27" s="46"/>
    </x:row>
    <x:row r="28">
      <x:c r="A28" s="29" t="str">
        <x:v>Maximum zone pressure</x:v>
      </x:c>
      <x:c r="B28" s="76" t="n">
        <x:f>MAX('Hydraulic Reaches'!$H$18:$H$27)</x:f>
        <x:v>82.72019292296204</x:v>
      </x:c>
      <x:c r="C28" s="29" t="str">
        <x:v>&lt;= operating ceiling</x:v>
      </x:c>
      <x:c r="D28" s="29" t="str">
        <x:f>IF(B28&lt;='Controls'!$C$18,"OK","Review")</x:f>
        <x:v>OK</x:v>
      </x:c>
      <x:c r="E28" s="46"/>
      <x:c r="F28" s="46"/>
    </x:row>
    <x:row r="29">
      <x:c r="A29" s="29" t="str">
        <x:v>Adjusted pressure class</x:v>
      </x:c>
      <x:c r="B29" s="76" t="n">
        <x:f>'Controls'!$C$29*'Controls'!$C$28</x:f>
        <x:v>125</x:v>
      </x:c>
      <x:c r="C29" s="29" t="str">
        <x:v>&gt;= operating ceiling</x:v>
      </x:c>
      <x:c r="D29" s="29" t="str">
        <x:f>IF(B29&gt;='Controls'!$C$18,"OK","Review")</x:f>
        <x:v>OK</x:v>
      </x:c>
      <x:c r="E29" s="46"/>
      <x:c r="F29" s="46"/>
    </x:row>
    <x:row r="30">
      <x:c r="A30" s="29" t="str">
        <x:v>Distribution shares</x:v>
      </x:c>
      <x:c r="B30" s="76" t="n">
        <x:f>'Storage &amp; Access'!$B$21</x:f>
        <x:v>1</x:v>
      </x:c>
      <x:c r="C30" s="29" t="n">
        <x:f> 100%</x:f>
        <x:v>1</x:v>
      </x:c>
      <x:c r="D30" s="29" t="str">
        <x:f>IF(ABS(B30-1)&lt;0.0001,"OK","Review")</x:f>
        <x:v>OK</x:v>
      </x:c>
      <x:c r="E30" s="46"/>
      <x:c r="F30" s="46"/>
    </x:row>
    <x:row r="31">
      <x:c r="A31" s="29" t="str">
        <x:v>Deployed workforce</x:v>
      </x:c>
      <x:c r="B31" s="76" t="n">
        <x:f>'Workforce'!$F$12</x:f>
        <x:v>2720</x:v>
      </x:c>
      <x:c r="C31" s="29" t="str">
        <x:v>2,300–3,200 people</x:v>
      </x:c>
      <x:c r="D31" s="29" t="str">
        <x:f>IF(AND(B31&gt;=2300,B31&lt;=3200),"OK","Review")</x:f>
        <x:v>OK</x:v>
      </x:c>
      <x:c r="E31" s="46"/>
      <x:c r="F31" s="46"/>
    </x:row>
    <x:row r="32">
      <x:c r="A32" s="29" t="str">
        <x:v>Selected construction case</x:v>
      </x:c>
      <x:c r="B32" s="76" t="n">
        <x:f>'Deployment Plan'!$B$11</x:f>
        <x:v>19.666666666666668</x:v>
      </x:c>
      <x:c r="C32" s="29" t="str">
        <x:v>&lt;= 21 days reference</x:v>
      </x:c>
      <x:c r="D32" s="29" t="str">
        <x:f>IF(B32&lt;=21,"OK","Review")</x:f>
        <x:v>OK</x:v>
      </x:c>
      <x:c r="E32" s="46"/>
      <x:c r="F32" s="46"/>
    </x:row>
    <x:row r="33">
      <x:c r="A33" s="29" t="str">
        <x:v>One-trunk emergency service</x:v>
      </x:c>
      <x:c r="B33" s="76" t="n">
        <x:f>'Failure Modes'!$J$7</x:f>
        <x:v>1666666.6666666667</x:v>
      </x:c>
      <x:c r="C33" s="29" t="str">
        <x:v>&gt;= reference population</x:v>
      </x:c>
      <x:c r="D33" s="29" t="str">
        <x:f>IF(B33&gt;='Controls'!$C$7,"OK","Review")</x:f>
        <x:v>OK</x:v>
      </x:c>
      <x:c r="E33" s="46"/>
      <x:c r="F33" s="46"/>
    </x:row>
    <x:row r="34">
      <x:c r="A34" s="29" t="str">
        <x:v>Manifest includes pipe</x:v>
      </x:c>
      <x:c r="B34" s="76" t="n">
        <x:f>'Pipe &amp; Lift'!$B$37</x:f>
        <x:v>23516.171856667163</x:v>
      </x:c>
      <x:c r="C34" s="29" t="str">
        <x:v>&gt; total pipe mass</x:v>
      </x:c>
      <x:c r="D34" s="29" t="str">
        <x:f>IF(B34&gt;'Pipe &amp; Lift'!$C$13,"OK","Review")</x:f>
        <x:v>OK</x:v>
      </x:c>
      <x:c r="E34" s="46"/>
      <x:c r="F34" s="46"/>
    </x:row>
    <x:row r="35">
      <x:c r="A35" s="29" t="str">
        <x:v>Selected service demand</x:v>
      </x:c>
      <x:c r="B35" s="76" t="n">
        <x:f>'Service Demand'!$B$17</x:f>
        <x:v>0</x:v>
      </x:c>
      <x:c r="C35" s="29" t="str">
        <x:v>&gt;= 0 m³/day supply margin</x:v>
      </x:c>
      <x:c r="D35" s="29" t="str">
        <x:f>IF(B35&gt;=0,"OK","Review")</x:f>
        <x:v>OK</x:v>
      </x:c>
      <x:c r="E35" s="46"/>
      <x:c r="F35" s="46"/>
    </x:row>
    <x:row r="36">
      <x:c r="A36" s="29" t="str">
        <x:v>Storage volume</x:v>
      </x:c>
      <x:c r="B36" s="76" t="n">
        <x:f>'Storage &amp; Access'!$D$10</x:f>
        <x:v>47916.66666666666</x:v>
      </x:c>
      <x:c r="C36" s="29" t="str">
        <x:v>&gt; 0 m³</x:v>
      </x:c>
      <x:c r="D36" s="29" t="str">
        <x:f>IF(B36&gt;0,"OK","Review")</x:f>
        <x:v>OK</x:v>
      </x:c>
      <x:c r="E36" s="46"/>
      <x:c r="F36" s="46"/>
    </x:row>
    <x:row r="37">
      <x:c r="A37" s="29" t="str">
        <x:v>Average power</x:v>
      </x:c>
      <x:c r="B37" s="76" t="n">
        <x:f>'Treatment Cases'!$B$17+'Hydraulic Reaches'!$C$11</x:f>
        <x:v>11.344230938383284</x:v>
      </x:c>
      <x:c r="C37" s="29" t="str">
        <x:v>&gt; 0 MW</x:v>
      </x:c>
      <x:c r="D37" s="29" t="str">
        <x:f>IF(B37&gt;0,"OK","Review")</x:f>
        <x:v>OK</x:v>
      </x:c>
      <x:c r="E37" s="46"/>
      <x:c r="F37" s="46"/>
    </x:row>
  </x:sheetData>
  <x:conditionalFormatting sqref="D5:D16">
    <x:cfRule type="containsText" dxfId="1" priority="1" operator="containsText" text="Open"/>
    <x:cfRule type="containsText" dxfId="2" priority="2" operator="containsText" text="Test required"/>
    <x:cfRule type="containsText" dxfId="3" priority="3" operator="containsText" text="Bounded"/>
    <x:cfRule type="containsText" dxfId="4" priority="4" operator="containsText" text="Model closed"/>
    <x:cfRule type="containsText" dxfId="5" priority="5" operator="containsText" text="Verified"/>
  </x:conditionalFormatting>
  <x:conditionalFormatting sqref="D26:D37">
    <x:cfRule type="containsText" dxfId="6" priority="6" operator="containsText" text="Review"/>
    <x:cfRule type="containsText" dxfId="7" priority="7" operator="containsText" text="OK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5" hidden="0" customWidth="1"/>
    <x:col min="3" max="3" width="27" hidden="0" customWidth="1"/>
    <x:col min="4" max="4" width="16" hidden="0" customWidth="1"/>
    <x:col min="5" max="5" width="72" hidden="0" customWidth="1"/>
    <x:col min="6" max="6" width="48" hidden="0" customWidth="1"/>
    <x:col min="7" max="7" width="24" hidden="0" customWidth="1"/>
  </x:cols>
  <x:sheetData>
    <x:row r="1" ht="24" customHeight="1">
      <x:c r="A1" s="4" t="str">
        <x:v>Sources and assumption register</x:v>
      </x:c>
      <x:c r="B1" s="5"/>
      <x:c r="C1" s="5"/>
      <x:c r="D1" s="5"/>
      <x:c r="E1" s="5"/>
      <x:c r="F1" s="5"/>
      <x:c r="G1" s="5"/>
    </x:row>
    <x:row r="2" ht="30" customHeight="1">
      <x:c r="A2" s="6" t="str">
        <x:v>Primary references bound the model. Values labeled as design assumptions require engineering validation and do not become facts through repetition.</x:v>
      </x:c>
      <x:c r="B2" s="6"/>
      <x:c r="C2" s="6"/>
      <x:c r="D2" s="6"/>
      <x:c r="E2" s="6"/>
      <x:c r="F2" s="6"/>
      <x:c r="G2" s="6"/>
    </x:row>
    <x:row r="4" ht="32" customHeight="1">
      <x:c r="A4" s="18" t="str">
        <x:v>Key</x:v>
      </x:c>
      <x:c r="B4" s="19" t="str">
        <x:v>Title</x:v>
      </x:c>
      <x:c r="C4" s="19" t="str">
        <x:v>Publisher</x:v>
      </x:c>
      <x:c r="D4" s="19" t="str">
        <x:v>Date</x:v>
      </x:c>
      <x:c r="E4" s="19" t="str">
        <x:v>URL</x:v>
      </x:c>
      <x:c r="F4" s="19" t="str">
        <x:v>Model use</x:v>
      </x:c>
      <x:c r="G4" s="20" t="str">
        <x:v>Evidence class</x:v>
      </x:c>
    </x:row>
    <x:row r="5">
      <x:c r="A5" s="29" t="str">
        <x:v>DOE-Desal</x:v>
      </x:c>
      <x:c r="B5" s="29" t="str">
        <x:v>Bandwidth Study on Energy Use and Potential Energy Savings Opportunities in U.S. Seawater Desalination Systems</x:v>
      </x:c>
      <x:c r="C5" s="29" t="str">
        <x:v>U.S. Department of Energy</x:v>
      </x:c>
      <x:c r="D5" s="29" t="str">
        <x:v>2017</x:v>
      </x:c>
      <x:c r="E5" s="29" t="str">
        <x:v>https://www.energy.gov/sites/default/files/2017/12/f46/Seawater_desalination_bandwidth_study_2017.pdf</x:v>
      </x:c>
      <x:c r="F5" s="29" t="str">
        <x:v>Seawater RO process-energy and recovery reference</x:v>
      </x:c>
      <x:c r="G5" s="29" t="str">
        <x:v>Primary government</x:v>
      </x:c>
    </x:row>
    <x:row r="6">
      <x:c r="A6" s="29" t="str">
        <x:v>EPA-EDWS</x:v>
      </x:c>
      <x:c r="B6" s="29" t="str">
        <x:v>Planning for an Emergency Drinking Water Supply</x:v>
      </x:c>
      <x:c r="C6" s="29" t="str">
        <x:v>U.S. Environmental Protection Agency</x:v>
      </x:c>
      <x:c r="D6" s="29" t="str">
        <x:v>2011</x:v>
      </x:c>
      <x:c r="E6" s="29" t="str">
        <x:v>https://www.epa.gov/sites/default/files/2015-03/documents/planning_for_an_emergency_drinking_water_supply.pdf</x:v>
      </x:c>
      <x:c r="F6" s="29" t="str">
        <x:v>Distribution modes, storage and unusable-network planning</x:v>
      </x:c>
      <x:c r="G6" s="29" t="str">
        <x:v>Primary government</x:v>
      </x:c>
    </x:row>
    <x:row r="7">
      <x:c r="A7" s="29" t="str">
        <x:v>EPA-Distribution</x:v>
      </x:c>
      <x:c r="B7" s="29" t="str">
        <x:v>Drinking Water Distribution System Tools and Resources</x:v>
      </x:c>
      <x:c r="C7" s="29" t="str">
        <x:v>U.S. Environmental Protection Agency</x:v>
      </x:c>
      <x:c r="D7" s="29" t="str">
        <x:v>updated 2026</x:v>
      </x:c>
      <x:c r="E7" s="29" t="str">
        <x:v>https://www.epa.gov/dwreginfo/drinking-water-distribution-system-tools-and-resources</x:v>
      </x:c>
      <x:c r="F7" s="29" t="str">
        <x:v>Pressure, storage, water age and distribution quality</x:v>
      </x:c>
      <x:c r="G7" s="29" t="str">
        <x:v>Primary government</x:v>
      </x:c>
    </x:row>
    <x:row r="8">
      <x:c r="A8" s="29" t="str">
        <x:v>DOD-Water</x:v>
      </x:c>
      <x:c r="B8" s="29" t="str">
        <x:v>ATP 4-44/MCRP 3-40D.14 Water Support Operations</x:v>
      </x:c>
      <x:c r="C8" s="29" t="str">
        <x:v>U.S. Army and U.S. Marine Corps</x:v>
      </x:c>
      <x:c r="D8" s="29" t="str">
        <x:v>2025</x:v>
      </x:c>
      <x:c r="E8" s="29" t="str">
        <x:v>https://rdl.train.army.mil/catalog-ws/view/100.ATSC/26F5F885-EE29-4461-A569-E226165D10CA-1443796247417/ATP_4_44wc2.pdf</x:v>
      </x:c>
      <x:c r="F8" s="29" t="str">
        <x:v>Treatment-storage-distribution-issue chain and quality surveillance</x:v>
      </x:c>
      <x:c r="G8" s="29" t="str">
        <x:v>Primary government</x:v>
      </x:c>
    </x:row>
    <x:row r="9">
      <x:c r="A9" s="29" t="str">
        <x:v>PPI-Handbook</x:v>
      </x:c>
      <x:c r="B9" s="29" t="str">
        <x:v>Handbook of PE Pipe</x:v>
      </x:c>
      <x:c r="C9" s="29" t="str">
        <x:v>Plastics Pipe Institute</x:v>
      </x:c>
      <x:c r="D9" s="29" t="str">
        <x:v>2022 edition</x:v>
      </x:c>
      <x:c r="E9" s="29" t="str">
        <x:v>https://www.plasticpipe.org/common/Uploaded%20files/Technical/PPI%20PEHandbook2022.pdf</x:v>
      </x:c>
      <x:c r="F9" s="29" t="str">
        <x:v>Hydraulic, pressure, surge, temperature and pipe geometry design</x:v>
      </x:c>
      <x:c r="G9" s="29" t="str">
        <x:v>Primary industry technical</x:v>
      </x:c>
    </x:row>
    <x:row r="10">
      <x:c r="A10" s="29" t="str">
        <x:v>PPI-TN27</x:v>
      </x:c>
      <x:c r="B10" s="29" t="str">
        <x:v>Frequently Asked Questions: HDPE Pipe for Water Distribution and Transmission Applications</x:v>
      </x:c>
      <x:c r="C10" s="29" t="str">
        <x:v>Plastics Pipe Institute</x:v>
      </x:c>
      <x:c r="D10" s="29" t="str">
        <x:v>2009</x:v>
      </x:c>
      <x:c r="E10" s="29" t="str">
        <x:v>https://www.plasticpipe.org/common/Uploaded%20files/Technical/TN-27.pdf</x:v>
      </x:c>
      <x:c r="F10" s="29" t="str">
        <x:v>PE4710 DR17 125-psi reference pressure class and surge context</x:v>
      </x:c>
      <x:c r="G10" s="29" t="str">
        <x:v>Primary industry technical</x:v>
      </x:c>
    </x:row>
    <x:row r="11">
      <x:c r="A11" s="29" t="str">
        <x:v>WHO-DWQ</x:v>
      </x:c>
      <x:c r="B11" s="29" t="str">
        <x:v>Guidelines for Drinking-water Quality</x:v>
      </x:c>
      <x:c r="C11" s="29" t="str">
        <x:v>World Health Organization</x:v>
      </x:c>
      <x:c r="D11" s="29" t="str">
        <x:v>2022</x:v>
      </x:c>
      <x:c r="E11" s="29" t="str">
        <x:v>https://iris.who.int/bitstream/handle/10665/352532/9789240045064-eng.pdf</x:v>
      </x:c>
      <x:c r="F11" s="29" t="str">
        <x:v>Emergency service quantities and access relationship</x:v>
      </x:c>
      <x:c r="G11" s="29" t="str">
        <x:v>Primary international</x:v>
      </x:c>
    </x:row>
    <x:row r="12">
      <x:c r="A12" s="29" t="str">
        <x:v>DF-Water</x:v>
      </x:c>
      <x:c r="B12" s="29" t="str">
        <x:v>Water restoration force engineering</x:v>
      </x:c>
      <x:c r="C12" s="29" t="str">
        <x:v>Disaster Force research program</x:v>
      </x:c>
      <x:c r="D12" s="29" t="str">
        <x:v>2026</x:v>
      </x:c>
      <x:c r="E12" s="29" t="str">
        <x:v>https://github.com/Onemoremichael/disaster-force/blob/main/research/17-water-system-engineering.md</x:v>
      </x:c>
      <x:c r="F12" s="29" t="str">
        <x:v>WRG-50 architecture and declared planning bands</x:v>
      </x:c>
      <x:c r="G12" s="29" t="str">
        <x:v>Derived research</x:v>
      </x:c>
    </x:row>
    <x:row r="13">
      <x:c r="A13" s="46"/>
      <x:c r="B13" s="46"/>
      <x:c r="C13" s="46"/>
      <x:c r="D13" s="46"/>
      <x:c r="E13" s="46"/>
      <x:c r="F13" s="46"/>
      <x:c r="G13" s="46"/>
    </x:row>
    <x:row r="14">
      <x:c r="A14" s="46"/>
      <x:c r="B14" s="46"/>
      <x:c r="C14" s="46"/>
      <x:c r="D14" s="46"/>
      <x:c r="E14" s="46"/>
      <x:c r="F14" s="46"/>
      <x:c r="G14" s="46"/>
    </x:row>
    <x:row r="15">
      <x:c r="A15" s="47" t="str">
        <x:v>Major assumptions requiring validation</x:v>
      </x:c>
      <x:c r="B15" s="48"/>
      <x:c r="C15" s="48"/>
      <x:c r="D15" s="48"/>
      <x:c r="E15" s="48"/>
      <x:c r="F15" s="48"/>
      <x:c r="G15" s="49"/>
    </x:row>
    <x:row r="16">
      <x:c r="A16" s="46"/>
      <x:c r="B16" s="46"/>
      <x:c r="C16" s="46"/>
      <x:c r="D16" s="46"/>
      <x:c r="E16" s="46"/>
      <x:c r="F16" s="46"/>
      <x:c r="G16" s="46"/>
    </x:row>
    <x:row r="17" ht="32" customHeight="1">
      <x:c r="A17" s="18" t="str">
        <x:v>Assumption</x:v>
      </x:c>
      <x:c r="B17" s="19" t="str">
        <x:v>Current value</x:v>
      </x:c>
      <x:c r="C17" s="19" t="str">
        <x:v>Unit</x:v>
      </x:c>
      <x:c r="D17" s="19" t="str">
        <x:v>Why it matters</x:v>
      </x:c>
      <x:c r="E17" s="19" t="str">
        <x:v>Risk if wrong</x:v>
      </x:c>
      <x:c r="F17" s="19" t="str">
        <x:v>Validation method</x:v>
      </x:c>
      <x:c r="G17" s="20" t="str">
        <x:v>Status</x:v>
      </x:c>
    </x:row>
    <x:row r="18">
      <x:c r="A18" s="29" t="str">
        <x:v>Fresh-surface process energy</x:v>
      </x:c>
      <x:c r="B18" s="29" t="n">
        <x:v>0.6</x:v>
      </x:c>
      <x:c r="C18" s="29" t="str">
        <x:v>kWh/m³</x:v>
      </x:c>
      <x:c r="D18" s="29" t="str">
        <x:v>Plant power and module count</x:v>
      </x:c>
      <x:c r="E18" s="29" t="str">
        <x:v>Power system under/oversized</x:v>
      </x:c>
      <x:c r="F18" s="29" t="str">
        <x:v>Feed-matrix pilot tests</x:v>
      </x:c>
      <x:c r="G18" s="29" t="str">
        <x:v>Open</x:v>
      </x:c>
    </x:row>
    <x:row r="19">
      <x:c r="A19" s="29" t="str">
        <x:v>Brackish process energy</x:v>
      </x:c>
      <x:c r="B19" s="29" t="n">
        <x:v>1.5</x:v>
      </x:c>
      <x:c r="C19" s="29" t="str">
        <x:v>kWh/m³</x:v>
      </x:c>
      <x:c r="D19" s="29" t="str">
        <x:v>Plant power and module count</x:v>
      </x:c>
      <x:c r="E19" s="29" t="str">
        <x:v>Power system under/oversized</x:v>
      </x:c>
      <x:c r="F19" s="29" t="str">
        <x:v>Feed-matrix pilot tests</x:v>
      </x:c>
      <x:c r="G19" s="29" t="str">
        <x:v>Open</x:v>
      </x:c>
    </x:row>
    <x:row r="20">
      <x:c r="A20" s="29" t="str">
        <x:v>Treatment train mass</x:v>
      </x:c>
      <x:c r="B20" s="29" t="n">
        <x:v>350</x:v>
      </x:c>
      <x:c r="C20" s="29" t="str">
        <x:v>t/train</x:v>
      </x:c>
      <x:c r="D20" s="29" t="str">
        <x:v>Lift and handling</x:v>
      </x:c>
      <x:c r="E20" s="29" t="str">
        <x:v>Reception plan invalid</x:v>
      </x:c>
      <x:c r="F20" s="29" t="str">
        <x:v>Vendor design and weigh test</x:v>
      </x:c>
      <x:c r="G20" s="29" t="str">
        <x:v>Open</x:v>
      </x:c>
    </x:row>
    <x:row r="21">
      <x:c r="A21" s="29" t="str">
        <x:v>Surface installation rate</x:v>
      </x:c>
      <x:c r="B21" s="29" t="n">
        <x:v>0.6</x:v>
      </x:c>
      <x:c r="C21" s="29" t="str">
        <x:v>route-km/front-day</x:v>
      </x:c>
      <x:c r="D21" s="29" t="str">
        <x:v>Time to regional service</x:v>
      </x:c>
      <x:c r="E21" s="29" t="str">
        <x:v>Service promise missed</x:v>
      </x:c>
      <x:c r="F21" s="29" t="str">
        <x:v>Instrumented multi-front trial</x:v>
      </x:c>
      <x:c r="G21" s="29" t="str">
        <x:v>Test required</x:v>
      </x:c>
    </x:row>
    <x:row r="22">
      <x:c r="A22" s="29" t="str">
        <x:v>Temporary wastewater train</x:v>
      </x:c>
      <x:c r="B22" s="29" t="n">
        <x:v>2500</x:v>
      </x:c>
      <x:c r="C22" s="29" t="str">
        <x:v>m³/day</x:v>
      </x:c>
      <x:c r="D22" s="29" t="str">
        <x:v>W-5 fleet size</x:v>
      </x:c>
      <x:c r="E22" s="29" t="str">
        <x:v>Sanitation bottleneck</x:v>
      </x:c>
      <x:c r="F22" s="29" t="str">
        <x:v>Influent-case treatment trials</x:v>
      </x:c>
      <x:c r="G22" s="29" t="str">
        <x:v>Open</x:v>
      </x:c>
    </x:row>
    <x:row r="23">
      <x:c r="A23" s="29" t="str">
        <x:v>Distribution channel shares</x:v>
      </x:c>
      <x:c r="B23" s="29" t="n">
        <x:v>1</x:v>
      </x:c>
      <x:c r="C23" s="29" t="str">
        <x:v>total fraction</x:v>
      </x:c>
      <x:c r="D23" s="29" t="str">
        <x:v>Point-of-use architecture</x:v>
      </x:c>
      <x:c r="E23" s="29" t="str">
        <x:v>Water inaccessible or overbuilt</x:v>
      </x:c>
      <x:c r="F23" s="29" t="str">
        <x:v>Scenario exercises and community access studies</x:v>
      </x:c>
      <x:c r="G23" s="29" t="str">
        <x:v>Open</x:v>
      </x:c>
    </x:row>
    <x:row r="24">
      <x:c r="A24" s="29" t="str">
        <x:v>WRG-50 deployed workforce</x:v>
      </x:c>
      <x:c r="B24" s="29" t="str">
        <x:v>formula</x:v>
      </x:c>
      <x:c r="C24" s="29" t="str">
        <x:v>people</x:v>
      </x:c>
      <x:c r="D24" s="29" t="str">
        <x:v>Force size and rotations</x:v>
      </x:c>
      <x:c r="E24" s="29" t="str">
        <x:v>Unstaffed shifts or excess burden</x:v>
      </x:c>
      <x:c r="F24" s="29" t="str">
        <x:v>Occupation-level field exercise</x:v>
      </x:c>
      <x:c r="G24" s="29" t="str">
        <x:v>Bounded</x:v>
      </x:c>
    </x:row>
    <x:row r="25">
      <x:c r="A25" s="29" t="str">
        <x:v>Lift throughput</x:v>
      </x:c>
      <x:c r="B25" s="29" t="str">
        <x:v>200–5,000</x:v>
      </x:c>
      <x:c r="C25" s="29" t="str">
        <x:v>t/day by mode</x:v>
      </x:c>
      <x:c r="D25" s="29" t="str">
        <x:v>Arrival sequence</x:v>
      </x:c>
      <x:c r="E25" s="29" t="str">
        <x:v>False deployment timeline</x:v>
      </x:c>
      <x:c r="F25" s="29" t="str">
        <x:v>Origin-destination and reception model</x:v>
      </x:c>
      <x:c r="G25" s="29" t="str">
        <x:v>Open</x:v>
      </x:c>
    </x:row>
  </x:sheetData>
  <x:pageMargins left="0.7" right="0.7" top="0.75" bottom="0.75" header="0.3" footer="0.3"/>
</x:worksheet>
</file>