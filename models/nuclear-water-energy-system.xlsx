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363c4629e48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d55e54a9b4ae4dd9"/>
    <x:sheet xmlns:r="http://schemas.openxmlformats.org/officeDocument/2006/relationships" name="Controls" sheetId="2" r:id="R2193120182d54b80"/>
    <x:sheet xmlns:r="http://schemas.openxmlformats.org/officeDocument/2006/relationships" name="Architectures" sheetId="3" r:id="R778443005351488b"/>
    <x:sheet xmlns:r="http://schemas.openxmlformats.org/officeDocument/2006/relationships" name="Mission Threads" sheetId="4" r:id="Rd9dbd6cda05a4f90"/>
    <x:sheet xmlns:r="http://schemas.openxmlformats.org/officeDocument/2006/relationships" name="Energy Balance" sheetId="5" r:id="R1a30d1fe053546b5"/>
    <x:sheet xmlns:r="http://schemas.openxmlformats.org/officeDocument/2006/relationships" name="Thermal Balance" sheetId="6" r:id="Rd3ed434ffa594b71"/>
    <x:sheet xmlns:r="http://schemas.openxmlformats.org/officeDocument/2006/relationships" name="Water Balance" sheetId="7" r:id="Ra8f82e2684e74e81"/>
    <x:sheet xmlns:r="http://schemas.openxmlformats.org/officeDocument/2006/relationships" name="Pipeline" sheetId="8" r:id="R33dab224fcdb491c"/>
    <x:sheet xmlns:r="http://schemas.openxmlformats.org/officeDocument/2006/relationships" name="Shore Power" sheetId="9" r:id="R7403bb01c2bd43c5"/>
    <x:sheet xmlns:r="http://schemas.openxmlformats.org/officeDocument/2006/relationships" name="Deployment" sheetId="10" r:id="Rca596aa2ac44491a"/>
    <x:sheet xmlns:r="http://schemas.openxmlformats.org/officeDocument/2006/relationships" name="Fleet Availability" sheetId="11" r:id="Rd993d68aa5aa45fb"/>
    <x:sheet xmlns:r="http://schemas.openxmlformats.org/officeDocument/2006/relationships" name="Workforce" sheetId="12" r:id="Ra6e740b21696401d"/>
    <x:sheet xmlns:r="http://schemas.openxmlformats.org/officeDocument/2006/relationships" name="Program Cost" sheetId="13" r:id="R7882a9da0b48425e"/>
    <x:sheet xmlns:r="http://schemas.openxmlformats.org/officeDocument/2006/relationships" name="Annual Funding" sheetId="14" r:id="R88c27c88204241d0"/>
    <x:sheet xmlns:r="http://schemas.openxmlformats.org/officeDocument/2006/relationships" name="Failure Modes" sheetId="15" r:id="R6518d87be8a94c5c"/>
    <x:sheet xmlns:r="http://schemas.openxmlformats.org/officeDocument/2006/relationships" name="Evidence Gates" sheetId="16" r:id="R3b382a4d320f4efd"/>
    <x:sheet xmlns:r="http://schemas.openxmlformats.org/officeDocument/2006/relationships" name="Sources" sheetId="17" r:id="R4f4c12acbd99458e"/>
    <x:sheet xmlns:r="http://schemas.openxmlformats.org/officeDocument/2006/relationships" name="Checks" sheetId="18" r:id="R8ed69d18cc0c44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"/>
    <x:numFmt numFmtId="202" formatCode="0.00%"/>
    <x:numFmt numFmtId="203" formatCode="#,##0"/>
    <x:numFmt numFmtId="204" formatCode="0%"/>
  </x:numFmts>
  <x:fonts count="6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1F2937"/>
      <x:name val="Aptos"/>
    </x:font>
    <x:font>
      <x:b/>
      <x:sz val="10"/>
      <x:color rgb="FFFFFFFF"/>
      <x:name val="Aptos"/>
    </x:font>
    <x:font>
      <x:b/>
      <x:sz val="10"/>
      <x:color rgb="FF1F2937"/>
      <x:name val="Aptos"/>
    </x:font>
    <x:font>
      <x:sz val="10"/>
      <x:color rgb="FF1F29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BF7"/>
      </x:patternFill>
    </x:fill>
    <x:fill>
      <x:patternFill patternType="solid">
        <x:fgColor rgb="FF0E7490"/>
      </x:patternFill>
    </x:fill>
    <x:fill>
      <x:patternFill patternType="solid">
        <x:fgColor rgb="FFFFF2CC"/>
      </x:patternFill>
    </x:fill>
    <x:fill>
      <x:patternFill patternType="solid">
        <x:fgColor rgb="FFDCE6F1"/>
      </x:patternFill>
    </x:fill>
    <x:fill>
      <x:patternFill patternType="solid">
        <x:fgColor rgb="FFDCE6F1"/>
      </x:patternFill>
    </x:fill>
  </x:fills>
  <x:borders count="3">
    <x:border/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200" fontId="0" fillId="5" borderId="2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201" fontId="0" fillId="6" borderId="2" xfId="0" applyNumberFormat="1" applyFont="1" applyFill="1" applyBorder="1" applyAlignment="1">
      <x:alignment vertical="top" wrapText="1"/>
    </x:xf>
    <x:xf numFmtId="200" fontId="0" fillId="6" borderId="2" xfId="0" applyNumberFormat="1" applyFont="1" applyFill="1" applyBorder="1" applyAlignment="1">
      <x:alignment vertical="top" wrapText="1"/>
    </x:xf>
    <x:xf numFmtId="202" fontId="0" fillId="6" borderId="2" xfId="0" applyNumberFormat="1" applyFont="1" applyFill="1" applyBorder="1" applyAlignment="1">
      <x:alignment vertical="top" wrapText="1"/>
    </x:xf>
    <x:xf numFmtId="203" fontId="0" fillId="6" borderId="2" xfId="0" applyNumberFormat="1" applyFont="1" applyFill="1" applyBorder="1" applyAlignment="1">
      <x:alignment vertical="top" wrapText="1"/>
    </x:xf>
    <x:xf numFmtId="204" fontId="0" fillId="0" borderId="2" xfId="0" applyNumberFormat="1" applyFont="1" applyFill="1" applyBorder="1" applyAlignment="1">
      <x:alignment vertical="top" wrapText="1"/>
    </x:xf>
    <x:xf numFmtId="201" fontId="0" fillId="5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4" fillId="4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200" fontId="5" fillId="5" borderId="2" xfId="0" applyNumberFormat="1" applyFont="1" applyFill="1" applyBorder="1" applyAlignment="1">
      <x:alignment vertical="top" wrapText="1"/>
    </x:xf>
    <x:xf numFmtId="201" fontId="5" fillId="6" borderId="2" xfId="0" applyNumberFormat="1" applyFont="1" applyFill="1" applyBorder="1" applyAlignment="1">
      <x:alignment vertical="top" wrapText="1"/>
    </x:xf>
    <x:xf numFmtId="200" fontId="5" fillId="6" borderId="2" xfId="0" applyNumberFormat="1" applyFont="1" applyFill="1" applyBorder="1" applyAlignment="1">
      <x:alignment vertical="top" wrapText="1"/>
    </x:xf>
    <x:xf numFmtId="202" fontId="5" fillId="6" borderId="2" xfId="0" applyNumberFormat="1" applyFont="1" applyFill="1" applyBorder="1" applyAlignment="1">
      <x:alignment vertical="top" wrapText="1"/>
    </x:xf>
    <x:xf numFmtId="204" fontId="5" fillId="0" borderId="2" xfId="0" applyNumberFormat="1" applyFont="1" applyFill="1" applyBorder="1" applyAlignment="1">
      <x:alignment vertical="top" wrapText="1"/>
    </x:xf>
    <x:xf numFmtId="203" fontId="5" fillId="6" borderId="2" xfId="0" applyNumberFormat="1" applyFont="1" applyFill="1" applyBorder="1" applyAlignment="1">
      <x:alignment vertical="top" wrapText="1"/>
    </x:xf>
    <x:xf numFmtId="201" fontId="5" fillId="5" borderId="2" xfId="0" applyNumberFormat="1" applyFont="1" applyFill="1" applyBorder="1" applyAlignment="1">
      <x:alignment vertical="top" wrapText="1"/>
    </x:xf>
    <x:xf numFmtId="201" fontId="5" fillId="0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201" fontId="5" fillId="7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909fe29efe40a2" /><Relationship Type="http://schemas.openxmlformats.org/officeDocument/2006/relationships/theme" Target="/xl/theme/theme1.xml" Id="Ra89e4d8320fb423e" /><Relationship Type="http://schemas.openxmlformats.org/officeDocument/2006/relationships/sharedStrings" Target="/xl/sharedStrings.xml" Id="Rc0464bfbe3d94917" /><Relationship Type="http://schemas.openxmlformats.org/officeDocument/2006/relationships/worksheet" Target="/xl/worksheets/sheet1.xml" Id="Rd55e54a9b4ae4dd9" /><Relationship Type="http://schemas.openxmlformats.org/officeDocument/2006/relationships/worksheet" Target="/xl/worksheets/sheet2.xml" Id="R2193120182d54b80" /><Relationship Type="http://schemas.openxmlformats.org/officeDocument/2006/relationships/worksheet" Target="/xl/worksheets/sheet3.xml" Id="R778443005351488b" /><Relationship Type="http://schemas.openxmlformats.org/officeDocument/2006/relationships/worksheet" Target="/xl/worksheets/sheet4.xml" Id="Rd9dbd6cda05a4f90" /><Relationship Type="http://schemas.openxmlformats.org/officeDocument/2006/relationships/worksheet" Target="/xl/worksheets/sheet5.xml" Id="R1a30d1fe053546b5" /><Relationship Type="http://schemas.openxmlformats.org/officeDocument/2006/relationships/worksheet" Target="/xl/worksheets/sheet6.xml" Id="Rd3ed434ffa594b71" /><Relationship Type="http://schemas.openxmlformats.org/officeDocument/2006/relationships/worksheet" Target="/xl/worksheets/sheet7.xml" Id="Ra8f82e2684e74e81" /><Relationship Type="http://schemas.openxmlformats.org/officeDocument/2006/relationships/worksheet" Target="/xl/worksheets/sheet8.xml" Id="R33dab224fcdb491c" /><Relationship Type="http://schemas.openxmlformats.org/officeDocument/2006/relationships/worksheet" Target="/xl/worksheets/sheet9.xml" Id="R7403bb01c2bd43c5" /><Relationship Type="http://schemas.openxmlformats.org/officeDocument/2006/relationships/worksheet" Target="/xl/worksheets/sheet10.xml" Id="Rca596aa2ac44491a" /><Relationship Type="http://schemas.openxmlformats.org/officeDocument/2006/relationships/worksheet" Target="/xl/worksheets/sheet11.xml" Id="Rd993d68aa5aa45fb" /><Relationship Type="http://schemas.openxmlformats.org/officeDocument/2006/relationships/worksheet" Target="/xl/worksheets/sheet12.xml" Id="Ra6e740b21696401d" /><Relationship Type="http://schemas.openxmlformats.org/officeDocument/2006/relationships/worksheet" Target="/xl/worksheets/sheet13.xml" Id="R7882a9da0b48425e" /><Relationship Type="http://schemas.openxmlformats.org/officeDocument/2006/relationships/worksheet" Target="/xl/worksheets/sheet14.xml" Id="R88c27c88204241d0" /><Relationship Type="http://schemas.openxmlformats.org/officeDocument/2006/relationships/worksheet" Target="/xl/worksheets/sheet15.xml" Id="R6518d87be8a94c5c" /><Relationship Type="http://schemas.openxmlformats.org/officeDocument/2006/relationships/worksheet" Target="/xl/worksheets/sheet16.xml" Id="R3b382a4d320f4efd" /><Relationship Type="http://schemas.openxmlformats.org/officeDocument/2006/relationships/worksheet" Target="/xl/worksheets/sheet17.xml" Id="R4f4c12acbd99458e" /><Relationship Type="http://schemas.openxmlformats.org/officeDocument/2006/relationships/worksheet" Target="/xl/worksheets/sheet18.xml" Id="R8ed69d18cc0c44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98" hidden="0" customWidth="1"/>
  </x:cols>
  <x:sheetData>
    <x:row r="1" ht="30" customHeight="1">
      <x:c r="A1" s="2" t="str">
        <x:v>Nuclear Water–Energy System</x:v>
      </x:c>
      <x:c r="B1" s="26"/>
    </x:row>
    <x:row r="2" ht="34" customHeight="1">
      <x:c r="A2" s="5" t="str">
        <x:v>Segmented strategic utility flotilla | configuration study | real 2026 USD</x:v>
      </x:c>
      <x:c r="B2" s="26"/>
    </x:row>
    <x:row r="3">
      <x:c r="A3" s="26"/>
      <x:c r="B3" s="26"/>
    </x:row>
    <x:row r="4">
      <x:c r="A4" s="27" t="str">
        <x:v>Decision</x:v>
      </x:c>
      <x:c r="B4" s="27" t="str">
        <x:v>Current finding</x:v>
      </x:c>
    </x:row>
    <x:row r="5">
      <x:c r="A5" s="28" t="str">
        <x:v>Architecture</x:v>
      </x:c>
      <x:c r="B5" s="28" t="str">
        <x:v>Protected nuclear energy core at prepared nodes; replaceable process, shore-interface and corridor modules move toward demand.</x:v>
      </x:c>
    </x:row>
    <x:row r="6">
      <x:c r="A6" s="28" t="str">
        <x:v>Reference effect</x:v>
      </x:c>
      <x:c r="B6" s="28" t="str">
        <x:v>100 MW shore export plus 100,000 m³/day potable-water production.</x:v>
      </x:c>
    </x:row>
    <x:row r="7">
      <x:c r="A7" s="28" t="str">
        <x:v>Reference core</x:v>
      </x:c>
      <x:c r="B7" s="28" t="str">
        <x:v>300 MWe gross; reactor technology, hull, mooring and licensing remain open.</x:v>
      </x:c>
    </x:row>
    <x:row r="8">
      <x:c r="A8" s="28" t="str">
        <x:v>Fleet</x:v>
      </x:c>
      <x:c r="B8" s="28" t="str">
        <x:v>Eight cores; independent availability screen for at least three simultaneously available.</x:v>
      </x:c>
    </x:row>
    <x:row r="9">
      <x:c r="A9" s="28" t="str">
        <x:v>Capital frame</x:v>
      </x:c>
      <x:c r="B9" s="28" t="str">
        <x:v>$400B / 25 years; design-study allocation, not an estimate.</x:v>
      </x:c>
    </x:row>
    <x:row r="10">
      <x:c r="A10" s="28" t="str">
        <x:v>Maturity</x:v>
      </x:c>
      <x:c r="B10" s="28" t="str">
        <x:v>R2+ system architecture; representative evidence remains open.</x:v>
      </x:c>
    </x:row>
    <x:row r="11">
      <x:c r="A11" s="28" t="str">
        <x:v>Rendering</x:v>
      </x:c>
      <x:c r="B11" s="28" t="str">
        <x:v>BLOCKED pending R3 physics closure.</x:v>
      </x:c>
    </x:row>
    <x:row r="12">
      <x:c r="A12" s="28" t="str">
        <x:v>Use</x:v>
      </x:c>
      <x:c r="B12" s="28" t="str">
        <x:v>Change yellow Controls cells; inspect linked balances, failures, gates and checks.</x:v>
      </x:c>
    </x:row>
    <x:row r="13">
      <x:c r="A13" s="28" t="str">
        <x:v>Interpretation</x:v>
      </x:c>
      <x:c r="B13" s="28" t="str">
        <x:v>Formula PASS means arithmetic consistency, not physical certification.</x:v>
      </x:c>
    </x:row>
    <x:row r="14">
      <x:c r="A14" s="28" t="str">
        <x:v>Budget boundary</x:v>
      </x:c>
      <x:c r="B14" s="28" t="str">
        <x:v>Capital excludes recurring operations and is not automatically additive to other cases.</x:v>
      </x:c>
    </x:row>
    <x:row r="15">
      <x:c r="A15" s="28" t="str">
        <x:v>Companion paper</x:v>
      </x:c>
      <x:c r="B15" s="28" t="str">
        <x:v>research/capabilities/water/nuclear-water-energy-system.md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30" hidden="0" customWidth="1"/>
    <x:col min="3" max="3" width="15" hidden="0" customWidth="1"/>
    <x:col min="4" max="4" width="22" hidden="0" customWidth="1"/>
    <x:col min="5" max="5" width="34" hidden="0" customWidth="1"/>
    <x:col min="6" max="6" width="26" hidden="0" customWidth="1"/>
  </x:cols>
  <x:sheetData>
    <x:row r="1" ht="30" customHeight="1">
      <x:c r="A1" s="2" t="str">
        <x:v>Controls</x:v>
      </x:c>
      <x:c r="B1" s="26"/>
      <x:c r="C1" s="26"/>
      <x:c r="D1" s="26"/>
      <x:c r="E1" s="26"/>
      <x:c r="F1" s="26"/>
    </x:row>
    <x:row r="2" ht="34" customHeight="1">
      <x:c r="A2" s="5" t="str">
        <x:v>Yellow values are editable design-study assumptions or selections.</x:v>
      </x:c>
      <x:c r="B2" s="26"/>
      <x:c r="C2" s="26"/>
      <x:c r="D2" s="26"/>
      <x:c r="E2" s="26"/>
      <x:c r="F2" s="26"/>
    </x:row>
    <x:row r="3">
      <x:c r="A3" s="26"/>
      <x:c r="B3" s="26"/>
      <x:c r="C3" s="26"/>
      <x:c r="D3" s="26"/>
      <x:c r="E3" s="26"/>
      <x:c r="F3" s="26"/>
    </x:row>
    <x:row r="4">
      <x:c r="A4" s="27" t="str">
        <x:v>Parameter</x:v>
      </x:c>
      <x:c r="B4" s="27" t="str">
        <x:v>Value</x:v>
      </x:c>
      <x:c r="C4" s="27" t="str">
        <x:v>Unit</x:v>
      </x:c>
      <x:c r="D4" s="27" t="str">
        <x:v>Class</x:v>
      </x:c>
      <x:c r="E4" s="27" t="str">
        <x:v>Purpose</x:v>
      </x:c>
      <x:c r="F4" s="27" t="str">
        <x:v>Evidence state</x:v>
      </x:c>
    </x:row>
    <x:row r="5">
      <x:c r="A5" s="28" t="str">
        <x:v>Selected architecture</x:v>
      </x:c>
      <x:c r="B5" s="29" t="str">
        <x:v>Segmented nuclear utility flotilla</x:v>
      </x:c>
      <x:c r="C5" s="28" t="str">
        <x:v>text</x:v>
      </x:c>
      <x:c r="D5" s="28" t="str">
        <x:v>Design choice</x:v>
      </x:c>
      <x:c r="E5" s="28" t="str">
        <x:v>Reference architecture</x:v>
      </x:c>
      <x:c r="F5" s="28" t="str">
        <x:v>Open comparison</x:v>
      </x:c>
    </x:row>
    <x:row r="6">
      <x:c r="A6" s="28" t="str">
        <x:v>Product water</x:v>
      </x:c>
      <x:c r="B6" s="29" t="n">
        <x:v>100000</x:v>
      </x:c>
      <x:c r="C6" s="28" t="str">
        <x:v>m³/day</x:v>
      </x:c>
      <x:c r="D6" s="28" t="str">
        <x:v>Mission target</x:v>
      </x:c>
      <x:c r="E6" s="28" t="str">
        <x:v>Quality-released production</x:v>
      </x:c>
      <x:c r="F6" s="28" t="str">
        <x:v>IAEA-bounded / site open</x:v>
      </x:c>
    </x:row>
    <x:row r="7">
      <x:c r="A7" s="28" t="str">
        <x:v>Gross electric output</x:v>
      </x:c>
      <x:c r="B7" s="29" t="n">
        <x:v>300</x:v>
      </x:c>
      <x:c r="C7" s="28" t="str">
        <x:v>MW</x:v>
      </x:c>
      <x:c r="D7" s="28" t="str">
        <x:v>Design assumption</x:v>
      </x:c>
      <x:c r="E7" s="28" t="str">
        <x:v>Energy-core reference</x:v>
      </x:c>
      <x:c r="F7" s="28" t="str">
        <x:v>Reactor open</x:v>
      </x:c>
    </x:row>
    <x:row r="8">
      <x:c r="A8" s="28" t="str">
        <x:v>Station service</x:v>
      </x:c>
      <x:c r="B8" s="30" t="n">
        <x:v>0.08</x:v>
      </x:c>
      <x:c r="C8" s="28" t="str">
        <x:v>fraction</x:v>
      </x:c>
      <x:c r="D8" s="28" t="str">
        <x:v>Design assumption</x:v>
      </x:c>
      <x:c r="E8" s="28" t="str">
        <x:v>Internal plant load</x:v>
      </x:c>
      <x:c r="F8" s="28" t="str">
        <x:v>Open</x:v>
      </x:c>
    </x:row>
    <x:row r="9">
      <x:c r="A9" s="28" t="str">
        <x:v>Operating derate</x:v>
      </x:c>
      <x:c r="B9" s="30" t="n">
        <x:v>0.1</x:v>
      </x:c>
      <x:c r="C9" s="28" t="str">
        <x:v>fraction</x:v>
      </x:c>
      <x:c r="D9" s="28" t="str">
        <x:v>Design assumption</x:v>
      </x:c>
      <x:c r="E9" s="28" t="str">
        <x:v>Sustained output</x:v>
      </x:c>
      <x:c r="F9" s="28" t="str">
        <x:v>Open</x:v>
      </x:c>
    </x:row>
    <x:row r="10">
      <x:c r="A10" s="28" t="str">
        <x:v>Authorized shore export</x:v>
      </x:c>
      <x:c r="B10" s="29" t="n">
        <x:v>100</x:v>
      </x:c>
      <x:c r="C10" s="28" t="str">
        <x:v>MW</x:v>
      </x:c>
      <x:c r="D10" s="28" t="str">
        <x:v>Mission target</x:v>
      </x:c>
      <x:c r="E10" s="28" t="str">
        <x:v>Critical-load service</x:v>
      </x:c>
      <x:c r="F10" s="28" t="str">
        <x:v>Site/load open</x:v>
      </x:c>
    </x:row>
    <x:row r="11">
      <x:c r="A11" s="28" t="str">
        <x:v>RO specific energy</x:v>
      </x:c>
      <x:c r="B11" s="29" t="n">
        <x:v>3.5</x:v>
      </x:c>
      <x:c r="C11" s="28" t="str">
        <x:v>kWh/m³</x:v>
      </x:c>
      <x:c r="D11" s="28" t="str">
        <x:v>Engineering assumption</x:v>
      </x:c>
      <x:c r="E11" s="28" t="str">
        <x:v>Membrane process</x:v>
      </x:c>
      <x:c r="F11" s="28" t="str">
        <x:v>DOE-bounded</x:v>
      </x:c>
    </x:row>
    <x:row r="12">
      <x:c r="A12" s="28" t="str">
        <x:v>Water auxiliaries</x:v>
      </x:c>
      <x:c r="B12" s="29" t="n">
        <x:v>0.8</x:v>
      </x:c>
      <x:c r="C12" s="28" t="str">
        <x:v>kWh/m³</x:v>
      </x:c>
      <x:c r="D12" s="28" t="str">
        <x:v>Engineering assumption</x:v>
      </x:c>
      <x:c r="E12" s="28" t="str">
        <x:v>Intake and treatment</x:v>
      </x:c>
      <x:c r="F12" s="28" t="str">
        <x:v>Open</x:v>
      </x:c>
    </x:row>
    <x:row r="13">
      <x:c r="A13" s="28" t="str">
        <x:v>Hotel/security/mission load</x:v>
      </x:c>
      <x:c r="B13" s="29" t="n">
        <x:v>15</x:v>
      </x:c>
      <x:c r="C13" s="28" t="str">
        <x:v>MW</x:v>
      </x:c>
      <x:c r="D13" s="28" t="str">
        <x:v>Design assumption</x:v>
      </x:c>
      <x:c r="E13" s="28" t="str">
        <x:v>Internal load</x:v>
      </x:c>
      <x:c r="F13" s="28" t="str">
        <x:v>Open</x:v>
      </x:c>
    </x:row>
    <x:row r="14">
      <x:c r="A14" s="28" t="str">
        <x:v>Served-load reserve</x:v>
      </x:c>
      <x:c r="B14" s="30" t="n">
        <x:v>0.15</x:v>
      </x:c>
      <x:c r="C14" s="28" t="str">
        <x:v>fraction</x:v>
      </x:c>
      <x:c r="D14" s="28" t="str">
        <x:v>Design assumption</x:v>
      </x:c>
      <x:c r="E14" s="28" t="str">
        <x:v>Operating margin</x:v>
      </x:c>
      <x:c r="F14" s="28" t="str">
        <x:v>Open</x:v>
      </x:c>
    </x:row>
    <x:row r="15">
      <x:c r="A15" s="28" t="str">
        <x:v>Gross thermal efficiency</x:v>
      </x:c>
      <x:c r="B15" s="30" t="n">
        <x:v>0.33</x:v>
      </x:c>
      <x:c r="C15" s="28" t="str">
        <x:v>fraction</x:v>
      </x:c>
      <x:c r="D15" s="28" t="str">
        <x:v>Engineering assumption</x:v>
      </x:c>
      <x:c r="E15" s="28" t="str">
        <x:v>Heat balance</x:v>
      </x:c>
      <x:c r="F15" s="28" t="str">
        <x:v>Reactor open</x:v>
      </x:c>
    </x:row>
    <x:row r="16">
      <x:c r="A16" s="28" t="str">
        <x:v>Cooling-water temperature rise</x:v>
      </x:c>
      <x:c r="B16" s="30" t="n">
        <x:v>7</x:v>
      </x:c>
      <x:c r="C16" s="28" t="str">
        <x:v>°C</x:v>
      </x:c>
      <x:c r="D16" s="28" t="str">
        <x:v>Engineering assumption</x:v>
      </x:c>
      <x:c r="E16" s="28" t="str">
        <x:v>Once-through screen</x:v>
      </x:c>
      <x:c r="F16" s="28" t="str">
        <x:v>Site open</x:v>
      </x:c>
    </x:row>
    <x:row r="17">
      <x:c r="A17" s="28" t="str">
        <x:v>Seawater RO recovery</x:v>
      </x:c>
      <x:c r="B17" s="30" t="n">
        <x:v>0.45</x:v>
      </x:c>
      <x:c r="C17" s="28" t="str">
        <x:v>fraction</x:v>
      </x:c>
      <x:c r="D17" s="28" t="str">
        <x:v>Engineering assumption</x:v>
      </x:c>
      <x:c r="E17" s="28" t="str">
        <x:v>Mass balance</x:v>
      </x:c>
      <x:c r="F17" s="28" t="str">
        <x:v>Feed open</x:v>
      </x:c>
    </x:row>
    <x:row r="18">
      <x:c r="A18" s="28" t="str">
        <x:v>Pipeline route length</x:v>
      </x:c>
      <x:c r="B18" s="29" t="n">
        <x:v>30</x:v>
      </x:c>
      <x:c r="C18" s="28" t="str">
        <x:v>km</x:v>
      </x:c>
      <x:c r="D18" s="28" t="str">
        <x:v>Mission assumption</x:v>
      </x:c>
      <x:c r="E18" s="28" t="str">
        <x:v>Shore-to-demand</x:v>
      </x:c>
      <x:c r="F18" s="28" t="str">
        <x:v>Route open</x:v>
      </x:c>
    </x:row>
    <x:row r="19">
      <x:c r="A19" s="28" t="str">
        <x:v>Pipeline design velocity</x:v>
      </x:c>
      <x:c r="B19" s="29" t="n">
        <x:v>2</x:v>
      </x:c>
      <x:c r="C19" s="28" t="str">
        <x:v>m/s</x:v>
      </x:c>
      <x:c r="D19" s="28" t="str">
        <x:v>Engineering assumption</x:v>
      </x:c>
      <x:c r="E19" s="28" t="str">
        <x:v>Diameter screen</x:v>
      </x:c>
      <x:c r="F19" s="28" t="str">
        <x:v>Transient open</x:v>
      </x:c>
    </x:row>
    <x:row r="20">
      <x:c r="A20" s="28" t="str">
        <x:v>Pipe outside diameter</x:v>
      </x:c>
      <x:c r="B20" s="29" t="n">
        <x:v>1</x:v>
      </x:c>
      <x:c r="C20" s="28" t="str">
        <x:v>m</x:v>
      </x:c>
      <x:c r="D20" s="28" t="str">
        <x:v>Engineering assumption</x:v>
      </x:c>
      <x:c r="E20" s="28" t="str">
        <x:v>Material geometry</x:v>
      </x:c>
      <x:c r="F20" s="28" t="str">
        <x:v>Product open</x:v>
      </x:c>
    </x:row>
    <x:row r="21">
      <x:c r="A21" s="28" t="str">
        <x:v>Pipe dimension ratio</x:v>
      </x:c>
      <x:c r="B21" s="29" t="n">
        <x:v>17</x:v>
      </x:c>
      <x:c r="C21" s="28" t="str">
        <x:v>ratio</x:v>
      </x:c>
      <x:c r="D21" s="28" t="str">
        <x:v>Engineering assumption</x:v>
      </x:c>
      <x:c r="E21" s="28" t="str">
        <x:v>Wall geometry</x:v>
      </x:c>
      <x:c r="F21" s="28" t="str">
        <x:v>Application open</x:v>
      </x:c>
    </x:row>
    <x:row r="22">
      <x:c r="A22" s="28" t="str">
        <x:v>Pipe density</x:v>
      </x:c>
      <x:c r="B22" s="29" t="n">
        <x:v>950</x:v>
      </x:c>
      <x:c r="C22" s="28" t="str">
        <x:v>kg/m³</x:v>
      </x:c>
      <x:c r="D22" s="28" t="str">
        <x:v>Engineering assumption</x:v>
      </x:c>
      <x:c r="E22" s="28" t="str">
        <x:v>Mass screen</x:v>
      </x:c>
      <x:c r="F22" s="28" t="str">
        <x:v>Material open</x:v>
      </x:c>
    </x:row>
    <x:row r="23">
      <x:c r="A23" s="28" t="str">
        <x:v>Darcy friction factor</x:v>
      </x:c>
      <x:c r="B23" s="29" t="n">
        <x:v>0.015</x:v>
      </x:c>
      <x:c r="C23" s="28" t="str">
        <x:v>ratio</x:v>
      </x:c>
      <x:c r="D23" s="28" t="str">
        <x:v>Engineering assumption</x:v>
      </x:c>
      <x:c r="E23" s="28" t="str">
        <x:v>Steady friction</x:v>
      </x:c>
      <x:c r="F23" s="28" t="str">
        <x:v>Route open</x:v>
      </x:c>
    </x:row>
    <x:row r="24">
      <x:c r="A24" s="28" t="str">
        <x:v>Static head</x:v>
      </x:c>
      <x:c r="B24" s="29" t="n">
        <x:v>50</x:v>
      </x:c>
      <x:c r="C24" s="28" t="str">
        <x:v>m</x:v>
      </x:c>
      <x:c r="D24" s="28" t="str">
        <x:v>Mission assumption</x:v>
      </x:c>
      <x:c r="E24" s="28" t="str">
        <x:v>Elevation</x:v>
      </x:c>
      <x:c r="F24" s="28" t="str">
        <x:v>Route open</x:v>
      </x:c>
    </x:row>
    <x:row r="25">
      <x:c r="A25" s="28" t="str">
        <x:v>Pump efficiency</x:v>
      </x:c>
      <x:c r="B25" s="30" t="n">
        <x:v>0.75</x:v>
      </x:c>
      <x:c r="C25" s="28" t="str">
        <x:v>fraction</x:v>
      </x:c>
      <x:c r="D25" s="28" t="str">
        <x:v>Engineering assumption</x:v>
      </x:c>
      <x:c r="E25" s="28" t="str">
        <x:v>Hydraulic input</x:v>
      </x:c>
      <x:c r="F25" s="28" t="str">
        <x:v>Equipment open</x:v>
      </x:c>
    </x:row>
    <x:row r="26">
      <x:c r="A26" s="28" t="str">
        <x:v>Pump installed reserve</x:v>
      </x:c>
      <x:c r="B26" s="30" t="n">
        <x:v>0.25</x:v>
      </x:c>
      <x:c r="C26" s="28" t="str">
        <x:v>fraction</x:v>
      </x:c>
      <x:c r="D26" s="28" t="str">
        <x:v>Design assumption</x:v>
      </x:c>
      <x:c r="E26" s="28" t="str">
        <x:v>Unit margin</x:v>
      </x:c>
      <x:c r="F26" s="28" t="str">
        <x:v>Open</x:v>
      </x:c>
    </x:row>
    <x:row r="27">
      <x:c r="A27" s="28" t="str">
        <x:v>Low export voltage</x:v>
      </x:c>
      <x:c r="B27" s="29" t="n">
        <x:v>34.5</x:v>
      </x:c>
      <x:c r="C27" s="28" t="str">
        <x:v>kV</x:v>
      </x:c>
      <x:c r="D27" s="28" t="str">
        <x:v>Exploration</x:v>
      </x:c>
      <x:c r="E27" s="28" t="str">
        <x:v>Current screen</x:v>
      </x:c>
      <x:c r="F27" s="28" t="str">
        <x:v>One-line open</x:v>
      </x:c>
    </x:row>
    <x:row r="28">
      <x:c r="A28" s="28" t="str">
        <x:v>High export voltage</x:v>
      </x:c>
      <x:c r="B28" s="29" t="n">
        <x:v>115</x:v>
      </x:c>
      <x:c r="C28" s="28" t="str">
        <x:v>kV</x:v>
      </x:c>
      <x:c r="D28" s="28" t="str">
        <x:v>Exploration</x:v>
      </x:c>
      <x:c r="E28" s="28" t="str">
        <x:v>Current screen</x:v>
      </x:c>
      <x:c r="F28" s="28" t="str">
        <x:v>One-line open</x:v>
      </x:c>
    </x:row>
    <x:row r="29">
      <x:c r="A29" s="28" t="str">
        <x:v>Power factor</x:v>
      </x:c>
      <x:c r="B29" s="29" t="n">
        <x:v>0.95</x:v>
      </x:c>
      <x:c r="C29" s="28" t="str">
        <x:v>ratio</x:v>
      </x:c>
      <x:c r="D29" s="28" t="str">
        <x:v>Engineering assumption</x:v>
      </x:c>
      <x:c r="E29" s="28" t="str">
        <x:v>Current screen</x:v>
      </x:c>
      <x:c r="F29" s="28" t="str">
        <x:v>Load open</x:v>
      </x:c>
    </x:row>
    <x:row r="30">
      <x:c r="A30" s="28" t="str">
        <x:v>Required simultaneous cores</x:v>
      </x:c>
      <x:c r="B30" s="29" t="n">
        <x:v>3</x:v>
      </x:c>
      <x:c r="C30" s="28" t="str">
        <x:v>cores</x:v>
      </x:c>
      <x:c r="D30" s="28" t="str">
        <x:v>Force target</x:v>
      </x:c>
      <x:c r="E30" s="28" t="str">
        <x:v>Concurrency</x:v>
      </x:c>
      <x:c r="F30" s="28" t="str">
        <x:v>Scenario open</x:v>
      </x:c>
    </x:row>
    <x:row r="31">
      <x:c r="A31" s="28" t="str">
        <x:v>Core operational availability</x:v>
      </x:c>
      <x:c r="B31" s="30" t="n">
        <x:v>0.65</x:v>
      </x:c>
      <x:c r="C31" s="28" t="str">
        <x:v>probability</x:v>
      </x:c>
      <x:c r="D31" s="28" t="str">
        <x:v>Force assumption</x:v>
      </x:c>
      <x:c r="E31" s="28" t="str">
        <x:v>Independent screen</x:v>
      </x:c>
      <x:c r="F31" s="28" t="str">
        <x:v>Correlation open</x:v>
      </x:c>
    </x:row>
    <x:row r="32">
      <x:c r="A32" s="28" t="str">
        <x:v>Energy-core inventory</x:v>
      </x:c>
      <x:c r="B32" s="29" t="n">
        <x:v>8</x:v>
      </x:c>
      <x:c r="C32" s="28" t="str">
        <x:v>cores</x:v>
      </x:c>
      <x:c r="D32" s="28" t="str">
        <x:v>Force choice</x:v>
      </x:c>
      <x:c r="E32" s="28" t="str">
        <x:v>Reference fleet</x:v>
      </x:c>
      <x:c r="F32" s="28" t="str">
        <x:v>Optimization open</x:v>
      </x:c>
    </x:row>
    <x:row r="33">
      <x:c r="A33" s="28" t="str">
        <x:v>Force-generation multiplier</x:v>
      </x:c>
      <x:c r="B33" s="29" t="n">
        <x:v>3.2</x:v>
      </x:c>
      <x:c r="C33" s="28" t="str">
        <x:v>ratio</x:v>
      </x:c>
      <x:c r="D33" s="28" t="str">
        <x:v>Workforce assumption</x:v>
      </x:c>
      <x:c r="E33" s="28" t="str">
        <x:v>Rotation/training</x:v>
      </x:c>
      <x:c r="F33" s="28" t="str">
        <x:v>Open</x:v>
      </x:c>
    </x:row>
    <x:row r="34">
      <x:c r="A34" s="28" t="str">
        <x:v>Institutional overhead</x:v>
      </x:c>
      <x:c r="B34" s="30" t="n">
        <x:v>0.2</x:v>
      </x:c>
      <x:c r="C34" s="28" t="str">
        <x:v>fraction</x:v>
      </x:c>
      <x:c r="D34" s="28" t="str">
        <x:v>Workforce assumption</x:v>
      </x:c>
      <x:c r="E34" s="28" t="str">
        <x:v>Schools/depot/regulatory</x:v>
      </x:c>
      <x:c r="F34" s="28" t="str">
        <x:v>Open</x:v>
      </x:c>
    </x:row>
    <x:row r="35">
      <x:c r="A35" s="28" t="str">
        <x:v>Equivalent formations supported</x:v>
      </x:c>
      <x:c r="B35" s="29" t="n">
        <x:v>5</x:v>
      </x:c>
      <x:c r="C35" s="28" t="str">
        <x:v>formations</x:v>
      </x:c>
      <x:c r="D35" s="28" t="str">
        <x:v>Force assumption</x:v>
      </x:c>
      <x:c r="E35" s="28" t="str">
        <x:v>Workforce screen</x:v>
      </x:c>
      <x:c r="F35" s="28" t="str">
        <x:v>Open</x:v>
      </x:c>
    </x:row>
    <x:row r="36">
      <x:c r="A36" s="28" t="str">
        <x:v>Capital envelope</x:v>
      </x:c>
      <x:c r="B36" s="29" t="n">
        <x:v>400</x:v>
      </x:c>
      <x:c r="C36" s="28" t="str">
        <x:v>$B 2026</x:v>
      </x:c>
      <x:c r="D36" s="28" t="str">
        <x:v>Scenario</x:v>
      </x:c>
      <x:c r="E36" s="28" t="str">
        <x:v>25-year capital</x:v>
      </x:c>
      <x:c r="F36" s="28" t="str">
        <x:v>Not estimate</x:v>
      </x:c>
    </x:row>
    <x:row r="37">
      <x:c r="A37" s="28" t="str">
        <x:v>Program years</x:v>
      </x:c>
      <x:c r="B37" s="29" t="n">
        <x:v>25</x:v>
      </x:c>
      <x:c r="C37" s="28" t="str">
        <x:v>years</x:v>
      </x:c>
      <x:c r="D37" s="28" t="str">
        <x:v>Scenario</x:v>
      </x:c>
      <x:c r="E37" s="28" t="str">
        <x:v>Funding profile</x:v>
      </x:c>
      <x:c r="F37" s="28" t="str">
        <x:v>Design frame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2" hidden="0" customWidth="1"/>
    <x:col min="8" max="8" width="34" hidden="0" customWidth="1"/>
    <x:col min="9" max="9" width="28" hidden="0" customWidth="1"/>
  </x:cols>
  <x:sheetData>
    <x:row r="1" ht="30" customHeight="1">
      <x:c r="A1" s="2" t="str">
        <x:v>Architecture alternatives</x:v>
      </x:c>
      <x:c r="B1" s="26"/>
      <x:c r="C1" s="26"/>
      <x:c r="D1" s="26"/>
      <x:c r="E1" s="26"/>
      <x:c r="F1" s="26"/>
      <x:c r="G1" s="26"/>
      <x:c r="H1" s="26"/>
      <x:c r="I1" s="26"/>
    </x:row>
    <x:row r="2" ht="34" customHeight="1">
      <x:c r="A2" s="5" t="str">
        <x:v>Transparent discriminants; no opaque weighted total.</x:v>
      </x:c>
      <x:c r="B2" s="26"/>
      <x:c r="C2" s="26"/>
      <x:c r="D2" s="26"/>
      <x:c r="E2" s="26"/>
      <x:c r="F2" s="26"/>
      <x:c r="G2" s="26"/>
      <x:c r="H2" s="26"/>
      <x:c r="I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</x:row>
    <x:row r="4">
      <x:c r="A4" s="27" t="str">
        <x:v>Alternative</x:v>
      </x:c>
      <x:c r="B4" s="27" t="str">
        <x:v>Earliest service</x:v>
      </x:c>
      <x:c r="C4" s="27" t="str">
        <x:v>Endurance</x:v>
      </x:c>
      <x:c r="D4" s="27" t="str">
        <x:v>Fuel logistics</x:v>
      </x:c>
      <x:c r="E4" s="27" t="str">
        <x:v>Prepared node</x:v>
      </x:c>
      <x:c r="F4" s="27" t="str">
        <x:v>Common-mode loss</x:v>
      </x:c>
      <x:c r="G4" s="27" t="str">
        <x:v>Process replaceability</x:v>
      </x:c>
      <x:c r="H4" s="27" t="str">
        <x:v>Primary burden</x:v>
      </x:c>
      <x:c r="I4" s="27" t="str">
        <x:v>Disposition</x:v>
      </x:c>
    </x:row>
    <x:row r="5">
      <x:c r="A5" s="28" t="str">
        <x:v>Monolithic nuclear utility ship</x:v>
      </x:c>
      <x:c r="B5" s="28" t="str">
        <x:v>Slow</x:v>
      </x:c>
      <x:c r="C5" s="28" t="str">
        <x:v>Very high</x:v>
      </x:c>
      <x:c r="D5" s="28" t="str">
        <x:v>Very low</x:v>
      </x:c>
      <x:c r="E5" s="28" t="str">
        <x:v>High</x:v>
      </x:c>
      <x:c r="F5" s="28" t="str">
        <x:v>Very high</x:v>
      </x:c>
      <x:c r="G5" s="28" t="str">
        <x:v>Low</x:v>
      </x:c>
      <x:c r="H5" s="28" t="str">
        <x:v>Integrated safety/availability</x:v>
      </x:c>
      <x:c r="I5" s="28" t="str">
        <x:v>Not reference</x:v>
      </x:c>
    </x:row>
    <x:row r="6">
      <x:c r="A6" s="28" t="str">
        <x:v>Segmented nuclear utility flotilla</x:v>
      </x:c>
      <x:c r="B6" s="28" t="str">
        <x:v>Medium</x:v>
      </x:c>
      <x:c r="C6" s="28" t="str">
        <x:v>Very high</x:v>
      </x:c>
      <x:c r="D6" s="28" t="str">
        <x:v>Very low</x:v>
      </x:c>
      <x:c r="E6" s="28" t="str">
        <x:v>High</x:v>
      </x:c>
      <x:c r="F6" s="28" t="str">
        <x:v>Medium</x:v>
      </x:c>
      <x:c r="G6" s="28" t="str">
        <x:v>High</x:v>
      </x:c>
      <x:c r="H6" s="28" t="str">
        <x:v>Interfaces/coordination</x:v>
      </x:c>
      <x:c r="I6" s="28" t="str">
        <x:v>Preferred research reference</x:v>
      </x:c>
    </x:row>
    <x:row r="7">
      <x:c r="A7" s="28" t="str">
        <x:v>Shore reactor + floating process</x:v>
      </x:c>
      <x:c r="B7" s="28" t="str">
        <x:v>Medium</x:v>
      </x:c>
      <x:c r="C7" s="28" t="str">
        <x:v>Very high</x:v>
      </x:c>
      <x:c r="D7" s="28" t="str">
        <x:v>Very low</x:v>
      </x:c>
      <x:c r="E7" s="28" t="str">
        <x:v>Very high</x:v>
      </x:c>
      <x:c r="F7" s="28" t="str">
        <x:v>Medium</x:v>
      </x:c>
      <x:c r="G7" s="28" t="str">
        <x:v>High</x:v>
      </x:c>
      <x:c r="H7" s="28" t="str">
        <x:v>Low mobility</x:v>
      </x:c>
      <x:c r="I7" s="28" t="str">
        <x:v>Strong comparator</x:v>
      </x:c>
    </x:row>
    <x:row r="8">
      <x:c r="A8" s="28" t="str">
        <x:v>Non-nuclear firm-power flotilla</x:v>
      </x:c>
      <x:c r="B8" s="28" t="str">
        <x:v>Fast</x:v>
      </x:c>
      <x:c r="C8" s="28" t="str">
        <x:v>Fuel-limited</x:v>
      </x:c>
      <x:c r="D8" s="28" t="str">
        <x:v>Very high</x:v>
      </x:c>
      <x:c r="E8" s="28" t="str">
        <x:v>Medium</x:v>
      </x:c>
      <x:c r="F8" s="28" t="str">
        <x:v>Medium</x:v>
      </x:c>
      <x:c r="G8" s="28" t="str">
        <x:v>High</x:v>
      </x:c>
      <x:c r="H8" s="28" t="str">
        <x:v>Fuel/emissions</x:v>
      </x:c>
      <x:c r="I8" s="28" t="str">
        <x:v>Operational comparator</x:v>
      </x:c>
    </x:row>
    <x:row r="9">
      <x:c r="A9" s="28" t="str">
        <x:v>Renewable-storage-grid portfolio</x:v>
      </x:c>
      <x:c r="B9" s="28" t="str">
        <x:v>Slow/variable</x:v>
      </x:c>
      <x:c r="C9" s="28" t="str">
        <x:v>High if built</x:v>
      </x:c>
      <x:c r="D9" s="28" t="str">
        <x:v>Low</x:v>
      </x:c>
      <x:c r="E9" s="28" t="str">
        <x:v>Site-specific</x:v>
      </x:c>
      <x:c r="F9" s="28" t="str">
        <x:v>Low</x:v>
      </x:c>
      <x:c r="G9" s="28" t="str">
        <x:v>High</x:v>
      </x:c>
      <x:c r="H9" s="28" t="str">
        <x:v>Land/time/storage</x:v>
      </x:c>
      <x:c r="I9" s="28" t="str">
        <x:v>Site comparator</x:v>
      </x:c>
    </x:row>
    <x:row r="10">
      <x:c r="A10" s="28" t="str">
        <x:v>Water works + grid repair</x:v>
      </x:c>
      <x:c r="B10" s="28" t="str">
        <x:v>Fast</x:v>
      </x:c>
      <x:c r="C10" s="28" t="str">
        <x:v>Repair-dependent</x:v>
      </x:c>
      <x:c r="D10" s="28" t="str">
        <x:v>Medium</x:v>
      </x:c>
      <x:c r="E10" s="28" t="str">
        <x:v>Low</x:v>
      </x:c>
      <x:c r="F10" s="28" t="str">
        <x:v>Low</x:v>
      </x:c>
      <x:c r="G10" s="28" t="str">
        <x:v>High</x:v>
      </x:c>
      <x:c r="H10" s="28" t="str">
        <x:v>Dual prolonged failure</x:v>
      </x:c>
      <x:c r="I10" s="28" t="str">
        <x:v>Default to beat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28" hidden="0" customWidth="1"/>
    <x:col min="4" max="4" width="28" hidden="0" customWidth="1"/>
    <x:col min="5" max="5" width="28" hidden="0" customWidth="1"/>
    <x:col min="6" max="6" width="30" hidden="0" customWidth="1"/>
    <x:col min="7" max="7" width="28" hidden="0" customWidth="1"/>
  </x:cols>
  <x:sheetData>
    <x:row r="1" ht="30" customHeight="1">
      <x:c r="A1" s="2" t="str">
        <x:v>Complete mission threads</x:v>
      </x:c>
      <x:c r="B1" s="26"/>
      <x:c r="C1" s="26"/>
      <x:c r="D1" s="26"/>
      <x:c r="E1" s="26"/>
      <x:c r="F1" s="26"/>
      <x:c r="G1" s="26"/>
    </x:row>
    <x:row r="2" ht="34" customHeight="1">
      <x:c r="A2" s="5" t="str">
        <x:v>Production receives no credit until public service closes.</x:v>
      </x:c>
      <x:c r="B2" s="26"/>
      <x:c r="C2" s="26"/>
      <x:c r="D2" s="26"/>
      <x:c r="E2" s="26"/>
      <x:c r="F2" s="26"/>
      <x:c r="G2" s="26"/>
    </x:row>
    <x:row r="3">
      <x:c r="A3" s="26"/>
      <x:c r="B3" s="26"/>
      <x:c r="C3" s="26"/>
      <x:c r="D3" s="26"/>
      <x:c r="E3" s="26"/>
      <x:c r="F3" s="26"/>
      <x:c r="G3" s="26"/>
    </x:row>
    <x:row r="4">
      <x:c r="A4" s="27" t="str">
        <x:v>ID</x:v>
      </x:c>
      <x:c r="B4" s="27" t="str">
        <x:v>Function</x:v>
      </x:c>
      <x:c r="C4" s="27" t="str">
        <x:v>Owner</x:v>
      </x:c>
      <x:c r="D4" s="27" t="str">
        <x:v>Input</x:v>
      </x:c>
      <x:c r="E4" s="27" t="str">
        <x:v>Released output</x:v>
      </x:c>
      <x:c r="F4" s="27" t="str">
        <x:v>Independent authority</x:v>
      </x:c>
      <x:c r="G4" s="27" t="str">
        <x:v>Key failure</x:v>
      </x:c>
    </x:row>
    <x:row r="5">
      <x:c r="A5" s="28" t="str">
        <x:v>M01</x:v>
      </x:c>
      <x:c r="B5" s="28" t="str">
        <x:v>Site qualification</x:v>
      </x:c>
      <x:c r="C5" s="28" t="str">
        <x:v>Receiving-node command</x:v>
      </x:c>
      <x:c r="D5" s="28" t="str">
        <x:v>Hazard/site/network</x:v>
      </x:c>
      <x:c r="E5" s="28" t="str">
        <x:v>Approved envelope</x:v>
      </x:c>
      <x:c r="F5" s="28" t="str">
        <x:v>Nuclear+marine+civil</x:v>
      </x:c>
      <x:c r="G5" s="28" t="str">
        <x:v>Uncharacterized site</x:v>
      </x:c>
    </x:row>
    <x:row r="6">
      <x:c r="A6" s="28" t="str">
        <x:v>M02</x:v>
      </x:c>
      <x:c r="B6" s="28" t="str">
        <x:v>Theater opening</x:v>
      </x:c>
      <x:c r="C6" s="28" t="str">
        <x:v>Marine support</x:v>
      </x:c>
      <x:c r="D6" s="28" t="str">
        <x:v>Approach/mooring</x:v>
      </x:c>
      <x:c r="E6" s="28" t="str">
        <x:v>Safe anchorage</x:v>
      </x:c>
      <x:c r="F6" s="28" t="str">
        <x:v>Coast Guard/port</x:v>
      </x:c>
      <x:c r="G6" s="28" t="str">
        <x:v>Debris/depth/storm</x:v>
      </x:c>
    </x:row>
    <x:row r="7">
      <x:c r="A7" s="28" t="str">
        <x:v>M03</x:v>
      </x:c>
      <x:c r="B7" s="28" t="str">
        <x:v>Nuclear heat/power</x:v>
      </x:c>
      <x:c r="C7" s="28" t="str">
        <x:v>Energy core</x:v>
      </x:c>
      <x:c r="D7" s="28" t="str">
        <x:v>Fuel/configuration</x:v>
      </x:c>
      <x:c r="E7" s="28" t="str">
        <x:v>Fault-limited bus</x:v>
      </x:c>
      <x:c r="F7" s="28" t="str">
        <x:v>Nuclear operator/regulator</x:v>
      </x:c>
      <x:c r="G7" s="28" t="str">
        <x:v>Cooling/reactivity</x:v>
      </x:c>
    </x:row>
    <x:row r="8">
      <x:c r="A8" s="28" t="str">
        <x:v>M04</x:v>
      </x:c>
      <x:c r="B8" s="28" t="str">
        <x:v>Feed and treatment</x:v>
      </x:c>
      <x:c r="C8" s="28" t="str">
        <x:v>Process barge</x:v>
      </x:c>
      <x:c r="D8" s="28" t="str">
        <x:v>Seawater+power</x:v>
      </x:c>
      <x:c r="E8" s="28" t="str">
        <x:v>Divertible product</x:v>
      </x:c>
      <x:c r="F8" s="28" t="str">
        <x:v>Water/environment</x:v>
      </x:c>
      <x:c r="G8" s="28" t="str">
        <x:v>Feed/integrity</x:v>
      </x:c>
    </x:row>
    <x:row r="9">
      <x:c r="A9" s="28" t="str">
        <x:v>M05</x:v>
      </x:c>
      <x:c r="B9" s="28" t="str">
        <x:v>Concentrate control</x:v>
      </x:c>
      <x:c r="C9" s="28" t="str">
        <x:v>Process/site</x:v>
      </x:c>
      <x:c r="D9" s="28" t="str">
        <x:v>Reject+chemicals</x:v>
      </x:c>
      <x:c r="E9" s="28" t="str">
        <x:v>Authorized stream</x:v>
      </x:c>
      <x:c r="F9" s="28" t="str">
        <x:v>Environmental</x:v>
      </x:c>
      <x:c r="G9" s="28" t="str">
        <x:v>Toxicity/plume</x:v>
      </x:c>
    </x:row>
    <x:row r="10">
      <x:c r="A10" s="28" t="str">
        <x:v>M06</x:v>
      </x:c>
      <x:c r="B10" s="28" t="str">
        <x:v>Shore power</x:v>
      </x:c>
      <x:c r="C10" s="28" t="str">
        <x:v>SIG-100</x:v>
      </x:c>
      <x:c r="D10" s="28" t="str">
        <x:v>Marine bus</x:v>
      </x:c>
      <x:c r="E10" s="28" t="str">
        <x:v>Protected shore bus</x:v>
      </x:c>
      <x:c r="F10" s="28" t="str">
        <x:v>Grid authority</x:v>
      </x:c>
      <x:c r="G10" s="28" t="str">
        <x:v>Fault/instability</x:v>
      </x:c>
    </x:row>
    <x:row r="11">
      <x:c r="A11" s="28" t="str">
        <x:v>M07</x:v>
      </x:c>
      <x:c r="B11" s="28" t="str">
        <x:v>Water transfer</x:v>
      </x:c>
      <x:c r="C11" s="28" t="str">
        <x:v>SIG-100</x:v>
      </x:c>
      <x:c r="D11" s="28" t="str">
        <x:v>Released product</x:v>
      </x:c>
      <x:c r="E11" s="28" t="str">
        <x:v>Metered shore flow</x:v>
      </x:c>
      <x:c r="F11" s="28" t="str">
        <x:v>Water utility</x:v>
      </x:c>
      <x:c r="G11" s="28" t="str">
        <x:v>Backflow/quality</x:v>
      </x:c>
    </x:row>
    <x:row r="12">
      <x:c r="A12" s="28" t="str">
        <x:v>M08</x:v>
      </x:c>
      <x:c r="B12" s="28" t="str">
        <x:v>Corridor build</x:v>
      </x:c>
      <x:c r="C12" s="28" t="str">
        <x:v>RUCG</x:v>
      </x:c>
      <x:c r="D12" s="28" t="str">
        <x:v>Pipe/cable</x:v>
      </x:c>
      <x:c r="E12" s="28" t="str">
        <x:v>Commissioned route</x:v>
      </x:c>
      <x:c r="F12" s="28" t="str">
        <x:v>Engineering/utility</x:v>
      </x:c>
      <x:c r="G12" s="28" t="str">
        <x:v>Joint/crossing</x:v>
      </x:c>
    </x:row>
    <x:row r="13">
      <x:c r="A13" s="28" t="str">
        <x:v>M09</x:v>
      </x:c>
      <x:c r="B13" s="28" t="str">
        <x:v>District service</x:v>
      </x:c>
      <x:c r="C13" s="28" t="str">
        <x:v>WRG/local</x:v>
      </x:c>
      <x:c r="D13" s="28" t="str">
        <x:v>Trunk flow</x:v>
      </x:c>
      <x:c r="E13" s="28" t="str">
        <x:v>User service</x:v>
      </x:c>
      <x:c r="F13" s="28" t="str">
        <x:v>Civil/public health</x:v>
      </x:c>
      <x:c r="G13" s="28" t="str">
        <x:v>Access inequity</x:v>
      </x:c>
    </x:row>
    <x:row r="14">
      <x:c r="A14" s="28" t="str">
        <x:v>M10</x:v>
      </x:c>
      <x:c r="B14" s="28" t="str">
        <x:v>Maintenance</x:v>
      </x:c>
      <x:c r="C14" s="28" t="str">
        <x:v>Depot/support</x:v>
      </x:c>
      <x:c r="D14" s="28" t="str">
        <x:v>Faulted equipment</x:v>
      </x:c>
      <x:c r="E14" s="28" t="str">
        <x:v>Certified module</x:v>
      </x:c>
      <x:c r="F14" s="28" t="str">
        <x:v>Technical authority</x:v>
      </x:c>
      <x:c r="G14" s="28" t="str">
        <x:v>Spare/workforce</x:v>
      </x:c>
    </x:row>
    <x:row r="15">
      <x:c r="A15" s="28" t="str">
        <x:v>M11</x:v>
      </x:c>
      <x:c r="B15" s="28" t="str">
        <x:v>Transfer</x:v>
      </x:c>
      <x:c r="C15" s="28" t="str">
        <x:v>Joint command</x:v>
      </x:c>
      <x:c r="D15" s="28" t="str">
        <x:v>Stable local systems</x:v>
      </x:c>
      <x:c r="E15" s="28" t="str">
        <x:v>Safe handover</x:v>
      </x:c>
      <x:c r="F15" s="28" t="str">
        <x:v>Civil owner</x:v>
      </x:c>
      <x:c r="G15" s="28" t="str">
        <x:v>Premature exit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2" hidden="0" customWidth="1"/>
    <x:col min="3" max="3" width="12" hidden="0" customWidth="1"/>
    <x:col min="4" max="4" width="44" hidden="0" customWidth="1"/>
    <x:col min="5" max="5" width="16" hidden="0" customWidth="1"/>
  </x:cols>
  <x:sheetData>
    <x:row r="1" ht="30" customHeight="1">
      <x:c r="A1" s="2" t="str">
        <x:v>Electrical balance</x:v>
      </x:c>
      <x:c r="B1" s="26"/>
      <x:c r="C1" s="26"/>
      <x:c r="D1" s="26"/>
      <x:c r="E1" s="26"/>
    </x:row>
    <x:row r="2" ht="34" customHeight="1">
      <x:c r="A2" s="5" t="str">
        <x:v>300 MWe gross | 100 MW shore | 100,000 m³/day water.</x:v>
      </x:c>
      <x:c r="B2" s="26"/>
      <x:c r="C2" s="26"/>
      <x:c r="D2" s="26"/>
      <x:c r="E2" s="26"/>
    </x:row>
    <x:row r="3">
      <x:c r="A3" s="26"/>
      <x:c r="B3" s="26"/>
      <x:c r="C3" s="26"/>
      <x:c r="D3" s="26"/>
      <x:c r="E3" s="26"/>
    </x:row>
    <x:row r="4">
      <x:c r="A4" s="27" t="str">
        <x:v>Metric</x:v>
      </x:c>
      <x:c r="B4" s="27" t="str">
        <x:v>Result</x:v>
      </x:c>
      <x:c r="C4" s="27" t="str">
        <x:v>Unit</x:v>
      </x:c>
      <x:c r="D4" s="27" t="str">
        <x:v>Interpretation</x:v>
      </x:c>
      <x:c r="E4" s="27" t="str">
        <x:v>State</x:v>
      </x:c>
    </x:row>
    <x:row r="5">
      <x:c r="A5" s="28" t="str">
        <x:v>Gross electric</x:v>
      </x:c>
      <x:c r="B5" s="31" t="n">
        <x:f>Controls!B7</x:f>
        <x:v>300</x:v>
      </x:c>
      <x:c r="C5" s="28" t="str">
        <x:v>MW</x:v>
      </x:c>
      <x:c r="D5" s="28" t="str">
        <x:v>Installed gross</x:v>
      </x:c>
      <x:c r="E5" s="28" t="str">
        <x:v>Input</x:v>
      </x:c>
    </x:row>
    <x:row r="6">
      <x:c r="A6" s="28" t="str">
        <x:v>Sustained bus</x:v>
      </x:c>
      <x:c r="B6" s="31" t="n">
        <x:f>Controls!B7*(1-Controls!B8)*(1-Controls!B9)</x:f>
        <x:v>248.4</x:v>
      </x:c>
      <x:c r="C6" s="28" t="str">
        <x:v>MW</x:v>
      </x:c>
      <x:c r="D6" s="28" t="str">
        <x:v>After station service/derate</x:v>
      </x:c>
      <x:c r="E6" s="28" t="str">
        <x:v>Derived</x:v>
      </x:c>
    </x:row>
    <x:row r="7">
      <x:c r="A7" s="28" t="str">
        <x:v>RO load</x:v>
      </x:c>
      <x:c r="B7" s="31" t="n">
        <x:f>Controls!B6*Controls!B11/24/1000</x:f>
        <x:v>14.583333333333334</x:v>
      </x:c>
      <x:c r="C7" s="28" t="str">
        <x:v>MW</x:v>
      </x:c>
      <x:c r="D7" s="28" t="str">
        <x:v>Product × SEC</x:v>
      </x:c>
      <x:c r="E7" s="28" t="str">
        <x:v>Derived</x:v>
      </x:c>
    </x:row>
    <x:row r="8">
      <x:c r="A8" s="28" t="str">
        <x:v>Water auxiliaries</x:v>
      </x:c>
      <x:c r="B8" s="31" t="n">
        <x:f>Controls!B6*Controls!B12/24/1000</x:f>
        <x:v>3.3333333333333335</x:v>
      </x:c>
      <x:c r="C8" s="28" t="str">
        <x:v>MW</x:v>
      </x:c>
      <x:c r="D8" s="28" t="str">
        <x:v>Intake/treatment</x:v>
      </x:c>
      <x:c r="E8" s="28" t="str">
        <x:v>Derived</x:v>
      </x:c>
    </x:row>
    <x:row r="9">
      <x:c r="A9" s="28" t="str">
        <x:v>Hotel/security/mission</x:v>
      </x:c>
      <x:c r="B9" s="31" t="n">
        <x:f>Controls!B13</x:f>
        <x:v>15</x:v>
      </x:c>
      <x:c r="C9" s="28" t="str">
        <x:v>MW</x:v>
      </x:c>
      <x:c r="D9" s="28" t="str">
        <x:v>Internal load</x:v>
      </x:c>
      <x:c r="E9" s="28" t="str">
        <x:v>Input</x:v>
      </x:c>
    </x:row>
    <x:row r="10">
      <x:c r="A10" s="28" t="str">
        <x:v>Shore export</x:v>
      </x:c>
      <x:c r="B10" s="31" t="n">
        <x:f>Controls!B10</x:f>
        <x:v>100</x:v>
      </x:c>
      <x:c r="C10" s="28" t="str">
        <x:v>MW</x:v>
      </x:c>
      <x:c r="D10" s="28" t="str">
        <x:v>Authorized service</x:v>
      </x:c>
      <x:c r="E10" s="28" t="str">
        <x:v>Input</x:v>
      </x:c>
    </x:row>
    <x:row r="11">
      <x:c r="A11" s="28" t="str">
        <x:v>Served-load total</x:v>
      </x:c>
      <x:c r="B11" s="31" t="n">
        <x:f>SUM(B7:B10)</x:f>
        <x:v>132.91666666666669</x:v>
      </x:c>
      <x:c r="C11" s="28" t="str">
        <x:v>MW</x:v>
      </x:c>
      <x:c r="D11" s="28" t="str">
        <x:v>Before reserve</x:v>
      </x:c>
      <x:c r="E11" s="28" t="str">
        <x:v>Derived</x:v>
      </x:c>
    </x:row>
    <x:row r="12">
      <x:c r="A12" s="28" t="str">
        <x:v>Required with reserve</x:v>
      </x:c>
      <x:c r="B12" s="31" t="n">
        <x:f>B11*(1+Controls!B14)</x:f>
        <x:v>152.85416666666669</x:v>
      </x:c>
      <x:c r="C12" s="28" t="str">
        <x:v>MW</x:v>
      </x:c>
      <x:c r="D12" s="28" t="str">
        <x:v>Served × reserve</x:v>
      </x:c>
      <x:c r="E12" s="28" t="str">
        <x:v>Derived</x:v>
      </x:c>
    </x:row>
    <x:row r="13">
      <x:c r="A13" s="28" t="str">
        <x:v>Sustained margin</x:v>
      </x:c>
      <x:c r="B13" s="31" t="n">
        <x:f>B6-B12</x:f>
        <x:v>95.54583333333332</x:v>
      </x:c>
      <x:c r="C13" s="28" t="str">
        <x:v>MW</x:v>
      </x:c>
      <x:c r="D13" s="28" t="str">
        <x:v>Available less required</x:v>
      </x:c>
      <x:c r="E13" s="28" t="str">
        <x:v>Decision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2" hidden="0" customWidth="1"/>
    <x:col min="3" max="3" width="14" hidden="0" customWidth="1"/>
    <x:col min="4" max="4" width="40" hidden="0" customWidth="1"/>
    <x:col min="5" max="5" width="20" hidden="0" customWidth="1"/>
  </x:cols>
  <x:sheetData>
    <x:row r="1" ht="30" customHeight="1">
      <x:c r="A1" s="2" t="str">
        <x:v>Thermal rejection screen</x:v>
      </x:c>
      <x:c r="B1" s="26"/>
      <x:c r="C1" s="26"/>
      <x:c r="D1" s="26"/>
      <x:c r="E1" s="26"/>
    </x:row>
    <x:row r="2" ht="34" customHeight="1">
      <x:c r="A2" s="5" t="str">
        <x:v>Steady first-order screen; no safety or environmental credit.</x:v>
      </x:c>
      <x:c r="B2" s="26"/>
      <x:c r="C2" s="26"/>
      <x:c r="D2" s="26"/>
      <x:c r="E2" s="26"/>
    </x:row>
    <x:row r="3">
      <x:c r="A3" s="26"/>
      <x:c r="B3" s="26"/>
      <x:c r="C3" s="26"/>
      <x:c r="D3" s="26"/>
      <x:c r="E3" s="26"/>
    </x:row>
    <x:row r="4">
      <x:c r="A4" s="27" t="str">
        <x:v>Metric</x:v>
      </x:c>
      <x:c r="B4" s="27" t="str">
        <x:v>Result</x:v>
      </x:c>
      <x:c r="C4" s="27" t="str">
        <x:v>Unit</x:v>
      </x:c>
      <x:c r="D4" s="27" t="str">
        <x:v>Basis</x:v>
      </x:c>
      <x:c r="E4" s="27" t="str">
        <x:v>State</x:v>
      </x:c>
    </x:row>
    <x:row r="5">
      <x:c r="A5" s="28" t="str">
        <x:v>Gross electric</x:v>
      </x:c>
      <x:c r="B5" s="31" t="n">
        <x:f>Controls!B7</x:f>
        <x:v>300</x:v>
      </x:c>
      <x:c r="C5" s="28" t="str">
        <x:v>MW</x:v>
      </x:c>
      <x:c r="D5" s="28" t="str">
        <x:v>Controls</x:v>
      </x:c>
      <x:c r="E5" s="28" t="str">
        <x:v>Input</x:v>
      </x:c>
    </x:row>
    <x:row r="6">
      <x:c r="A6" s="28" t="str">
        <x:v>Gross thermal</x:v>
      </x:c>
      <x:c r="B6" s="31" t="n">
        <x:f>B5/Controls!B15</x:f>
        <x:v>909.090909090909</x:v>
      </x:c>
      <x:c r="C6" s="28" t="str">
        <x:v>MWth</x:v>
      </x:c>
      <x:c r="D6" s="28" t="str">
        <x:v>Electric/efficiency</x:v>
      </x:c>
      <x:c r="E6" s="28" t="str">
        <x:v>Derived</x:v>
      </x:c>
    </x:row>
    <x:row r="7">
      <x:c r="A7" s="28" t="str">
        <x:v>Rejected heat</x:v>
      </x:c>
      <x:c r="B7" s="31" t="n">
        <x:f>B6-B5</x:f>
        <x:v>609.090909090909</x:v>
      </x:c>
      <x:c r="C7" s="28" t="str">
        <x:v>MWth</x:v>
      </x:c>
      <x:c r="D7" s="28" t="str">
        <x:v>Thermal-electric</x:v>
      </x:c>
      <x:c r="E7" s="28" t="str">
        <x:v>Derived</x:v>
      </x:c>
    </x:row>
    <x:row r="8">
      <x:c r="A8" s="28" t="str">
        <x:v>Cooling mass flow</x:v>
      </x:c>
      <x:c r="B8" s="31" t="n">
        <x:f>B7*1000000/(4186*Controls!B16)</x:f>
        <x:v>20786.666749399665</x:v>
      </x:c>
      <x:c r="C8" s="28" t="str">
        <x:v>kg/s</x:v>
      </x:c>
      <x:c r="D8" s="28" t="str">
        <x:v>cp 4.186 kJ/kg-K</x:v>
      </x:c>
      <x:c r="E8" s="28" t="str">
        <x:v>Screen</x:v>
      </x:c>
    </x:row>
    <x:row r="9">
      <x:c r="A9" s="28" t="str">
        <x:v>Cooling volume flow</x:v>
      </x:c>
      <x:c r="B9" s="31" t="n">
        <x:f>B8/1025</x:f>
        <x:v>20.279674877463087</x:v>
      </x:c>
      <x:c r="C9" s="28" t="str">
        <x:v>m³/s</x:v>
      </x:c>
      <x:c r="D9" s="28" t="str">
        <x:v>ρ 1,025 kg/m³</x:v>
      </x:c>
      <x:c r="E9" s="28" t="str">
        <x:v>Screen</x:v>
      </x:c>
    </x:row>
    <x:row r="10">
      <x:c r="A10" s="28" t="str">
        <x:v>Product flow</x:v>
      </x:c>
      <x:c r="B10" s="31" t="n">
        <x:f>Controls!B6/86400</x:f>
        <x:v>1.1574074074074074</x:v>
      </x:c>
      <x:c r="C10" s="28" t="str">
        <x:v>m³/s</x:v>
      </x:c>
      <x:c r="D10" s="28" t="str">
        <x:v>Water target</x:v>
      </x:c>
      <x:c r="E10" s="28" t="str">
        <x:v>Derived</x:v>
      </x:c>
    </x:row>
    <x:row r="11">
      <x:c r="A11" s="28" t="str">
        <x:v>Cooling/product ratio</x:v>
      </x:c>
      <x:c r="B11" s="31" t="n">
        <x:f>B9/B10</x:f>
        <x:v>17.52163909412811</x:v>
      </x:c>
      <x:c r="C11" s="28" t="str">
        <x:v>ratio</x:v>
      </x:c>
      <x:c r="D11" s="28" t="str">
        <x:v>Dominant intake flow</x:v>
      </x:c>
      <x:c r="E11" s="28" t="str">
        <x:v>Decision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16" hidden="0" customWidth="1"/>
    <x:col min="4" max="4" width="36" hidden="0" customWidth="1"/>
    <x:col min="5" max="5" width="26" hidden="0" customWidth="1"/>
  </x:cols>
  <x:sheetData>
    <x:row r="1" ht="30" customHeight="1">
      <x:c r="A1" s="2" t="str">
        <x:v>Water mass balance</x:v>
      </x:c>
      <x:c r="B1" s="26"/>
      <x:c r="C1" s="26"/>
      <x:c r="D1" s="26"/>
      <x:c r="E1" s="26"/>
    </x:row>
    <x:row r="2" ht="34" customHeight="1">
      <x:c r="A2" s="5" t="str">
        <x:v>Production equivalents are not delivered populations.</x:v>
      </x:c>
      <x:c r="B2" s="26"/>
      <x:c r="C2" s="26"/>
      <x:c r="D2" s="26"/>
      <x:c r="E2" s="26"/>
    </x:row>
    <x:row r="3">
      <x:c r="A3" s="26"/>
      <x:c r="B3" s="26"/>
      <x:c r="C3" s="26"/>
      <x:c r="D3" s="26"/>
      <x:c r="E3" s="26"/>
    </x:row>
    <x:row r="4">
      <x:c r="A4" s="27" t="str">
        <x:v>Metric</x:v>
      </x:c>
      <x:c r="B4" s="27" t="str">
        <x:v>Result</x:v>
      </x:c>
      <x:c r="C4" s="27" t="str">
        <x:v>Unit</x:v>
      </x:c>
      <x:c r="D4" s="27" t="str">
        <x:v>Basis</x:v>
      </x:c>
      <x:c r="E4" s="27" t="str">
        <x:v>State</x:v>
      </x:c>
    </x:row>
    <x:row r="5">
      <x:c r="A5" s="28" t="str">
        <x:v>Product</x:v>
      </x:c>
      <x:c r="B5" s="31" t="n">
        <x:f>Controls!B6</x:f>
        <x:v>100000</x:v>
      </x:c>
      <x:c r="C5" s="28" t="str">
        <x:v>m³/day</x:v>
      </x:c>
      <x:c r="D5" s="28" t="str">
        <x:v>Mission target</x:v>
      </x:c>
      <x:c r="E5" s="28" t="str">
        <x:v>Input</x:v>
      </x:c>
    </x:row>
    <x:row r="6">
      <x:c r="A6" s="28" t="str">
        <x:v>Recovery</x:v>
      </x:c>
      <x:c r="B6" s="32" t="n">
        <x:f>Controls!B17</x:f>
        <x:v>0.45</x:v>
      </x:c>
      <x:c r="C6" s="28" t="str">
        <x:v>fraction</x:v>
      </x:c>
      <x:c r="D6" s="28" t="str">
        <x:v>RO assumption</x:v>
      </x:c>
      <x:c r="E6" s="28" t="str">
        <x:v>Input</x:v>
      </x:c>
    </x:row>
    <x:row r="7">
      <x:c r="A7" s="28" t="str">
        <x:v>Feed</x:v>
      </x:c>
      <x:c r="B7" s="31" t="n">
        <x:f>B5/B6</x:f>
        <x:v>222222.22222222222</x:v>
      </x:c>
      <x:c r="C7" s="28" t="str">
        <x:v>m³/day</x:v>
      </x:c>
      <x:c r="D7" s="28" t="str">
        <x:v>Product/recovery</x:v>
      </x:c>
      <x:c r="E7" s="28" t="str">
        <x:v>Derived</x:v>
      </x:c>
    </x:row>
    <x:row r="8">
      <x:c r="A8" s="28" t="str">
        <x:v>Concentrate</x:v>
      </x:c>
      <x:c r="B8" s="31" t="n">
        <x:f>B7-B5</x:f>
        <x:v>122222.22222222222</x:v>
      </x:c>
      <x:c r="C8" s="28" t="str">
        <x:v>m³/day</x:v>
      </x:c>
      <x:c r="D8" s="28" t="str">
        <x:v>Feed-product</x:v>
      </x:c>
      <x:c r="E8" s="28" t="str">
        <x:v>Derived</x:v>
      </x:c>
    </x:row>
    <x:row r="9">
      <x:c r="A9" s="28" t="str">
        <x:v>Survival equivalent</x:v>
      </x:c>
      <x:c r="B9" s="31" t="n">
        <x:f>B5*1000/15</x:f>
        <x:v>6666666.666666667</x:v>
      </x:c>
      <x:c r="C9" s="28" t="str">
        <x:v>people</x:v>
      </x:c>
      <x:c r="D9" s="28" t="str">
        <x:v>15 L/person-day</x:v>
      </x:c>
      <x:c r="E9" s="28" t="str">
        <x:v>Upper bound</x:v>
      </x:c>
    </x:row>
    <x:row r="10">
      <x:c r="A10" s="28" t="str">
        <x:v>Expanded equivalent</x:v>
      </x:c>
      <x:c r="B10" s="31" t="n">
        <x:f>B5*1000/50</x:f>
        <x:v>2000000</x:v>
      </x:c>
      <x:c r="C10" s="28" t="str">
        <x:v>people</x:v>
      </x:c>
      <x:c r="D10" s="28" t="str">
        <x:v>50 L/person-day</x:v>
      </x:c>
      <x:c r="E10" s="28" t="str">
        <x:v>Upper bound</x:v>
      </x:c>
    </x:row>
    <x:row r="11">
      <x:c r="A11" s="28" t="str">
        <x:v>RO energy</x:v>
      </x:c>
      <x:c r="B11" s="31" t="n">
        <x:f>B5*Controls!B11/1000</x:f>
        <x:v>350</x:v>
      </x:c>
      <x:c r="C11" s="28" t="str">
        <x:v>MWh/day</x:v>
      </x:c>
      <x:c r="D11" s="28" t="str">
        <x:v>Process only</x:v>
      </x:c>
      <x:c r="E11" s="28" t="str">
        <x:v>Derived</x:v>
      </x:c>
    </x:row>
    <x:row r="12">
      <x:c r="A12" s="28" t="str">
        <x:v>Auxiliary energy</x:v>
      </x:c>
      <x:c r="B12" s="31" t="n">
        <x:f>B5*Controls!B12/1000</x:f>
        <x:v>80</x:v>
      </x:c>
      <x:c r="C12" s="28" t="str">
        <x:v>MWh/day</x:v>
      </x:c>
      <x:c r="D12" s="28" t="str">
        <x:v>Water only</x:v>
      </x:c>
      <x:c r="E12" s="28" t="str">
        <x:v>Derived</x:v>
      </x:c>
    </x:row>
    <x:row r="13">
      <x:c r="A13" s="28" t="str">
        <x:v>Closure residual</x:v>
      </x:c>
      <x:c r="B13" s="39" t="n">
        <x:f>B7-B8-B5</x:f>
        <x:v>0</x:v>
      </x:c>
      <x:c r="C13" s="28" t="str">
        <x:v>m³/day</x:v>
      </x:c>
      <x:c r="D13" s="28" t="str">
        <x:v>Feed - product - concentrate</x:v>
      </x:c>
      <x:c r="E13" s="28" t="str">
        <x:v>Check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14" hidden="0" customWidth="1"/>
    <x:col min="4" max="4" width="30" hidden="0" customWidth="1"/>
    <x:col min="5" max="5" width="18" hidden="0" customWidth="1"/>
    <x:col min="6" max="6" width="30" hidden="0" customWidth="1"/>
  </x:cols>
  <x:sheetData>
    <x:row r="1" ht="30" customHeight="1">
      <x:c r="A1" s="2" t="str">
        <x:v>Rapid water corridor</x:v>
      </x:c>
      <x:c r="B1" s="26"/>
      <x:c r="C1" s="26"/>
      <x:c r="D1" s="26"/>
      <x:c r="E1" s="26"/>
      <x:c r="F1" s="26"/>
    </x:row>
    <x:row r="2" ht="34" customHeight="1">
      <x:c r="A2" s="5" t="str">
        <x:v>One trunk; redundancy, joints, anchors, crossings, spares and storage excluded.</x:v>
      </x:c>
      <x:c r="B2" s="26"/>
      <x:c r="C2" s="26"/>
      <x:c r="D2" s="26"/>
      <x:c r="E2" s="26"/>
      <x:c r="F2" s="26"/>
    </x:row>
    <x:row r="3">
      <x:c r="A3" s="26"/>
      <x:c r="B3" s="26"/>
      <x:c r="C3" s="26"/>
      <x:c r="D3" s="26"/>
      <x:c r="E3" s="26"/>
      <x:c r="F3" s="26"/>
    </x:row>
    <x:row r="4">
      <x:c r="A4" s="27" t="str">
        <x:v>Metric</x:v>
      </x:c>
      <x:c r="B4" s="27" t="str">
        <x:v>Result</x:v>
      </x:c>
      <x:c r="C4" s="27" t="str">
        <x:v>Unit</x:v>
      </x:c>
      <x:c r="D4" s="27" t="str">
        <x:v>Basis</x:v>
      </x:c>
      <x:c r="E4" s="27" t="str">
        <x:v>State</x:v>
      </x:c>
      <x:c r="F4" s="27" t="str">
        <x:v>Implication</x:v>
      </x:c>
    </x:row>
    <x:row r="5">
      <x:c r="A5" s="28" t="str">
        <x:v>Product flow</x:v>
      </x:c>
      <x:c r="B5" s="31" t="n">
        <x:f>Controls!B6/86400</x:f>
        <x:v>1.1574074074074074</x:v>
      </x:c>
      <x:c r="C5" s="28" t="str">
        <x:v>m³/s</x:v>
      </x:c>
      <x:c r="D5" s="28" t="str">
        <x:v>day/86400</x:v>
      </x:c>
      <x:c r="E5" s="28" t="str">
        <x:v>Derived</x:v>
      </x:c>
      <x:c r="F5" s="28" t="str"/>
    </x:row>
    <x:row r="6">
      <x:c r="A6" s="28" t="str">
        <x:v>Required ID</x:v>
      </x:c>
      <x:c r="B6" s="31" t="n">
        <x:f>SQRT(4*B5/(PI()*Controls!B19))</x:f>
        <x:v>0.858387115607088</x:v>
      </x:c>
      <x:c r="C6" s="28" t="str">
        <x:v>m</x:v>
      </x:c>
      <x:c r="D6" s="28" t="str">
        <x:v>sqrt(4Q/πv)</x:v>
      </x:c>
      <x:c r="E6" s="28" t="str">
        <x:v>Derived</x:v>
      </x:c>
      <x:c r="F6" s="28" t="str"/>
    </x:row>
    <x:row r="7">
      <x:c r="A7" s="28" t="str">
        <x:v>Wall thickness</x:v>
      </x:c>
      <x:c r="B7" s="31" t="n">
        <x:f>Controls!B20/Controls!B21</x:f>
        <x:v>0.058823529411764705</x:v>
      </x:c>
      <x:c r="C7" s="28" t="str">
        <x:v>m</x:v>
      </x:c>
      <x:c r="D7" s="28" t="str">
        <x:v>OD/DR</x:v>
      </x:c>
      <x:c r="E7" s="28" t="str">
        <x:v>Derived</x:v>
      </x:c>
      <x:c r="F7" s="28" t="str"/>
    </x:row>
    <x:row r="8">
      <x:c r="A8" s="28" t="str">
        <x:v>Actual ID</x:v>
      </x:c>
      <x:c r="B8" s="31" t="n">
        <x:f>Controls!B20-2*B7</x:f>
        <x:v>0.8823529411764706</x:v>
      </x:c>
      <x:c r="C8" s="28" t="str">
        <x:v>m</x:v>
      </x:c>
      <x:c r="D8" s="28" t="str">
        <x:v>OD-2t</x:v>
      </x:c>
      <x:c r="E8" s="28" t="str">
        <x:v>Derived</x:v>
      </x:c>
      <x:c r="F8" s="28" t="str"/>
    </x:row>
    <x:row r="9">
      <x:c r="A9" s="28" t="str">
        <x:v>Actual velocity</x:v>
      </x:c>
      <x:c r="B9" s="31" t="n">
        <x:f>B5/(PI()*B8^2/4)</x:f>
        <x:v>1.892830393150525</x:v>
      </x:c>
      <x:c r="C9" s="28" t="str">
        <x:v>m/s</x:v>
      </x:c>
      <x:c r="D9" s="28" t="str">
        <x:v>Q/area</x:v>
      </x:c>
      <x:c r="E9" s="28" t="str">
        <x:v>Derived</x:v>
      </x:c>
      <x:c r="F9" s="28" t="str"/>
    </x:row>
    <x:row r="10">
      <x:c r="A10" s="28" t="str">
        <x:v>Material area</x:v>
      </x:c>
      <x:c r="B10" s="31" t="n">
        <x:f>PI()/4*(Controls!B20^2-B8^2)</x:f>
        <x:v>0.17392900504303357</x:v>
      </x:c>
      <x:c r="C10" s="28" t="str">
        <x:v>m²</x:v>
      </x:c>
      <x:c r="D10" s="28" t="str">
        <x:v>annulus</x:v>
      </x:c>
      <x:c r="E10" s="28" t="str">
        <x:v>Derived</x:v>
      </x:c>
      <x:c r="F10" s="28" t="str"/>
    </x:row>
    <x:row r="11">
      <x:c r="A11" s="28" t="str">
        <x:v>Linear mass</x:v>
      </x:c>
      <x:c r="B11" s="31" t="n">
        <x:f>B10*Controls!B22</x:f>
        <x:v>165.2325547908819</x:v>
      </x:c>
      <x:c r="C11" s="28" t="str">
        <x:v>kg/m</x:v>
      </x:c>
      <x:c r="D11" s="28" t="str">
        <x:v>area×density</x:v>
      </x:c>
      <x:c r="E11" s="28" t="str">
        <x:v>Derived</x:v>
      </x:c>
      <x:c r="F11" s="28" t="str"/>
    </x:row>
    <x:row r="12">
      <x:c r="A12" s="28" t="str">
        <x:v>Base pipe mass</x:v>
      </x:c>
      <x:c r="B12" s="31" t="n">
        <x:f>B11*Controls!B18*1000/1000</x:f>
        <x:v>4956.976643726457</x:v>
      </x:c>
      <x:c r="C12" s="28" t="str">
        <x:v>tonnes</x:v>
      </x:c>
      <x:c r="D12" s="28" t="str">
        <x:v>mass×length</x:v>
      </x:c>
      <x:c r="E12" s="28" t="str">
        <x:v>Derived</x:v>
      </x:c>
      <x:c r="F12" s="28" t="str">
        <x:v>Before joints/reserve</x:v>
      </x:c>
    </x:row>
    <x:row r="13">
      <x:c r="A13" s="28" t="str">
        <x:v>Friction head</x:v>
      </x:c>
      <x:c r="B13" s="31" t="n">
        <x:f>Controls!B23*(Controls!B18*1000/B8)*(B9^2/(2*9.81))</x:f>
        <x:v>93.13106613606163</x:v>
      </x:c>
      <x:c r="C13" s="28" t="str">
        <x:v>m</x:v>
      </x:c>
      <x:c r="D13" s="28" t="str">
        <x:v>Darcy–Weisbach</x:v>
      </x:c>
      <x:c r="E13" s="28" t="str">
        <x:v>Screen</x:v>
      </x:c>
      <x:c r="F13" s="28" t="str">
        <x:v>Steady only</x:v>
      </x:c>
    </x:row>
    <x:row r="14">
      <x:c r="A14" s="28" t="str">
        <x:v>Total dynamic head</x:v>
      </x:c>
      <x:c r="B14" s="31" t="n">
        <x:f>B13+Controls!B24</x:f>
        <x:v>143.13106613606163</x:v>
      </x:c>
      <x:c r="C14" s="28" t="str">
        <x:v>m</x:v>
      </x:c>
      <x:c r="D14" s="28" t="str">
        <x:v>friction+static</x:v>
      </x:c>
      <x:c r="E14" s="28" t="str">
        <x:v>Screen</x:v>
      </x:c>
      <x:c r="F14" s="28" t="str">
        <x:v>Survey open</x:v>
      </x:c>
    </x:row>
    <x:row r="15">
      <x:c r="A15" s="28" t="str">
        <x:v>Hydraulic power</x:v>
      </x:c>
      <x:c r="B15" s="31" t="n">
        <x:f>1000*9.81*B5*B14/Controls!B25/1000000</x:f>
        <x:v>2.1668453067820446</x:v>
      </x:c>
      <x:c r="C15" s="28" t="str">
        <x:v>MW</x:v>
      </x:c>
      <x:c r="D15" s="28" t="str">
        <x:v>ρgQH/η</x:v>
      </x:c>
      <x:c r="E15" s="28" t="str">
        <x:v>Screen</x:v>
      </x:c>
      <x:c r="F15" s="28" t="str">
        <x:v>Before distribution</x:v>
      </x:c>
    </x:row>
    <x:row r="16">
      <x:c r="A16" s="28" t="str">
        <x:v>Installed pump power</x:v>
      </x:c>
      <x:c r="B16" s="31" t="n">
        <x:f>B15*(1+Controls!B26)</x:f>
        <x:v>2.7085566334775555</x:v>
      </x:c>
      <x:c r="C16" s="28" t="str">
        <x:v>MW</x:v>
      </x:c>
      <x:c r="D16" s="28" t="str">
        <x:v>power×reserve</x:v>
      </x:c>
      <x:c r="E16" s="28" t="str">
        <x:v>Screen</x:v>
      </x:c>
      <x:c r="F16" s="28" t="str">
        <x:v>Equipment open</x:v>
      </x:c>
    </x:row>
    <x:row r="17">
      <x:c r="A17" s="28"/>
      <x:c r="B17" s="31"/>
      <x:c r="C17" s="28"/>
      <x:c r="D17" s="28"/>
      <x:c r="E17" s="28"/>
      <x:c r="F17" s="28"/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12" hidden="0" customWidth="1"/>
    <x:col min="4" max="4" width="42" hidden="0" customWidth="1"/>
    <x:col min="5" max="5" width="34" hidden="0" customWidth="1"/>
  </x:cols>
  <x:sheetData>
    <x:row r="1" ht="30" customHeight="1">
      <x:c r="A1" s="2" t="str">
        <x:v>Shore power interface</x:v>
      </x:c>
      <x:c r="B1" s="26"/>
      <x:c r="C1" s="26"/>
      <x:c r="D1" s="26"/>
      <x:c r="E1" s="26"/>
    </x:row>
    <x:row r="2" ht="34" customHeight="1">
      <x:c r="A2" s="5" t="str">
        <x:v>Current comparison, not a selected one-line or cable.</x:v>
      </x:c>
      <x:c r="B2" s="26"/>
      <x:c r="C2" s="26"/>
      <x:c r="D2" s="26"/>
      <x:c r="E2" s="26"/>
    </x:row>
    <x:row r="3">
      <x:c r="A3" s="26"/>
      <x:c r="B3" s="26"/>
      <x:c r="C3" s="26"/>
      <x:c r="D3" s="26"/>
      <x:c r="E3" s="26"/>
    </x:row>
    <x:row r="4">
      <x:c r="A4" s="27" t="str">
        <x:v>Metric</x:v>
      </x:c>
      <x:c r="B4" s="27" t="str">
        <x:v>Result</x:v>
      </x:c>
      <x:c r="C4" s="27" t="str">
        <x:v>Unit</x:v>
      </x:c>
      <x:c r="D4" s="27" t="str">
        <x:v>Basis</x:v>
      </x:c>
      <x:c r="E4" s="27" t="str">
        <x:v>Open work</x:v>
      </x:c>
    </x:row>
    <x:row r="5">
      <x:c r="A5" s="28" t="str">
        <x:v>Export</x:v>
      </x:c>
      <x:c r="B5" s="31" t="n">
        <x:f>Controls!B10</x:f>
        <x:v>100</x:v>
      </x:c>
      <x:c r="C5" s="28" t="str">
        <x:v>MW</x:v>
      </x:c>
      <x:c r="D5" s="28" t="str">
        <x:v>Controls</x:v>
      </x:c>
      <x:c r="E5" s="28" t="str">
        <x:v>Load blocks</x:v>
      </x:c>
    </x:row>
    <x:row r="6">
      <x:c r="A6" s="28" t="str">
        <x:v>Power factor</x:v>
      </x:c>
      <x:c r="B6" s="31" t="n">
        <x:f>Controls!B29</x:f>
        <x:v>0.95</x:v>
      </x:c>
      <x:c r="C6" s="28" t="str">
        <x:v>ratio</x:v>
      </x:c>
      <x:c r="D6" s="28" t="str">
        <x:v>Controls</x:v>
      </x:c>
      <x:c r="E6" s="28" t="str">
        <x:v>Reactive behavior</x:v>
      </x:c>
    </x:row>
    <x:row r="7">
      <x:c r="A7" s="28" t="str">
        <x:v>Current at 34.5 kV</x:v>
      </x:c>
      <x:c r="B7" s="31" t="n">
        <x:f>B5*1000000/(SQRT(3)*Controls!B27*1000*B6)</x:f>
        <x:v>1761.5568853993161</x:v>
      </x:c>
      <x:c r="C7" s="28" t="str">
        <x:v>A</x:v>
      </x:c>
      <x:c r="D7" s="28" t="str">
        <x:v>P/(√3Vpf)</x:v>
      </x:c>
      <x:c r="E7" s="28" t="str">
        <x:v>Cable/fault</x:v>
      </x:c>
    </x:row>
    <x:row r="8">
      <x:c r="A8" s="28" t="str">
        <x:v>Current at 115 kV</x:v>
      </x:c>
      <x:c r="B8" s="31" t="n">
        <x:f>B5*1000000/(SQRT(3)*Controls!B28*1000*B6)</x:f>
        <x:v>528.4670656197948</x:v>
      </x:c>
      <x:c r="C8" s="28" t="str">
        <x:v>A</x:v>
      </x:c>
      <x:c r="D8" s="28" t="str">
        <x:v>P/(√3Vpf)</x:v>
      </x:c>
      <x:c r="E8" s="28" t="str">
        <x:v>Cable/fault</x:v>
      </x:c>
    </x:row>
    <x:row r="9">
      <x:c r="A9" s="28" t="str">
        <x:v>Current ratio</x:v>
      </x:c>
      <x:c r="B9" s="31" t="n">
        <x:f>B7/B8</x:f>
        <x:v>3.333333333333334</x:v>
      </x:c>
      <x:c r="C9" s="28" t="str">
        <x:v>ratio</x:v>
      </x:c>
      <x:c r="D9" s="28" t="str">
        <x:v>I34.5/I115</x:v>
      </x:c>
      <x:c r="E9" s="28" t="str">
        <x:v>Converters/protection</x:v>
      </x:c>
    </x:row>
    <x:row r="10">
      <x:c r="A10" s="28" t="str">
        <x:v>Decision</x:v>
      </x:c>
      <x:c r="B10" s="28" t="str">
        <x:v>No voltage selected</x:v>
      </x:c>
      <x:c r="C10" s="28" t="str">
        <x:v>text</x:v>
      </x:c>
      <x:c r="D10" s="28" t="str">
        <x:v>Site and full electrical study</x:v>
      </x:c>
      <x:c r="E10" s="28" t="str">
        <x:v>One-line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2" hidden="0" customWidth="1"/>
    <x:col min="3" max="3" width="40" hidden="0" customWidth="1"/>
    <x:col min="4" max="4" width="28" hidden="0" customWidth="1"/>
    <x:col min="5" max="5" width="30" hidden="0" customWidth="1"/>
    <x:col min="6" max="6" width="26" hidden="0" customWidth="1"/>
    <x:col min="7" max="7" width="26" hidden="0" customWidth="1"/>
  </x:cols>
  <x:sheetData>
    <x:row r="1" ht="30" customHeight="1">
      <x:c r="A1" s="2" t="str">
        <x:v>Deployment phases</x:v>
      </x:c>
      <x:c r="B1" s="26"/>
      <x:c r="C1" s="26"/>
      <x:c r="D1" s="26"/>
      <x:c r="E1" s="26"/>
      <x:c r="F1" s="26"/>
      <x:c r="G1" s="26"/>
    </x:row>
    <x:row r="2" ht="34" customHeight="1">
      <x:c r="A2" s="5" t="str">
        <x:v>The core moves only after the receiving envelope is confirmed.</x:v>
      </x:c>
      <x:c r="B2" s="26"/>
      <x:c r="C2" s="26"/>
      <x:c r="D2" s="26"/>
      <x:c r="E2" s="26"/>
      <x:c r="F2" s="26"/>
      <x:c r="G2" s="26"/>
    </x:row>
    <x:row r="3">
      <x:c r="A3" s="26"/>
      <x:c r="B3" s="26"/>
      <x:c r="C3" s="26"/>
      <x:c r="D3" s="26"/>
      <x:c r="E3" s="26"/>
      <x:c r="F3" s="26"/>
      <x:c r="G3" s="26"/>
    </x:row>
    <x:row r="4">
      <x:c r="A4" s="27" t="str">
        <x:v>Phase</x:v>
      </x:c>
      <x:c r="B4" s="27" t="str">
        <x:v>State</x:v>
      </x:c>
      <x:c r="C4" s="27" t="str">
        <x:v>Action</x:v>
      </x:c>
      <x:c r="D4" s="27" t="str">
        <x:v>Entry</x:v>
      </x:c>
      <x:c r="E4" s="27" t="str">
        <x:v>Exit</x:v>
      </x:c>
      <x:c r="F4" s="27" t="str">
        <x:v>Nuclear posture</x:v>
      </x:c>
      <x:c r="G4" s="27" t="str">
        <x:v>Risk</x:v>
      </x:c>
    </x:row>
    <x:row r="5">
      <x:c r="A5" s="28" t="str">
        <x:v>0</x:v>
      </x:c>
      <x:c r="B5" s="28" t="str">
        <x:v>Preparation</x:v>
      </x:c>
      <x:c r="C5" s="28" t="str">
        <x:v>License, survey, exercise, peacetime use</x:v>
      </x:c>
      <x:c r="D5" s="28" t="str">
        <x:v>Permanent program</x:v>
      </x:c>
      <x:c r="E5" s="28" t="str">
        <x:v>Destination selected</x:v>
      </x:c>
      <x:c r="F5" s="28" t="str">
        <x:v>Home node operation</x:v>
      </x:c>
      <x:c r="G5" s="28" t="str">
        <x:v>Paper readiness</x:v>
      </x:c>
    </x:row>
    <x:row r="6">
      <x:c r="A6" s="28" t="str">
        <x:v>1</x:v>
      </x:c>
      <x:c r="B6" s="28" t="str">
        <x:v>Local bridge</x:v>
      </x:c>
      <x:c r="C6" s="28" t="str">
        <x:v>WRG/PRG/repair survival service</x:v>
      </x:c>
      <x:c r="D6" s="28" t="str">
        <x:v>Incident</x:v>
      </x:c>
      <x:c r="E6" s="28" t="str">
        <x:v>Strategic duration confirmed</x:v>
      </x:c>
      <x:c r="F6" s="28" t="str">
        <x:v>Held</x:v>
      </x:c>
      <x:c r="G6" s="28" t="str">
        <x:v>Premature dispatch</x:v>
      </x:c>
    </x:row>
    <x:row r="7">
      <x:c r="A7" s="28" t="str">
        <x:v>2</x:v>
      </x:c>
      <x:c r="B7" s="28" t="str">
        <x:v>Theater opening</x:v>
      </x:c>
      <x:c r="C7" s="28" t="str">
        <x:v>Port, mooring, cable, process, corridor</x:v>
      </x:c>
      <x:c r="D7" s="28" t="str">
        <x:v>Node likely usable</x:v>
      </x:c>
      <x:c r="E7" s="28" t="str">
        <x:v>Independent release</x:v>
      </x:c>
      <x:c r="F7" s="28" t="str">
        <x:v>Held/safe transit</x:v>
      </x:c>
      <x:c r="G7" s="28" t="str">
        <x:v>Site failure</x:v>
      </x:c>
    </x:row>
    <x:row r="8">
      <x:c r="A8" s="28" t="str">
        <x:v>3</x:v>
      </x:c>
      <x:c r="B8" s="28" t="str">
        <x:v>Strategic utility</x:v>
      </x:c>
      <x:c r="C8" s="28" t="str">
        <x:v>Connect and add load blocks</x:v>
      </x:c>
      <x:c r="D8" s="28" t="str">
        <x:v>All concur</x:v>
      </x:c>
      <x:c r="E8" s="28" t="str">
        <x:v>Replacement available</x:v>
      </x:c>
      <x:c r="F8" s="28" t="str">
        <x:v>Licensed operation</x:v>
      </x:c>
      <x:c r="G8" s="28" t="str">
        <x:v>Interface fault</x:v>
      </x:c>
    </x:row>
    <x:row r="9">
      <x:c r="A9" s="28" t="str">
        <x:v>4</x:v>
      </x:c>
      <x:c r="B9" s="28" t="str">
        <x:v>Transfer/regeneration</x:v>
      </x:c>
      <x:c r="C9" s="28" t="str">
        <x:v>Handover, recover, restore, depot</x:v>
      </x:c>
      <x:c r="D9" s="28" t="str">
        <x:v>Stable local system</x:v>
      </x:c>
      <x:c r="E9" s="28" t="str">
        <x:v>Site/configuration closed</x:v>
      </x:c>
      <x:c r="F9" s="28" t="str">
        <x:v>Shutdown/transit/depot</x:v>
      </x:c>
      <x:c r="G9" s="28" t="str">
        <x:v>Premature exit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16" hidden="0" customWidth="1"/>
    <x:col min="6" max="6" width="28" hidden="0" customWidth="1"/>
  </x:cols>
  <x:sheetData>
    <x:row r="1" ht="30" customHeight="1">
      <x:c r="A1" s="2" t="str">
        <x:v>Fleet availability screen</x:v>
      </x:c>
      <x:c r="B1" s="26"/>
      <x:c r="C1" s="26"/>
      <x:c r="D1" s="26"/>
      <x:c r="E1" s="26"/>
      <x:c r="F1" s="26"/>
    </x:row>
    <x:row r="2" ht="34" customHeight="1">
      <x:c r="A2" s="5" t="str">
        <x:v>Independent identical availability is optimistic; common holds remain open.</x:v>
      </x:c>
      <x:c r="B2" s="26"/>
      <x:c r="C2" s="26"/>
      <x:c r="D2" s="26"/>
      <x:c r="E2" s="26"/>
      <x:c r="F2" s="26"/>
    </x:row>
    <x:row r="3">
      <x:c r="A3" s="26"/>
      <x:c r="B3" s="26"/>
      <x:c r="C3" s="26"/>
      <x:c r="D3" s="26"/>
      <x:c r="E3" s="26"/>
      <x:c r="F3" s="26"/>
    </x:row>
    <x:row r="4">
      <x:c r="A4" s="27" t="str">
        <x:v>Inventory</x:v>
      </x:c>
      <x:c r="B4" s="27" t="str">
        <x:v>Unit availability</x:v>
      </x:c>
      <x:c r="C4" s="27" t="str">
        <x:v>Expected available</x:v>
      </x:c>
      <x:c r="D4" s="27" t="str">
        <x:v>P(at least 3)</x:v>
      </x:c>
      <x:c r="E4" s="27" t="str">
        <x:v>Meets 95%</x:v>
      </x:c>
      <x:c r="F4" s="27" t="str">
        <x:v>Note</x:v>
      </x:c>
    </x:row>
    <x:row r="5">
      <x:c r="A5" s="28" t="n">
        <x:v>3</x:v>
      </x:c>
      <x:c r="B5" s="33" t="n">
        <x:f>Controls!B31</x:f>
        <x:v>0.65</x:v>
      </x:c>
      <x:c r="C5" s="33" t="n">
        <x:f>A5*B5</x:f>
        <x:v>1.9500000000000002</x:v>
      </x:c>
      <x:c r="D5" s="33" t="n">
        <x:f>1-(1-B5)^A5-A5*B5*(1-B5)^(A5-1)-COMBIN(A5,2)*B5^2*(1-B5)^(A5-2)</x:f>
        <x:v>0.27462500000000006</x:v>
      </x:c>
      <x:c r="E5" s="28" t="str">
        <x:f>IF(D5&gt;=0.95,"PASS","OPEN")</x:f>
        <x:v>OPEN</x:v>
      </x:c>
      <x:c r="F5" s="28" t="str"/>
    </x:row>
    <x:row r="6">
      <x:c r="A6" s="28" t="n">
        <x:v>4</x:v>
      </x:c>
      <x:c r="B6" s="33" t="n">
        <x:f>Controls!B31</x:f>
        <x:v>0.65</x:v>
      </x:c>
      <x:c r="C6" s="33" t="n">
        <x:f>A6*B6</x:f>
        <x:v>2.6</x:v>
      </x:c>
      <x:c r="D6" s="33" t="n">
        <x:f>1-(1-B6)^A6-A6*B6*(1-B6)^(A6-1)-COMBIN(A6,2)*B6^2*(1-B6)^(A6-2)</x:f>
        <x:v>0.56298125</x:v>
      </x:c>
      <x:c r="E6" s="28" t="str">
        <x:f>IF(D6&gt;=0.95,"PASS","OPEN")</x:f>
        <x:v>OPEN</x:v>
      </x:c>
      <x:c r="F6" s="28" t="str"/>
    </x:row>
    <x:row r="7">
      <x:c r="A7" s="28" t="n">
        <x:v>5</x:v>
      </x:c>
      <x:c r="B7" s="33" t="n">
        <x:f>Controls!B31</x:f>
        <x:v>0.65</x:v>
      </x:c>
      <x:c r="C7" s="33" t="n">
        <x:f>A7*B7</x:f>
        <x:v>3.25</x:v>
      </x:c>
      <x:c r="D7" s="33" t="n">
        <x:f>1-(1-B7)^A7-A7*B7*(1-B7)^(A7-1)-COMBIN(A7,2)*B7^2*(1-B7)^(A7-2)</x:f>
        <x:v>0.7648306250000001</x:v>
      </x:c>
      <x:c r="E7" s="28" t="str">
        <x:f>IF(D7&gt;=0.95,"PASS","OPEN")</x:f>
        <x:v>OPEN</x:v>
      </x:c>
      <x:c r="F7" s="28" t="str"/>
    </x:row>
    <x:row r="8">
      <x:c r="A8" s="28" t="n">
        <x:v>6</x:v>
      </x:c>
      <x:c r="B8" s="33" t="n">
        <x:f>Controls!B31</x:f>
        <x:v>0.65</x:v>
      </x:c>
      <x:c r="C8" s="33" t="n">
        <x:f>A8*B8</x:f>
        <x:v>3.9000000000000004</x:v>
      </x:c>
      <x:c r="D8" s="33" t="n">
        <x:f>1-(1-B8)^A8-A8*B8*(1-B8)^(A8-1)-COMBIN(A8,2)*B8^2*(1-B8)^(A8-2)</x:f>
        <x:v>0.88257609375</x:v>
      </x:c>
      <x:c r="E8" s="28" t="str">
        <x:f>IF(D8&gt;=0.95,"PASS","OPEN")</x:f>
        <x:v>OPEN</x:v>
      </x:c>
      <x:c r="F8" s="28" t="str"/>
    </x:row>
    <x:row r="9">
      <x:c r="A9" s="28" t="n">
        <x:v>7</x:v>
      </x:c>
      <x:c r="B9" s="33" t="n">
        <x:f>Controls!B31</x:f>
        <x:v>0.65</x:v>
      </x:c>
      <x:c r="C9" s="33" t="n">
        <x:f>A9*B9</x:f>
        <x:v>4.55</x:v>
      </x:c>
      <x:c r="D9" s="33" t="n">
        <x:f>1-(1-B9)^A9-A9*B9*(1-B9)^(A9-1)-COMBIN(A9,2)*B9^2*(1-B9)^(A9-2)</x:f>
        <x:v>0.94439246484375</x:v>
      </x:c>
      <x:c r="E9" s="28" t="str">
        <x:f>IF(D9&gt;=0.95,"PASS","OPEN")</x:f>
        <x:v>OPEN</x:v>
      </x:c>
      <x:c r="F9" s="28" t="str"/>
    </x:row>
    <x:row r="10">
      <x:c r="A10" s="28" t="n">
        <x:v>8</x:v>
      </x:c>
      <x:c r="B10" s="33" t="n">
        <x:f>Controls!B31</x:f>
        <x:v>0.65</x:v>
      </x:c>
      <x:c r="C10" s="33" t="n">
        <x:f>A10*B10</x:f>
        <x:v>5.2</x:v>
      </x:c>
      <x:c r="D10" s="33" t="n">
        <x:f>1-(1-B10)^A10-A10*B10*(1-B10)^(A10-1)-COMBIN(A10,2)*B10^2*(1-B10)^(A10-2)</x:f>
        <x:v>0.9746824866796875</x:v>
      </x:c>
      <x:c r="E10" s="28" t="str">
        <x:f>IF(D10&gt;=0.95,"PASS","OPEN")</x:f>
        <x:v>PASS</x:v>
      </x:c>
      <x:c r="F10" s="28" t="str">
        <x:v>Reference</x:v>
      </x:c>
    </x:row>
    <x:row r="11">
      <x:c r="A11" s="28" t="n">
        <x:v>9</x:v>
      </x:c>
      <x:c r="B11" s="33" t="n">
        <x:f>Controls!B31</x:f>
        <x:v>0.65</x:v>
      </x:c>
      <x:c r="C11" s="33" t="n">
        <x:f>A11*B11</x:f>
        <x:v>5.8500000000000005</x:v>
      </x:c>
      <x:c r="D11" s="33" t="n">
        <x:f>1-(1-B11)^A11-A11*B11*(1-B11)^(A11-1)-COMBIN(A11,2)*B11^2*(1-B11)^(A11-2)</x:f>
        <x:v>0.9888178302031251</x:v>
      </x:c>
      <x:c r="E11" s="28" t="str">
        <x:f>IF(D11&gt;=0.95,"PASS","OPEN")</x:f>
        <x:v>PASS</x:v>
      </x:c>
      <x:c r="F11" s="28" t="str"/>
    </x:row>
    <x:row r="12">
      <x:c r="A12" s="28" t="n">
        <x:v>10</x:v>
      </x:c>
      <x:c r="B12" s="33" t="n">
        <x:f>Controls!B31</x:f>
        <x:v>0.65</x:v>
      </x:c>
      <x:c r="C12" s="33" t="n">
        <x:f>A12*B12</x:f>
        <x:v>6.5</x:v>
      </x:c>
      <x:c r="D12" s="33" t="n">
        <x:f>1-(1-B12)^A12-A12*B12*(1-B12)^(A12-1)-COMBIN(A12,2)*B12^2*(1-B12)^(A12-2)</x:f>
        <x:v>0.9951787347886718</x:v>
      </x:c>
      <x:c r="E12" s="28" t="str">
        <x:f>IF(D12&gt;=0.95,"PASS","OPEN")</x:f>
        <x:v>PASS</x:v>
      </x:c>
      <x:c r="F12" s="28" t="str"/>
    </x:row>
  </x:sheetData>
  <x:mergeCells>
    <x:mergeCell ref="A1:F1"/>
    <x:mergeCell ref="A2:F2"/>
  </x:mergeCells>
  <x:conditionalFormatting sqref="E5:E12">
    <x:cfRule type="containsText" dxfId="0" priority="1" operator="containsText" text="PASS"/>
    <x:cfRule type="containsText" dxfId="1" priority="2" operator="containsText" text="OPEN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18" hidden="0" customWidth="1"/>
    <x:col min="3" max="3" width="22" hidden="0" customWidth="1"/>
    <x:col min="4" max="4" width="14" hidden="0" customWidth="1"/>
    <x:col min="5" max="5" width="32" hidden="0" customWidth="1"/>
    <x:col min="6" max="6" width="16" hidden="0" customWidth="1"/>
  </x:cols>
  <x:sheetData>
    <x:row r="1" ht="30" customHeight="1">
      <x:c r="A1" s="2" t="str">
        <x:v>Workforce screen</x:v>
      </x:c>
      <x:c r="B1" s="26"/>
      <x:c r="C1" s="26"/>
      <x:c r="D1" s="26"/>
      <x:c r="E1" s="26"/>
      <x:c r="F1" s="26"/>
    </x:row>
    <x:row r="2" ht="34" customHeight="1">
      <x:c r="A2" s="5" t="str">
        <x:v>One deployed formation and mature national depth.</x:v>
      </x:c>
      <x:c r="B2" s="26"/>
      <x:c r="C2" s="26"/>
      <x:c r="D2" s="26"/>
      <x:c r="E2" s="26"/>
      <x:c r="F2" s="26"/>
    </x:row>
    <x:row r="3">
      <x:c r="A3" s="26"/>
      <x:c r="B3" s="26"/>
      <x:c r="C3" s="26"/>
      <x:c r="D3" s="26"/>
      <x:c r="E3" s="26"/>
      <x:c r="F3" s="26"/>
    </x:row>
    <x:row r="4">
      <x:c r="A4" s="27" t="str">
        <x:v>Block</x:v>
      </x:c>
      <x:c r="B4" s="27" t="str">
        <x:v>Deployed</x:v>
      </x:c>
      <x:c r="C4" s="27" t="str">
        <x:v>Qualification</x:v>
      </x:c>
      <x:c r="D4" s="27" t="str">
        <x:v>24/7 share</x:v>
      </x:c>
      <x:c r="E4" s="27" t="str">
        <x:v>Bottleneck</x:v>
      </x:c>
      <x:c r="F4" s="27" t="str">
        <x:v>State</x:v>
      </x:c>
    </x:row>
    <x:row r="5">
      <x:c r="A5" s="28" t="str">
        <x:v>Nuclear operations/maintenance</x:v>
      </x:c>
      <x:c r="B5" s="28" t="n">
        <x:v>620</x:v>
      </x:c>
      <x:c r="C5" s="28" t="str">
        <x:v>Very high</x:v>
      </x:c>
      <x:c r="D5" s="34" t="n">
        <x:v>0.75</x:v>
      </x:c>
      <x:c r="E5" s="28" t="str">
        <x:v>Licensed pipeline</x:v>
      </x:c>
      <x:c r="F5" s="28" t="str">
        <x:v>Open</x:v>
      </x:c>
    </x:row>
    <x:row r="6">
      <x:c r="A6" s="28" t="str">
        <x:v>Engineering/chemistry/radiological</x:v>
      </x:c>
      <x:c r="B6" s="28" t="n">
        <x:v>240</x:v>
      </x:c>
      <x:c r="C6" s="28" t="str">
        <x:v>Very high</x:v>
      </x:c>
      <x:c r="D6" s="34" t="n">
        <x:v>0.65</x:v>
      </x:c>
      <x:c r="E6" s="28" t="str">
        <x:v>Specialists</x:v>
      </x:c>
      <x:c r="F6" s="28" t="str">
        <x:v>Open</x:v>
      </x:c>
    </x:row>
    <x:row r="7">
      <x:c r="A7" s="28" t="str">
        <x:v>Security</x:v>
      </x:c>
      <x:c r="B7" s="28" t="n">
        <x:v>300</x:v>
      </x:c>
      <x:c r="C7" s="28" t="str">
        <x:v>High</x:v>
      </x:c>
      <x:c r="D7" s="34" t="n">
        <x:v>0.8</x:v>
      </x:c>
      <x:c r="E7" s="28" t="str">
        <x:v>Sustained watches</x:v>
      </x:c>
      <x:c r="F7" s="28" t="str">
        <x:v>Open</x:v>
      </x:c>
    </x:row>
    <x:row r="8">
      <x:c r="A8" s="28" t="str">
        <x:v>Deck/propulsion/marine</x:v>
      </x:c>
      <x:c r="B8" s="28" t="n">
        <x:v>280</x:v>
      </x:c>
      <x:c r="C8" s="28" t="str">
        <x:v>High</x:v>
      </x:c>
      <x:c r="D8" s="34" t="n">
        <x:v>0.7</x:v>
      </x:c>
      <x:c r="E8" s="28" t="str">
        <x:v>Crossover skills</x:v>
      </x:c>
      <x:c r="F8" s="28" t="str">
        <x:v>Open</x:v>
      </x:c>
    </x:row>
    <x:row r="9">
      <x:c r="A9" s="28" t="str">
        <x:v>Electrical/grid/interface</x:v>
      </x:c>
      <x:c r="B9" s="28" t="n">
        <x:v>210</x:v>
      </x:c>
      <x:c r="C9" s="28" t="str">
        <x:v>High</x:v>
      </x:c>
      <x:c r="D9" s="34" t="n">
        <x:v>0.7</x:v>
      </x:c>
      <x:c r="E9" s="28" t="str">
        <x:v>Protection</x:v>
      </x:c>
      <x:c r="F9" s="28" t="str">
        <x:v>Open</x:v>
      </x:c>
    </x:row>
    <x:row r="10">
      <x:c r="A10" s="28" t="str">
        <x:v>Water process/lab</x:v>
      </x:c>
      <x:c r="B10" s="28" t="n">
        <x:v>240</x:v>
      </x:c>
      <x:c r="C10" s="28" t="str">
        <x:v>High</x:v>
      </x:c>
      <x:c r="D10" s="34" t="n">
        <x:v>0.7</x:v>
      </x:c>
      <x:c r="E10" s="28" t="str">
        <x:v>Quality release</x:v>
      </x:c>
      <x:c r="F10" s="28" t="str">
        <x:v>Open</x:v>
      </x:c>
    </x:row>
    <x:row r="11">
      <x:c r="A11" s="28" t="str">
        <x:v>Pipe/civil works</x:v>
      </x:c>
      <x:c r="B11" s="28" t="n">
        <x:v>300</x:v>
      </x:c>
      <x:c r="C11" s="28" t="str">
        <x:v>Medium-high</x:v>
      </x:c>
      <x:c r="D11" s="34" t="n">
        <x:v>0.45</x:v>
      </x:c>
      <x:c r="E11" s="28" t="str">
        <x:v>Large-bore build</x:v>
      </x:c>
      <x:c r="F11" s="28" t="str">
        <x:v>Open</x:v>
      </x:c>
    </x:row>
    <x:row r="12">
      <x:c r="A12" s="28" t="str">
        <x:v>Environment/public/civil</x:v>
      </x:c>
      <x:c r="B12" s="28" t="n">
        <x:v>110</x:v>
      </x:c>
      <x:c r="C12" s="28" t="str">
        <x:v>High</x:v>
      </x:c>
      <x:c r="D12" s="34" t="n">
        <x:v>0.4</x:v>
      </x:c>
      <x:c r="E12" s="28" t="str">
        <x:v>Release/liaison</x:v>
      </x:c>
      <x:c r="F12" s="28" t="str">
        <x:v>Open</x:v>
      </x:c>
    </x:row>
    <x:row r="13">
      <x:c r="A13" s="28" t="str">
        <x:v>Logistics/comms/medical/command</x:v>
      </x:c>
      <x:c r="B13" s="28" t="n">
        <x:v>140</x:v>
      </x:c>
      <x:c r="C13" s="28" t="str">
        <x:v>Mixed</x:v>
      </x:c>
      <x:c r="D13" s="34" t="n">
        <x:v>0.55</x:v>
      </x:c>
      <x:c r="E13" s="28" t="str">
        <x:v>Joint support</x:v>
      </x:c>
      <x:c r="F13" s="28" t="str">
        <x:v>Open</x:v>
      </x:c>
    </x:row>
    <x:row r="14">
      <x:c r="A14" s="28" t="str">
        <x:v>One deployed formation</x:v>
      </x:c>
      <x:c r="B14" s="35" t="n">
        <x:f>SUM(B5:B13)</x:f>
        <x:v>2440</x:v>
      </x:c>
      <x:c r="C14" s="28" t="str"/>
      <x:c r="D14" s="28" t="str"/>
      <x:c r="E14" s="28" t="str"/>
      <x:c r="F14" s="28" t="str">
        <x:v>Derived</x:v>
      </x:c>
    </x:row>
    <x:row r="15">
      <x:c r="A15" s="28" t="str">
        <x:v>Rotational establishment</x:v>
      </x:c>
      <x:c r="B15" s="35" t="n">
        <x:f>B14*Controls!B33</x:f>
        <x:v>7808</x:v>
      </x:c>
      <x:c r="C15" s="28" t="str"/>
      <x:c r="D15" s="28" t="str"/>
      <x:c r="E15" s="28" t="str"/>
      <x:c r="F15" s="28" t="str">
        <x:v>Derived</x:v>
      </x:c>
    </x:row>
    <x:row r="16">
      <x:c r="A16" s="28" t="str">
        <x:v>Mature national workforce</x:v>
      </x:c>
      <x:c r="B16" s="35" t="n">
        <x:f>B15*(1+Controls!B34)*Controls!B35</x:f>
        <x:v>46848</x:v>
      </x:c>
      <x:c r="C16" s="28" t="str"/>
      <x:c r="D16" s="28" t="str"/>
      <x:c r="E16" s="28" t="str"/>
      <x:c r="F16" s="28" t="str">
        <x:v>Derived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12" hidden="0" customWidth="1"/>
    <x:col min="3" max="3" width="16" hidden="0" customWidth="1"/>
    <x:col min="4" max="4" width="18" hidden="0" customWidth="1"/>
    <x:col min="5" max="5" width="14" hidden="0" customWidth="1"/>
    <x:col min="6" max="6" width="18" hidden="0" customWidth="1"/>
    <x:col min="7" max="7" width="30" hidden="0" customWidth="1"/>
  </x:cols>
  <x:sheetData>
    <x:row r="1" ht="30" customHeight="1">
      <x:c r="A1" s="2" t="str">
        <x:v>$400B capital program</x:v>
      </x:c>
      <x:c r="B1" s="26"/>
      <x:c r="C1" s="26"/>
      <x:c r="D1" s="26"/>
      <x:c r="E1" s="26"/>
      <x:c r="F1" s="26"/>
      <x:c r="G1" s="26"/>
    </x:row>
    <x:row r="2" ht="34" customHeight="1">
      <x:c r="A2" s="5" t="str">
        <x:v>Rounded design assumptions; recurring operations excluded.</x:v>
      </x:c>
      <x:c r="B2" s="26"/>
      <x:c r="C2" s="26"/>
      <x:c r="D2" s="26"/>
      <x:c r="E2" s="26"/>
      <x:c r="F2" s="26"/>
      <x:c r="G2" s="26"/>
    </x:row>
    <x:row r="3">
      <x:c r="A3" s="26"/>
      <x:c r="B3" s="26"/>
      <x:c r="C3" s="26"/>
      <x:c r="D3" s="26"/>
      <x:c r="E3" s="26"/>
      <x:c r="F3" s="26"/>
      <x:c r="G3" s="26"/>
    </x:row>
    <x:row r="4">
      <x:c r="A4" s="27" t="str">
        <x:v>Cost object</x:v>
      </x:c>
      <x:c r="B4" s="27" t="str">
        <x:v>Qty</x:v>
      </x:c>
      <x:c r="C4" s="27" t="str">
        <x:v>Unit $B</x:v>
      </x:c>
      <x:c r="D4" s="27" t="str">
        <x:v>Extended $B</x:v>
      </x:c>
      <x:c r="E4" s="27" t="str">
        <x:v>Share</x:v>
      </x:c>
      <x:c r="F4" s="27" t="str">
        <x:v>Evidence</x:v>
      </x:c>
      <x:c r="G4" s="27" t="str">
        <x:v>Purpose</x:v>
      </x:c>
    </x:row>
    <x:row r="5">
      <x:c r="A5" s="28" t="str">
        <x:v>Nuclear energy cores</x:v>
      </x:c>
      <x:c r="B5" s="29" t="n">
        <x:v>8</x:v>
      </x:c>
      <x:c r="C5" s="36" t="n">
        <x:v>16</x:v>
      </x:c>
      <x:c r="D5" s="31" t="n">
        <x:f>B5*C5</x:f>
        <x:v>128</x:v>
      </x:c>
      <x:c r="E5" s="32" t="n">
        <x:f>D5/Controls!B36</x:f>
        <x:v>0.32</x:v>
      </x:c>
      <x:c r="F5" s="28" t="str">
        <x:v>Assumption</x:v>
      </x:c>
      <x:c r="G5" s="28" t="str">
        <x:v>NEC-300</x:v>
      </x:c>
    </x:row>
    <x:row r="6">
      <x:c r="A6" s="28" t="str">
        <x:v>Water-process barges</x:v>
      </x:c>
      <x:c r="B6" s="29" t="n">
        <x:v>16</x:v>
      </x:c>
      <x:c r="C6" s="36" t="n">
        <x:v>3</x:v>
      </x:c>
      <x:c r="D6" s="31" t="n">
        <x:f>B6*C6</x:f>
        <x:v>48</x:v>
      </x:c>
      <x:c r="E6" s="32" t="n">
        <x:f>D6/Controls!B36</x:f>
        <x:v>0.12</x:v>
      </x:c>
      <x:c r="F6" s="28" t="str">
        <x:v>Assumption</x:v>
      </x:c>
      <x:c r="G6" s="28" t="str">
        <x:v>Two/core</x:v>
      </x:c>
    </x:row>
    <x:row r="7">
      <x:c r="A7" s="28" t="str">
        <x:v>Shore-interface groups</x:v>
      </x:c>
      <x:c r="B7" s="29" t="n">
        <x:v>12</x:v>
      </x:c>
      <x:c r="C7" s="36" t="n">
        <x:v>1.5</x:v>
      </x:c>
      <x:c r="D7" s="31" t="n">
        <x:f>B7*C7</x:f>
        <x:v>18</x:v>
      </x:c>
      <x:c r="E7" s="32" t="n">
        <x:f>D7/Controls!B36</x:f>
        <x:v>0.045</x:v>
      </x:c>
      <x:c r="F7" s="28" t="str">
        <x:v>Assumption</x:v>
      </x:c>
      <x:c r="G7" s="28" t="str">
        <x:v>Landings</x:v>
      </x:c>
    </x:row>
    <x:row r="8">
      <x:c r="A8" s="28" t="str">
        <x:v>Utility-corridor groups</x:v>
      </x:c>
      <x:c r="B8" s="29" t="n">
        <x:v>24</x:v>
      </x:c>
      <x:c r="C8" s="36" t="n">
        <x:v>1.25</x:v>
      </x:c>
      <x:c r="D8" s="31" t="n">
        <x:f>B8*C8</x:f>
        <x:v>30</x:v>
      </x:c>
      <x:c r="E8" s="32" t="n">
        <x:f>D8/Controls!B36</x:f>
        <x:v>0.075</x:v>
      </x:c>
      <x:c r="F8" s="28" t="str">
        <x:v>Assumption</x:v>
      </x:c>
      <x:c r="G8" s="28" t="str">
        <x:v>Three/core</x:v>
      </x:c>
    </x:row>
    <x:row r="9">
      <x:c r="A9" s="28" t="str">
        <x:v>Storage/distribution groups</x:v>
      </x:c>
      <x:c r="B9" s="29" t="n">
        <x:v>16</x:v>
      </x:c>
      <x:c r="C9" s="36" t="n">
        <x:v>0.75</x:v>
      </x:c>
      <x:c r="D9" s="31" t="n">
        <x:f>B9*C9</x:f>
        <x:v>12</x:v>
      </x:c>
      <x:c r="E9" s="32" t="n">
        <x:f>D9/Controls!B36</x:f>
        <x:v>0.03</x:v>
      </x:c>
      <x:c r="F9" s="28" t="str">
        <x:v>Assumption</x:v>
      </x:c>
      <x:c r="G9" s="28" t="str">
        <x:v>District service</x:v>
      </x:c>
    </x:row>
    <x:row r="10">
      <x:c r="A10" s="28" t="str">
        <x:v>Marine support groups</x:v>
      </x:c>
      <x:c r="B10" s="29" t="n">
        <x:v>8</x:v>
      </x:c>
      <x:c r="C10" s="36" t="n">
        <x:v>2.5</x:v>
      </x:c>
      <x:c r="D10" s="31" t="n">
        <x:f>B10*C10</x:f>
        <x:v>20</x:v>
      </x:c>
      <x:c r="E10" s="32" t="n">
        <x:f>D10/Controls!B36</x:f>
        <x:v>0.05</x:v>
      </x:c>
      <x:c r="F10" s="28" t="str">
        <x:v>Assumption</x:v>
      </x:c>
      <x:c r="G10" s="28" t="str">
        <x:v>Tug/salvage/repair</x:v>
      </x:c>
    </x:row>
    <x:row r="11">
      <x:c r="A11" s="28" t="str">
        <x:v>Bases/safe harbors</x:v>
      </x:c>
      <x:c r="B11" s="29" t="n">
        <x:v>4</x:v>
      </x:c>
      <x:c r="C11" s="36" t="n">
        <x:v>10</x:v>
      </x:c>
      <x:c r="D11" s="31" t="n">
        <x:f>B11*C11</x:f>
        <x:v>40</x:v>
      </x:c>
      <x:c r="E11" s="32" t="n">
        <x:f>D11/Controls!B36</x:f>
        <x:v>0.1</x:v>
      </x:c>
      <x:c r="F11" s="28" t="str">
        <x:v>Assumption</x:v>
      </x:c>
      <x:c r="G11" s="28" t="str">
        <x:v>Posture</x:v>
      </x:c>
    </x:row>
    <x:row r="12">
      <x:c r="A12" s="28" t="str">
        <x:v>Depot/training complexes</x:v>
      </x:c>
      <x:c r="B12" s="29" t="n">
        <x:v>2</x:v>
      </x:c>
      <x:c r="C12" s="36" t="n">
        <x:v>15</x:v>
      </x:c>
      <x:c r="D12" s="31" t="n">
        <x:f>B12*C12</x:f>
        <x:v>30</x:v>
      </x:c>
      <x:c r="E12" s="32" t="n">
        <x:f>D12/Controls!B36</x:f>
        <x:v>0.075</x:v>
      </x:c>
      <x:c r="F12" s="28" t="str">
        <x:v>Assumption</x:v>
      </x:c>
      <x:c r="G12" s="28" t="str">
        <x:v>Refuel/overhaul/schools</x:v>
      </x:c>
    </x:row>
    <x:row r="13">
      <x:c r="A13" s="28" t="str">
        <x:v>R&amp;D/rival prototypes/test</x:v>
      </x:c>
      <x:c r="B13" s="29" t="n">
        <x:v>1</x:v>
      </x:c>
      <x:c r="C13" s="36" t="n">
        <x:v>34</x:v>
      </x:c>
      <x:c r="D13" s="31" t="n">
        <x:f>B13*C13</x:f>
        <x:v>34</x:v>
      </x:c>
      <x:c r="E13" s="32" t="n">
        <x:f>D13/Controls!B36</x:f>
        <x:v>0.085</x:v>
      </x:c>
      <x:c r="F13" s="28" t="str">
        <x:v>Choice</x:v>
      </x:c>
      <x:c r="G13" s="28" t="str">
        <x:v>Innovation/evidence</x:v>
      </x:c>
    </x:row>
    <x:row r="14">
      <x:c r="A14" s="28" t="str">
        <x:v>Program reserve</x:v>
      </x:c>
      <x:c r="B14" s="29" t="n">
        <x:v>1</x:v>
      </x:c>
      <x:c r="C14" s="36" t="n">
        <x:v>40</x:v>
      </x:c>
      <x:c r="D14" s="31" t="n">
        <x:f>B14*C14</x:f>
        <x:v>40</x:v>
      </x:c>
      <x:c r="E14" s="32" t="n">
        <x:f>D14/Controls!B36</x:f>
        <x:v>0.1</x:v>
      </x:c>
      <x:c r="F14" s="28" t="str">
        <x:v>Choice</x:v>
      </x:c>
      <x:c r="G14" s="28" t="str">
        <x:v>10% reserve</x:v>
      </x:c>
    </x:row>
    <x:row r="15">
      <x:c r="A15" s="28" t="str">
        <x:v>Total</x:v>
      </x:c>
      <x:c r="B15" s="28"/>
      <x:c r="C15" s="37"/>
      <x:c r="D15" s="31" t="n">
        <x:f>SUM(D5:D14)</x:f>
        <x:v>400</x:v>
      </x:c>
      <x:c r="E15" s="32" t="n">
        <x:f>SUM(E5:E14)</x:f>
        <x:v>0.9999999999999999</x:v>
      </x:c>
      <x:c r="F15" s="28" t="str">
        <x:v>Derived</x:v>
      </x:c>
      <x:c r="G15" s="28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22" hidden="0" customWidth="1"/>
    <x:col min="5" max="5" width="36" hidden="0" customWidth="1"/>
  </x:cols>
  <x:sheetData>
    <x:row r="1" ht="30" customHeight="1">
      <x:c r="A1" s="2" t="str">
        <x:v>Annual funding profile</x:v>
      </x:c>
      <x:c r="B1" s="26"/>
      <x:c r="C1" s="26"/>
      <x:c r="D1" s="26"/>
      <x:c r="E1" s="26"/>
    </x:row>
    <x:row r="2" ht="34" customHeight="1">
      <x:c r="A2" s="5" t="str">
        <x:v>Normalized weights reconcile to the $400B capital envelope.</x:v>
      </x:c>
      <x:c r="B2" s="26"/>
      <x:c r="C2" s="26"/>
      <x:c r="D2" s="26"/>
      <x:c r="E2" s="26"/>
    </x:row>
    <x:row r="3">
      <x:c r="A3" s="26"/>
      <x:c r="B3" s="26"/>
      <x:c r="C3" s="26"/>
      <x:c r="D3" s="26"/>
      <x:c r="E3" s="26"/>
    </x:row>
    <x:row r="4">
      <x:c r="A4" s="27" t="str">
        <x:v>Year</x:v>
      </x:c>
      <x:c r="B4" s="27" t="str">
        <x:v>Weight</x:v>
      </x:c>
      <x:c r="C4" s="27" t="str">
        <x:v>Funding $B</x:v>
      </x:c>
      <x:c r="D4" s="27" t="str">
        <x:v>Cumulative $B</x:v>
      </x:c>
      <x:c r="E4" s="27" t="str">
        <x:v>Phase</x:v>
      </x:c>
    </x:row>
    <x:row r="5">
      <x:c r="A5" s="28" t="n">
        <x:v>1</x:v>
      </x:c>
      <x:c r="B5" s="29" t="n">
        <x:v>1</x:v>
      </x:c>
      <x:c r="C5" s="31" t="n">
        <x:f>Controls!B36*B5/SUM($B$5:$B$29)</x:f>
        <x:v>3.7383177570093458</x:v>
      </x:c>
      <x:c r="D5" s="31" t="n">
        <x:f>SUM($C$5:C5)</x:f>
        <x:v>3.7383177570093458</x:v>
      </x:c>
      <x:c r="E5" s="28" t="str">
        <x:v>Research/competition</x:v>
      </x:c>
    </x:row>
    <x:row r="6">
      <x:c r="A6" s="28" t="n">
        <x:v>2</x:v>
      </x:c>
      <x:c r="B6" s="29" t="n">
        <x:v>2</x:v>
      </x:c>
      <x:c r="C6" s="31" t="n">
        <x:f>Controls!B36*B6/SUM($B$5:$B$29)</x:f>
        <x:v>7.4766355140186915</x:v>
      </x:c>
      <x:c r="D6" s="31" t="n">
        <x:f>SUM($C$5:C6)</x:f>
        <x:v>11.214953271028037</x:v>
      </x:c>
      <x:c r="E6" s="28" t="str">
        <x:v>Research/competition</x:v>
      </x:c>
    </x:row>
    <x:row r="7">
      <x:c r="A7" s="28" t="n">
        <x:v>3</x:v>
      </x:c>
      <x:c r="B7" s="29" t="n">
        <x:v>3</x:v>
      </x:c>
      <x:c r="C7" s="31" t="n">
        <x:f>Controls!B36*B7/SUM($B$5:$B$29)</x:f>
        <x:v>11.214953271028037</x:v>
      </x:c>
      <x:c r="D7" s="31" t="n">
        <x:f>SUM($C$5:C7)</x:f>
        <x:v>22.429906542056074</x:v>
      </x:c>
      <x:c r="E7" s="28" t="str">
        <x:v>Research/competition</x:v>
      </x:c>
    </x:row>
    <x:row r="8">
      <x:c r="A8" s="28" t="n">
        <x:v>4</x:v>
      </x:c>
      <x:c r="B8" s="29" t="n">
        <x:v>4</x:v>
      </x:c>
      <x:c r="C8" s="31" t="n">
        <x:f>Controls!B36*B8/SUM($B$5:$B$29)</x:f>
        <x:v>14.953271028037383</x:v>
      </x:c>
      <x:c r="D8" s="31" t="n">
        <x:f>SUM($C$5:C8)</x:f>
        <x:v>37.38317757009346</x:v>
      </x:c>
      <x:c r="E8" s="28" t="str">
        <x:v>Prototype/facility/lead build</x:v>
      </x:c>
    </x:row>
    <x:row r="9">
      <x:c r="A9" s="28" t="n">
        <x:v>5</x:v>
      </x:c>
      <x:c r="B9" s="29" t="n">
        <x:v>5</x:v>
      </x:c>
      <x:c r="C9" s="31" t="n">
        <x:f>Controls!B36*B9/SUM($B$5:$B$29)</x:f>
        <x:v>18.69158878504673</x:v>
      </x:c>
      <x:c r="D9" s="31" t="n">
        <x:f>SUM($C$5:C9)</x:f>
        <x:v>56.074766355140184</x:v>
      </x:c>
      <x:c r="E9" s="28" t="str">
        <x:v>Prototype/facility/lead build</x:v>
      </x:c>
    </x:row>
    <x:row r="10">
      <x:c r="A10" s="28" t="n">
        <x:v>6</x:v>
      </x:c>
      <x:c r="B10" s="29" t="n">
        <x:v>6</x:v>
      </x:c>
      <x:c r="C10" s="31" t="n">
        <x:f>Controls!B36*B10/SUM($B$5:$B$29)</x:f>
        <x:v>22.429906542056074</x:v>
      </x:c>
      <x:c r="D10" s="31" t="n">
        <x:f>SUM($C$5:C10)</x:f>
        <x:v>78.50467289719626</x:v>
      </x:c>
      <x:c r="E10" s="28" t="str">
        <x:v>Prototype/facility/lead build</x:v>
      </x:c>
    </x:row>
    <x:row r="11">
      <x:c r="A11" s="28" t="n">
        <x:v>7</x:v>
      </x:c>
      <x:c r="B11" s="29" t="n">
        <x:v>7</x:v>
      </x:c>
      <x:c r="C11" s="31" t="n">
        <x:f>Controls!B36*B11/SUM($B$5:$B$29)</x:f>
        <x:v>26.16822429906542</x:v>
      </x:c>
      <x:c r="D11" s="31" t="n">
        <x:f>SUM($C$5:C11)</x:f>
        <x:v>104.67289719626169</x:v>
      </x:c>
      <x:c r="E11" s="28" t="str">
        <x:v>Prototype/facility/lead build</x:v>
      </x:c>
    </x:row>
    <x:row r="12">
      <x:c r="A12" s="28" t="n">
        <x:v>8</x:v>
      </x:c>
      <x:c r="B12" s="29" t="n">
        <x:v>8</x:v>
      </x:c>
      <x:c r="C12" s="31" t="n">
        <x:f>Controls!B36*B12/SUM($B$5:$B$29)</x:f>
        <x:v>29.906542056074766</x:v>
      </x:c>
      <x:c r="D12" s="31" t="n">
        <x:f>SUM($C$5:C12)</x:f>
        <x:v>134.57943925233644</x:v>
      </x:c>
      <x:c r="E12" s="28" t="str">
        <x:v>Prototype/facility/lead build</x:v>
      </x:c>
    </x:row>
    <x:row r="13">
      <x:c r="A13" s="28" t="n">
        <x:v>9</x:v>
      </x:c>
      <x:c r="B13" s="29" t="n">
        <x:v>8</x:v>
      </x:c>
      <x:c r="C13" s="31" t="n">
        <x:f>Controls!B36*B13/SUM($B$5:$B$29)</x:f>
        <x:v>29.906542056074766</x:v>
      </x:c>
      <x:c r="D13" s="31" t="n">
        <x:f>SUM($C$5:C13)</x:f>
        <x:v>164.4859813084112</x:v>
      </x:c>
      <x:c r="E13" s="28" t="str">
        <x:v>Prototype/facility/lead build</x:v>
      </x:c>
    </x:row>
    <x:row r="14">
      <x:c r="A14" s="28" t="n">
        <x:v>10</x:v>
      </x:c>
      <x:c r="B14" s="29" t="n">
        <x:v>8</x:v>
      </x:c>
      <x:c r="C14" s="31" t="n">
        <x:f>Controls!B36*B14/SUM($B$5:$B$29)</x:f>
        <x:v>29.906542056074766</x:v>
      </x:c>
      <x:c r="D14" s="31" t="n">
        <x:f>SUM($C$5:C14)</x:f>
        <x:v>194.39252336448595</x:v>
      </x:c>
      <x:c r="E14" s="28" t="str">
        <x:v>Prototype/facility/lead build</x:v>
      </x:c>
    </x:row>
    <x:row r="15">
      <x:c r="A15" s="28" t="n">
        <x:v>11</x:v>
      </x:c>
      <x:c r="B15" s="29" t="n">
        <x:v>7</x:v>
      </x:c>
      <x:c r="C15" s="31" t="n">
        <x:f>Controls!B36*B15/SUM($B$5:$B$29)</x:f>
        <x:v>26.16822429906542</x:v>
      </x:c>
      <x:c r="D15" s="31" t="n">
        <x:f>SUM($C$5:C15)</x:f>
        <x:v>220.56074766355138</x:v>
      </x:c>
      <x:c r="E15" s="28" t="str">
        <x:v>Serial production/node build</x:v>
      </x:c>
    </x:row>
    <x:row r="16">
      <x:c r="A16" s="28" t="n">
        <x:v>12</x:v>
      </x:c>
      <x:c r="B16" s="29" t="n">
        <x:v>6</x:v>
      </x:c>
      <x:c r="C16" s="31" t="n">
        <x:f>Controls!B36*B16/SUM($B$5:$B$29)</x:f>
        <x:v>22.429906542056074</x:v>
      </x:c>
      <x:c r="D16" s="31" t="n">
        <x:f>SUM($C$5:C16)</x:f>
        <x:v>242.99065420560746</x:v>
      </x:c>
      <x:c r="E16" s="28" t="str">
        <x:v>Serial production/node build</x:v>
      </x:c>
    </x:row>
    <x:row r="17">
      <x:c r="A17" s="28" t="n">
        <x:v>13</x:v>
      </x:c>
      <x:c r="B17" s="29" t="n">
        <x:v>5</x:v>
      </x:c>
      <x:c r="C17" s="31" t="n">
        <x:f>Controls!B36*B17/SUM($B$5:$B$29)</x:f>
        <x:v>18.69158878504673</x:v>
      </x:c>
      <x:c r="D17" s="31" t="n">
        <x:f>SUM($C$5:C17)</x:f>
        <x:v>261.6822429906542</x:v>
      </x:c>
      <x:c r="E17" s="28" t="str">
        <x:v>Serial production/node build</x:v>
      </x:c>
    </x:row>
    <x:row r="18">
      <x:c r="A18" s="28" t="n">
        <x:v>14</x:v>
      </x:c>
      <x:c r="B18" s="29" t="n">
        <x:v>5</x:v>
      </x:c>
      <x:c r="C18" s="31" t="n">
        <x:f>Controls!B36*B18/SUM($B$5:$B$29)</x:f>
        <x:v>18.69158878504673</x:v>
      </x:c>
      <x:c r="D18" s="31" t="n">
        <x:f>SUM($C$5:C18)</x:f>
        <x:v>280.3738317757009</x:v>
      </x:c>
      <x:c r="E18" s="28" t="str">
        <x:v>Serial production/node build</x:v>
      </x:c>
    </x:row>
    <x:row r="19">
      <x:c r="A19" s="28" t="n">
        <x:v>15</x:v>
      </x:c>
      <x:c r="B19" s="29" t="n">
        <x:v>4</x:v>
      </x:c>
      <x:c r="C19" s="31" t="n">
        <x:f>Controls!B36*B19/SUM($B$5:$B$29)</x:f>
        <x:v>14.953271028037383</x:v>
      </x:c>
      <x:c r="D19" s="31" t="n">
        <x:f>SUM($C$5:C19)</x:f>
        <x:v>295.3271028037383</x:v>
      </x:c>
      <x:c r="E19" s="28" t="str">
        <x:v>Serial production/node build</x:v>
      </x:c>
    </x:row>
    <x:row r="20">
      <x:c r="A20" s="28" t="n">
        <x:v>16</x:v>
      </x:c>
      <x:c r="B20" s="29" t="n">
        <x:v>4</x:v>
      </x:c>
      <x:c r="C20" s="31" t="n">
        <x:f>Controls!B36*B20/SUM($B$5:$B$29)</x:f>
        <x:v>14.953271028037383</x:v>
      </x:c>
      <x:c r="D20" s="31" t="n">
        <x:f>SUM($C$5:C20)</x:f>
        <x:v>310.28037383177565</x:v>
      </x:c>
      <x:c r="E20" s="28" t="str">
        <x:v>Serial production/node build</x:v>
      </x:c>
    </x:row>
    <x:row r="21">
      <x:c r="A21" s="28" t="n">
        <x:v>17</x:v>
      </x:c>
      <x:c r="B21" s="29" t="n">
        <x:v>3</x:v>
      </x:c>
      <x:c r="C21" s="31" t="n">
        <x:f>Controls!B36*B21/SUM($B$5:$B$29)</x:f>
        <x:v>11.214953271028037</x:v>
      </x:c>
      <x:c r="D21" s="31" t="n">
        <x:f>SUM($C$5:C21)</x:f>
        <x:v>321.4953271028037</x:v>
      </x:c>
      <x:c r="E21" s="28" t="str">
        <x:v>Serial production/node build</x:v>
      </x:c>
    </x:row>
    <x:row r="22">
      <x:c r="A22" s="28" t="n">
        <x:v>18</x:v>
      </x:c>
      <x:c r="B22" s="29" t="n">
        <x:v>3</x:v>
      </x:c>
      <x:c r="C22" s="31" t="n">
        <x:f>Controls!B36*B22/SUM($B$5:$B$29)</x:f>
        <x:v>11.214953271028037</x:v>
      </x:c>
      <x:c r="D22" s="31" t="n">
        <x:f>SUM($C$5:C22)</x:f>
        <x:v>332.7102803738317</x:v>
      </x:c>
      <x:c r="E22" s="28" t="str">
        <x:v>Serial production/node build</x:v>
      </x:c>
    </x:row>
    <x:row r="23">
      <x:c r="A23" s="28" t="n">
        <x:v>19</x:v>
      </x:c>
      <x:c r="B23" s="29" t="n">
        <x:v>3</x:v>
      </x:c>
      <x:c r="C23" s="31" t="n">
        <x:f>Controls!B36*B23/SUM($B$5:$B$29)</x:f>
        <x:v>11.214953271028037</x:v>
      </x:c>
      <x:c r="D23" s="31" t="n">
        <x:f>SUM($C$5:C23)</x:f>
        <x:v>343.92523364485976</x:v>
      </x:c>
      <x:c r="E23" s="28" t="str">
        <x:v>Completion/renewal</x:v>
      </x:c>
    </x:row>
    <x:row r="24">
      <x:c r="A24" s="28" t="n">
        <x:v>20</x:v>
      </x:c>
      <x:c r="B24" s="29" t="n">
        <x:v>3</x:v>
      </x:c>
      <x:c r="C24" s="31" t="n">
        <x:f>Controls!B36*B24/SUM($B$5:$B$29)</x:f>
        <x:v>11.214953271028037</x:v>
      </x:c>
      <x:c r="D24" s="31" t="n">
        <x:f>SUM($C$5:C24)</x:f>
        <x:v>355.1401869158878</x:v>
      </x:c>
      <x:c r="E24" s="28" t="str">
        <x:v>Completion/renewal</x:v>
      </x:c>
    </x:row>
    <x:row r="25">
      <x:c r="A25" s="28" t="n">
        <x:v>21</x:v>
      </x:c>
      <x:c r="B25" s="29" t="n">
        <x:v>3</x:v>
      </x:c>
      <x:c r="C25" s="31" t="n">
        <x:f>Controls!B36*B25/SUM($B$5:$B$29)</x:f>
        <x:v>11.214953271028037</x:v>
      </x:c>
      <x:c r="D25" s="31" t="n">
        <x:f>SUM($C$5:C25)</x:f>
        <x:v>366.35514018691583</x:v>
      </x:c>
      <x:c r="E25" s="28" t="str">
        <x:v>Completion/renewal</x:v>
      </x:c>
    </x:row>
    <x:row r="26">
      <x:c r="A26" s="28" t="n">
        <x:v>22</x:v>
      </x:c>
      <x:c r="B26" s="29" t="n">
        <x:v>3</x:v>
      </x:c>
      <x:c r="C26" s="31" t="n">
        <x:f>Controls!B36*B26/SUM($B$5:$B$29)</x:f>
        <x:v>11.214953271028037</x:v>
      </x:c>
      <x:c r="D26" s="31" t="n">
        <x:f>SUM($C$5:C26)</x:f>
        <x:v>377.57009345794387</x:v>
      </x:c>
      <x:c r="E26" s="28" t="str">
        <x:v>Completion/renewal</x:v>
      </x:c>
    </x:row>
    <x:row r="27">
      <x:c r="A27" s="28" t="n">
        <x:v>23</x:v>
      </x:c>
      <x:c r="B27" s="29" t="n">
        <x:v>2</x:v>
      </x:c>
      <x:c r="C27" s="31" t="n">
        <x:f>Controls!B36*B27/SUM($B$5:$B$29)</x:f>
        <x:v>7.4766355140186915</x:v>
      </x:c>
      <x:c r="D27" s="31" t="n">
        <x:f>SUM($C$5:C27)</x:f>
        <x:v>385.0467289719626</x:v>
      </x:c>
      <x:c r="E27" s="28" t="str">
        <x:v>Completion/renewal</x:v>
      </x:c>
    </x:row>
    <x:row r="28">
      <x:c r="A28" s="28" t="n">
        <x:v>24</x:v>
      </x:c>
      <x:c r="B28" s="29" t="n">
        <x:v>2</x:v>
      </x:c>
      <x:c r="C28" s="31" t="n">
        <x:f>Controls!B36*B28/SUM($B$5:$B$29)</x:f>
        <x:v>7.4766355140186915</x:v>
      </x:c>
      <x:c r="D28" s="31" t="n">
        <x:f>SUM($C$5:C28)</x:f>
        <x:v>392.5233644859813</x:v>
      </x:c>
      <x:c r="E28" s="28" t="str">
        <x:v>Completion/renewal</x:v>
      </x:c>
    </x:row>
    <x:row r="29">
      <x:c r="A29" s="28" t="n">
        <x:v>25</x:v>
      </x:c>
      <x:c r="B29" s="29" t="n">
        <x:v>2</x:v>
      </x:c>
      <x:c r="C29" s="31" t="n">
        <x:f>Controls!B36*B29/SUM($B$5:$B$29)</x:f>
        <x:v>7.4766355140186915</x:v>
      </x:c>
      <x:c r="D29" s="31" t="n">
        <x:f>SUM($C$5:C29)</x:f>
        <x:v>400</x:v>
      </x:c>
      <x:c r="E29" s="28" t="str">
        <x:v>Completion/renewal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38" hidden="0" customWidth="1"/>
    <x:col min="4" max="4" width="32" hidden="0" customWidth="1"/>
    <x:col min="5" max="5" width="28" hidden="0" customWidth="1"/>
    <x:col min="6" max="6" width="28" hidden="0" customWidth="1"/>
    <x:col min="7" max="7" width="14" hidden="0" customWidth="1"/>
  </x:cols>
  <x:sheetData>
    <x:row r="1" ht="30" customHeight="1">
      <x:c r="A1" s="2" t="str">
        <x:v>Failure architecture</x:v>
      </x:c>
      <x:c r="B1" s="26"/>
      <x:c r="C1" s="26"/>
      <x:c r="D1" s="26"/>
      <x:c r="E1" s="26"/>
      <x:c r="F1" s="26"/>
      <x:c r="G1" s="26"/>
    </x:row>
    <x:row r="2" ht="34" customHeight="1">
      <x:c r="A2" s="5" t="str">
        <x:v>Bounded safe state plus visible public-service consequence.</x:v>
      </x:c>
      <x:c r="B2" s="26"/>
      <x:c r="C2" s="26"/>
      <x:c r="D2" s="26"/>
      <x:c r="E2" s="26"/>
      <x:c r="F2" s="26"/>
      <x:c r="G2" s="26"/>
    </x:row>
    <x:row r="3">
      <x:c r="A3" s="26"/>
      <x:c r="B3" s="26"/>
      <x:c r="C3" s="26"/>
      <x:c r="D3" s="26"/>
      <x:c r="E3" s="26"/>
      <x:c r="F3" s="26"/>
      <x:c r="G3" s="26"/>
    </x:row>
    <x:row r="4">
      <x:c r="A4" s="27" t="str">
        <x:v>ID</x:v>
      </x:c>
      <x:c r="B4" s="27" t="str">
        <x:v>Failure</x:v>
      </x:c>
      <x:c r="C4" s="27" t="str">
        <x:v>Safe state</x:v>
      </x:c>
      <x:c r="D4" s="27" t="str">
        <x:v>Service consequence</x:v>
      </x:c>
      <x:c r="E4" s="27" t="str">
        <x:v>Authority</x:v>
      </x:c>
      <x:c r="F4" s="27" t="str">
        <x:v>Fallback</x:v>
      </x:c>
      <x:c r="G4" s="27" t="str">
        <x:v>State</x:v>
      </x:c>
    </x:row>
    <x:row r="5">
      <x:c r="A5" s="28" t="str">
        <x:v>F01</x:v>
      </x:c>
      <x:c r="B5" s="28" t="str">
        <x:v>Loss of shore grid</x:v>
      </x:c>
      <x:c r="C5" s="28" t="str">
        <x:v>Export open; island/shutdown</x:v>
      </x:c>
      <x:c r="D5" s="28" t="str">
        <x:v>Shore power pauses</x:v>
      </x:c>
      <x:c r="E5" s="28" t="str">
        <x:v>Electrical+nuclear</x:v>
      </x:c>
      <x:c r="F5" s="28" t="str">
        <x:v>Local/non-nuclear</x:v>
      </x:c>
      <x:c r="G5" s="28" t="str">
        <x:v>OPEN</x:v>
      </x:c>
    </x:row>
    <x:row r="6">
      <x:c r="A6" s="28" t="str">
        <x:v>F02</x:v>
      </x:c>
      <x:c r="B6" s="28" t="str">
        <x:v>Product contamination</x:v>
      </x:c>
      <x:c r="C6" s="28" t="str">
        <x:v>Divert/isolate train</x:v>
      </x:c>
      <x:c r="D6" s="28" t="str">
        <x:v>Water degrades</x:v>
      </x:c>
      <x:c r="E6" s="28" t="str">
        <x:v>Water quality</x:v>
      </x:c>
      <x:c r="F6" s="28" t="str">
        <x:v>Storage/parallel train</x:v>
      </x:c>
      <x:c r="G6" s="28" t="str">
        <x:v>OPEN</x:v>
      </x:c>
    </x:row>
    <x:row r="7">
      <x:c r="A7" s="28" t="str">
        <x:v>F03</x:v>
      </x:c>
      <x:c r="B7" s="28" t="str">
        <x:v>Intake blockage</x:v>
      </x:c>
      <x:c r="C7" s="28" t="str">
        <x:v>Derate; qualified core sink</x:v>
      </x:c>
      <x:c r="D7" s="28" t="str">
        <x:v>Output may fall</x:v>
      </x:c>
      <x:c r="E7" s="28" t="str">
        <x:v>Nuclear+environment</x:v>
      </x:c>
      <x:c r="F7" s="28" t="str">
        <x:v>Alternate intake</x:v>
      </x:c>
      <x:c r="G7" s="28" t="str">
        <x:v>OPEN</x:v>
      </x:c>
    </x:row>
    <x:row r="8">
      <x:c r="A8" s="28" t="str">
        <x:v>F04</x:v>
      </x:c>
      <x:c r="B8" s="28" t="str">
        <x:v>Cable fault</x:v>
      </x:c>
      <x:c r="C8" s="28" t="str">
        <x:v>Isolate both ends</x:v>
      </x:c>
      <x:c r="D8" s="28" t="str">
        <x:v>One block lost</x:v>
      </x:c>
      <x:c r="E8" s="28" t="str">
        <x:v>Grid</x:v>
      </x:c>
      <x:c r="F8" s="28" t="str">
        <x:v>Alternate feeder</x:v>
      </x:c>
      <x:c r="G8" s="28" t="str">
        <x:v>OPEN</x:v>
      </x:c>
    </x:row>
    <x:row r="9">
      <x:c r="A9" s="28" t="str">
        <x:v>F05</x:v>
      </x:c>
      <x:c r="B9" s="28" t="str">
        <x:v>Pipeline rupture</x:v>
      </x:c>
      <x:c r="C9" s="28" t="str">
        <x:v>Section isolate</x:v>
      </x:c>
      <x:c r="D9" s="28" t="str">
        <x:v>Delivered water falls</x:v>
      </x:c>
      <x:c r="E9" s="28" t="str">
        <x:v>Water utility</x:v>
      </x:c>
      <x:c r="F9" s="28" t="str">
        <x:v>Storage/parallel</x:v>
      </x:c>
      <x:c r="G9" s="28" t="str">
        <x:v>OPEN</x:v>
      </x:c>
    </x:row>
    <x:row r="10">
      <x:c r="A10" s="28" t="str">
        <x:v>F06</x:v>
      </x:c>
      <x:c r="B10" s="28" t="str">
        <x:v>Mooring casualty</x:v>
      </x:c>
      <x:c r="C10" s="28" t="str">
        <x:v>Disconnect/safe shutdown</x:v>
      </x:c>
      <x:c r="D10" s="28" t="str">
        <x:v>Node unavailable</x:v>
      </x:c>
      <x:c r="E10" s="28" t="str">
        <x:v>Marine+nuclear</x:v>
      </x:c>
      <x:c r="F10" s="28" t="str">
        <x:v>Tugs/safe harbor</x:v>
      </x:c>
      <x:c r="G10" s="28" t="str">
        <x:v>OPEN</x:v>
      </x:c>
    </x:row>
    <x:row r="11">
      <x:c r="A11" s="28" t="str">
        <x:v>F07</x:v>
      </x:c>
      <x:c r="B11" s="28" t="str">
        <x:v>Software defect</x:v>
      </x:c>
      <x:c r="C11" s="28" t="str">
        <x:v>Freeze/rollback/manual</x:v>
      </x:c>
      <x:c r="D11" s="28" t="str">
        <x:v>Automation lost</x:v>
      </x:c>
      <x:c r="E11" s="28" t="str">
        <x:v>Technical</x:v>
      </x:c>
      <x:c r="F11" s="28" t="str">
        <x:v>Local manual</x:v>
      </x:c>
      <x:c r="G11" s="28" t="str">
        <x:v>OPEN</x:v>
      </x:c>
    </x:row>
    <x:row r="12">
      <x:c r="A12" s="28" t="str">
        <x:v>F08</x:v>
      </x:c>
      <x:c r="B12" s="28" t="str">
        <x:v>Security event</x:v>
      </x:c>
      <x:c r="C12" s="28" t="str">
        <x:v>Denial/safe state</x:v>
      </x:c>
      <x:c r="D12" s="28" t="str">
        <x:v>Public interface closes</x:v>
      </x:c>
      <x:c r="E12" s="28" t="str">
        <x:v>Security+nuclear</x:v>
      </x:c>
      <x:c r="F12" s="28" t="str">
        <x:v>Alternate node</x:v>
      </x:c>
      <x:c r="G12" s="28" t="str">
        <x:v>OPEN</x:v>
      </x:c>
    </x:row>
    <x:row r="13">
      <x:c r="A13" s="28" t="str">
        <x:v>F09</x:v>
      </x:c>
      <x:c r="B13" s="28" t="str">
        <x:v>Fleet regulatory hold</x:v>
      </x:c>
      <x:c r="C13" s="28" t="str">
        <x:v>Affected cores held</x:v>
      </x:c>
      <x:c r="D13" s="28" t="str">
        <x:v>Nuclear supply may be zero</x:v>
      </x:c>
      <x:c r="E13" s="28" t="str">
        <x:v>Regulator</x:v>
      </x:c>
      <x:c r="F13" s="28" t="str">
        <x:v>Non-nuclear bus</x:v>
      </x:c>
      <x:c r="G13" s="28" t="str">
        <x:v>OPEN</x:v>
      </x:c>
    </x:row>
    <x:row r="14">
      <x:c r="A14" s="28" t="str">
        <x:v>F10</x:v>
      </x:c>
      <x:c r="B14" s="28" t="str">
        <x:v>Workforce shortfall</x:v>
      </x:c>
      <x:c r="C14" s="28" t="str">
        <x:v>Reduce deployed cores</x:v>
      </x:c>
      <x:c r="D14" s="28" t="str">
        <x:v>No readiness credit</x:v>
      </x:c>
      <x:c r="E14" s="28" t="str">
        <x:v>Operator</x:v>
      </x:c>
      <x:c r="F14" s="28" t="str">
        <x:v>Reserve pipeline</x:v>
      </x:c>
      <x:c r="G14" s="28" t="str">
        <x:v>OPEN</x:v>
      </x:c>
    </x:row>
    <x:row r="15">
      <x:c r="A15" s="28" t="str">
        <x:v>F11</x:v>
      </x:c>
      <x:c r="B15" s="28" t="str">
        <x:v>Extreme storm</x:v>
      </x:c>
      <x:c r="C15" s="28" t="str">
        <x:v>Shutdown/depart</x:v>
      </x:c>
      <x:c r="D15" s="28" t="str">
        <x:v>Service interrupted</x:v>
      </x:c>
      <x:c r="E15" s="28" t="str">
        <x:v>Marine+nuclear</x:v>
      </x:c>
      <x:c r="F15" s="28" t="str">
        <x:v>Onshore bridge</x:v>
      </x:c>
      <x:c r="G15" s="28" t="str">
        <x:v>OPEN</x:v>
      </x:c>
    </x:row>
    <x:row r="16">
      <x:c r="A16" s="28" t="str">
        <x:v>F12</x:v>
      </x:c>
      <x:c r="B16" s="28" t="str">
        <x:v>Process barge loss</x:v>
      </x:c>
      <x:c r="C16" s="28" t="str">
        <x:v>Isolate module</x:v>
      </x:c>
      <x:c r="D16" s="28" t="str">
        <x:v>Water block lost</x:v>
      </x:c>
      <x:c r="E16" s="28" t="str">
        <x:v>Marine+water</x:v>
      </x:c>
      <x:c r="F16" s="28" t="str">
        <x:v>Spare module</x:v>
      </x:c>
      <x:c r="G16" s="28" t="str">
        <x:v>OPEN</x:v>
      </x:c>
    </x:row>
  </x:sheetData>
  <x:mergeCells>
    <x:mergeCell ref="A1:G1"/>
    <x:mergeCell ref="A2:G2"/>
  </x:mergeCells>
  <x:conditionalFormatting sqref="G5:G16">
    <x:cfRule type="containsText" dxfId="2" priority="1" operator="containsText" text="PASS"/>
    <x:cfRule type="containsText" dxfId="3" priority="2" operator="containsText" text="OPEN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42" hidden="0" customWidth="1"/>
    <x:col min="3" max="3" width="32" hidden="0" customWidth="1"/>
    <x:col min="4" max="4" width="18" hidden="0" customWidth="1"/>
    <x:col min="5" max="5" width="14" hidden="0" customWidth="1"/>
    <x:col min="6" max="6" width="18" hidden="0" customWidth="1"/>
    <x:col min="7" max="7" width="38" hidden="0" customWidth="1"/>
  </x:cols>
  <x:sheetData>
    <x:row r="1" ht="30" customHeight="1">
      <x:c r="A1" s="2" t="str">
        <x:v>Evidence gates to R3</x:v>
      </x:c>
      <x:c r="B1" s="26"/>
      <x:c r="C1" s="26"/>
      <x:c r="D1" s="26"/>
      <x:c r="E1" s="26"/>
      <x:c r="F1" s="26"/>
      <x:c r="G1" s="26"/>
    </x:row>
    <x:row r="2" ht="34" customHeight="1">
      <x:c r="A2" s="5" t="str">
        <x:v>All remain open; each blocks exterior rendering.</x:v>
      </x:c>
      <x:c r="B2" s="26"/>
      <x:c r="C2" s="26"/>
      <x:c r="D2" s="26"/>
      <x:c r="E2" s="26"/>
      <x:c r="F2" s="26"/>
      <x:c r="G2" s="26"/>
    </x:row>
    <x:row r="3">
      <x:c r="A3" s="26"/>
      <x:c r="B3" s="26"/>
      <x:c r="C3" s="26"/>
      <x:c r="D3" s="26"/>
      <x:c r="E3" s="26"/>
      <x:c r="F3" s="26"/>
      <x:c r="G3" s="26"/>
    </x:row>
    <x:row r="4">
      <x:c r="A4" s="27" t="str">
        <x:v>Gate</x:v>
      </x:c>
      <x:c r="B4" s="27" t="str">
        <x:v>Evidence</x:v>
      </x:c>
      <x:c r="C4" s="27" t="str">
        <x:v>Owner</x:v>
      </x:c>
      <x:c r="D4" s="27" t="str">
        <x:v>Stage</x:v>
      </x:c>
      <x:c r="E4" s="27" t="str">
        <x:v>Status</x:v>
      </x:c>
      <x:c r="F4" s="27" t="str">
        <x:v>Blocks render</x:v>
      </x:c>
      <x:c r="G4" s="27" t="str">
        <x:v>Acceptance</x:v>
      </x:c>
    </x:row>
    <x:row r="5">
      <x:c r="A5" s="28" t="str">
        <x:v>G01</x:v>
      </x:c>
      <x:c r="B5" s="28" t="str">
        <x:v>Two receiving-node studies</x:v>
      </x:c>
      <x:c r="C5" s="28" t="str">
        <x:v>Site+nuclear+marine</x:v>
      </x:c>
      <x:c r="D5" s="28" t="str">
        <x:v>Concept</x:v>
      </x:c>
      <x:c r="E5" s="28" t="str">
        <x:v>OPEN</x:v>
      </x:c>
      <x:c r="F5" s="28" t="str">
        <x:v>YES</x:v>
      </x:c>
      <x:c r="G5" s="28" t="str">
        <x:v>Complete envelopes</x:v>
      </x:c>
    </x:row>
    <x:row r="6">
      <x:c r="A6" s="28" t="str">
        <x:v>G02</x:v>
      </x:c>
      <x:c r="B6" s="28" t="str">
        <x:v>Six-architecture alternatives</x:v>
      </x:c>
      <x:c r="C6" s="28" t="str">
        <x:v>Independent systems/cost</x:v>
      </x:c>
      <x:c r="D6" s="28" t="str">
        <x:v>Concept</x:v>
      </x:c>
      <x:c r="E6" s="28" t="str">
        <x:v>OPEN</x:v>
      </x:c>
      <x:c r="F6" s="28" t="str">
        <x:v>YES</x:v>
      </x:c>
      <x:c r="G6" s="28" t="str">
        <x:v>Common cases/uncertainty</x:v>
      </x:c>
    </x:row>
    <x:row r="7">
      <x:c r="A7" s="28" t="str">
        <x:v>G03</x:v>
      </x:c>
      <x:c r="B7" s="28" t="str">
        <x:v>Reactor safety case</x:v>
      </x:c>
      <x:c r="C7" s="28" t="str">
        <x:v>Design+regulator</x:v>
      </x:c>
      <x:c r="D7" s="28" t="str">
        <x:v>Prelim</x:v>
      </x:c>
      <x:c r="E7" s="28" t="str">
        <x:v>OPEN</x:v>
      </x:c>
      <x:c r="F7" s="28" t="str">
        <x:v>YES</x:v>
      </x:c>
      <x:c r="G7" s="28" t="str">
        <x:v>Licensed basis</x:v>
      </x:c>
    </x:row>
    <x:row r="8">
      <x:c r="A8" s="28" t="str">
        <x:v>G04</x:v>
      </x:c>
      <x:c r="B8" s="28" t="str">
        <x:v>Hull/stability/collision</x:v>
      </x:c>
      <x:c r="C8" s="28" t="str">
        <x:v>Marine+USCG/class</x:v>
      </x:c>
      <x:c r="D8" s="28" t="str">
        <x:v>Prelim</x:v>
      </x:c>
      <x:c r="E8" s="28" t="str">
        <x:v>OPEN</x:v>
      </x:c>
      <x:c r="F8" s="28" t="str">
        <x:v>YES</x:v>
      </x:c>
      <x:c r="G8" s="28" t="str">
        <x:v>Bounded casualty</x:v>
      </x:c>
    </x:row>
    <x:row r="9">
      <x:c r="A9" s="28" t="str">
        <x:v>G05</x:v>
      </x:c>
      <x:c r="B9" s="28" t="str">
        <x:v>Mooring/storm/safe harbor</x:v>
      </x:c>
      <x:c r="C9" s="28" t="str">
        <x:v>Marine</x:v>
      </x:c>
      <x:c r="D9" s="28" t="str">
        <x:v>Prelim</x:v>
      </x:c>
      <x:c r="E9" s="28" t="str">
        <x:v>OPEN</x:v>
      </x:c>
      <x:c r="F9" s="28" t="str">
        <x:v>YES</x:v>
      </x:c>
      <x:c r="G9" s="28" t="str">
        <x:v>Site envelope</x:v>
      </x:c>
    </x:row>
    <x:row r="10">
      <x:c r="A10" s="28" t="str">
        <x:v>G06</x:v>
      </x:c>
      <x:c r="B10" s="28" t="str">
        <x:v>Ultimate heat sink</x:v>
      </x:c>
      <x:c r="C10" s="28" t="str">
        <x:v>Nuclear safety</x:v>
      </x:c>
      <x:c r="D10" s="28" t="str">
        <x:v>Prelim</x:v>
      </x:c>
      <x:c r="E10" s="28" t="str">
        <x:v>OPEN</x:v>
      </x:c>
      <x:c r="F10" s="28" t="str">
        <x:v>YES</x:v>
      </x:c>
      <x:c r="G10" s="28" t="str">
        <x:v>Core/process separation</x:v>
      </x:c>
    </x:row>
    <x:row r="11">
      <x:c r="A11" s="28" t="str">
        <x:v>G07</x:v>
      </x:c>
      <x:c r="B11" s="28" t="str">
        <x:v>100 MW one-line/protection</x:v>
      </x:c>
      <x:c r="C11" s="28" t="str">
        <x:v>Grid+RTEA</x:v>
      </x:c>
      <x:c r="D11" s="28" t="str">
        <x:v>Subsystem</x:v>
      </x:c>
      <x:c r="E11" s="28" t="str">
        <x:v>OPEN</x:v>
      </x:c>
      <x:c r="F11" s="28" t="str">
        <x:v>YES</x:v>
      </x:c>
      <x:c r="G11" s="28" t="str">
        <x:v>Fault-injected proof</x:v>
      </x:c>
    </x:row>
    <x:row r="12">
      <x:c r="A12" s="28" t="str">
        <x:v>G08</x:v>
      </x:c>
      <x:c r="B12" s="28" t="str">
        <x:v>Feed-matrix water release</x:v>
      </x:c>
      <x:c r="C12" s="28" t="str">
        <x:v>Water+RTEA</x:v>
      </x:c>
      <x:c r="D12" s="28" t="str">
        <x:v>Subsystem</x:v>
      </x:c>
      <x:c r="E12" s="28" t="str">
        <x:v>OPEN</x:v>
      </x:c>
      <x:c r="F12" s="28" t="str">
        <x:v>YES</x:v>
      </x:c>
      <x:c r="G12" s="28" t="str">
        <x:v>Product/residual closure</x:v>
      </x:c>
    </x:row>
    <x:row r="13">
      <x:c r="A13" s="28" t="str">
        <x:v>G09</x:v>
      </x:c>
      <x:c r="B13" s="28" t="str">
        <x:v>Thermal/brine authorization</x:v>
      </x:c>
      <x:c r="C13" s="28" t="str">
        <x:v>Environmental</x:v>
      </x:c>
      <x:c r="D13" s="28" t="str">
        <x:v>Site</x:v>
      </x:c>
      <x:c r="E13" s="28" t="str">
        <x:v>OPEN</x:v>
      </x:c>
      <x:c r="F13" s="28" t="str">
        <x:v>YES</x:v>
      </x:c>
      <x:c r="G13" s="28" t="str">
        <x:v>Receiving-water limits</x:v>
      </x:c>
    </x:row>
    <x:row r="14">
      <x:c r="A14" s="28" t="str">
        <x:v>G10</x:v>
      </x:c>
      <x:c r="B14" s="28" t="str">
        <x:v>30 km corridor trial</x:v>
      </x:c>
      <x:c r="C14" s="28" t="str">
        <x:v>Civil/water+RTEA</x:v>
      </x:c>
      <x:c r="D14" s="28" t="str">
        <x:v>Formation</x:v>
      </x:c>
      <x:c r="E14" s="28" t="str">
        <x:v>OPEN</x:v>
      </x:c>
      <x:c r="F14" s="28" t="str">
        <x:v>YES</x:v>
      </x:c>
      <x:c r="G14" s="28" t="str">
        <x:v>Commissioned route</x:v>
      </x:c>
    </x:row>
    <x:row r="15">
      <x:c r="A15" s="28" t="str">
        <x:v>G11</x:v>
      </x:c>
      <x:c r="B15" s="28" t="str">
        <x:v>Modular nuclear isolation</x:v>
      </x:c>
      <x:c r="C15" s="28" t="str">
        <x:v>Nuclear+RTEA</x:v>
      </x:c>
      <x:c r="D15" s="28" t="str">
        <x:v>System</x:v>
      </x:c>
      <x:c r="E15" s="28" t="str">
        <x:v>OPEN</x:v>
      </x:c>
      <x:c r="F15" s="28" t="str">
        <x:v>YES</x:v>
      </x:c>
      <x:c r="G15" s="28" t="str">
        <x:v>No safety challenge</x:v>
      </x:c>
    </x:row>
    <x:row r="16">
      <x:c r="A16" s="28" t="str">
        <x:v>G12</x:v>
      </x:c>
      <x:c r="B16" s="28" t="str">
        <x:v>Crew/refuel/depot model</x:v>
      </x:c>
      <x:c r="C16" s="28" t="str">
        <x:v>Service+regulator</x:v>
      </x:c>
      <x:c r="D16" s="28" t="str">
        <x:v>Formation</x:v>
      </x:c>
      <x:c r="E16" s="28" t="str">
        <x:v>OPEN</x:v>
      </x:c>
      <x:c r="F16" s="28" t="str">
        <x:v>YES</x:v>
      </x:c>
      <x:c r="G16" s="28" t="str">
        <x:v>Sustained workforce</x:v>
      </x:c>
    </x:row>
    <x:row r="17">
      <x:c r="A17" s="28" t="str">
        <x:v>G13</x:v>
      </x:c>
      <x:c r="B17" s="28" t="str">
        <x:v>Correlated fleet holds</x:v>
      </x:c>
      <x:c r="C17" s="28" t="str">
        <x:v>Independent reliability</x:v>
      </x:c>
      <x:c r="D17" s="28" t="str">
        <x:v>Fleet</x:v>
      </x:c>
      <x:c r="E17" s="28" t="str">
        <x:v>OPEN</x:v>
      </x:c>
      <x:c r="F17" s="28" t="str">
        <x:v>YES</x:v>
      </x:c>
      <x:c r="G17" s="28" t="str">
        <x:v>Continuity path</x:v>
      </x:c>
    </x:row>
    <x:row r="18">
      <x:c r="A18" s="28" t="str">
        <x:v>G14</x:v>
      </x:c>
      <x:c r="B18" s="28" t="str">
        <x:v>Independent cost/schedule</x:v>
      </x:c>
      <x:c r="C18" s="28" t="str">
        <x:v>Cost authority</x:v>
      </x:c>
      <x:c r="D18" s="28" t="str">
        <x:v>Program</x:v>
      </x:c>
      <x:c r="E18" s="28" t="str">
        <x:v>OPEN</x:v>
      </x:c>
      <x:c r="F18" s="28" t="str">
        <x:v>YES</x:v>
      </x:c>
      <x:c r="G18" s="28" t="str">
        <x:v>Ranges/production evidence</x:v>
      </x:c>
    </x:row>
    <x:row r="19">
      <x:c r="A19" s="28" t="str">
        <x:v>G15</x:v>
      </x:c>
      <x:c r="B19" s="28" t="str">
        <x:v>Mission trial and transfer</x:v>
      </x:c>
      <x:c r="C19" s="28" t="str">
        <x:v>RTEA+civil owner</x:v>
      </x:c>
      <x:c r="D19" s="28" t="str">
        <x:v>Operational</x:v>
      </x:c>
      <x:c r="E19" s="28" t="str">
        <x:v>OPEN</x:v>
      </x:c>
      <x:c r="F19" s="28" t="str">
        <x:v>YES</x:v>
      </x:c>
      <x:c r="G19" s="28" t="str">
        <x:v>Delivered effect/handover</x:v>
      </x:c>
    </x:row>
  </x:sheetData>
  <x:mergeCells>
    <x:mergeCell ref="A1:G1"/>
    <x:mergeCell ref="A2:G2"/>
  </x:mergeCells>
  <x:conditionalFormatting sqref="E5:E19">
    <x:cfRule type="containsText" dxfId="4" priority="1" operator="containsText" text="PASS"/>
    <x:cfRule type="containsText" dxfId="5" priority="2" operator="containsText" text="OPEN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24" hidden="0" customWidth="1"/>
    <x:col min="4" max="4" width="38" hidden="0" customWidth="1"/>
    <x:col min="5" max="5" width="88" hidden="0" customWidth="1"/>
    <x:col min="6" max="6" width="16" hidden="0" customWidth="1"/>
  </x:cols>
  <x:sheetData>
    <x:row r="1" ht="30" customHeight="1">
      <x:c r="A1" s="2" t="str">
        <x:v>Sources and provenance</x:v>
      </x:c>
      <x:c r="B1" s="26"/>
      <x:c r="C1" s="26"/>
      <x:c r="D1" s="26"/>
      <x:c r="E1" s="26"/>
      <x:c r="F1" s="26"/>
    </x:row>
    <x:row r="2" ht="34" customHeight="1">
      <x:c r="A2" s="5" t="str">
        <x:v>Official sources bound plausibility and methods; model values retain evidence classes.</x:v>
      </x:c>
      <x:c r="B2" s="26"/>
      <x:c r="C2" s="26"/>
      <x:c r="D2" s="26"/>
      <x:c r="E2" s="26"/>
      <x:c r="F2" s="26"/>
    </x:row>
    <x:row r="3">
      <x:c r="A3" s="26"/>
      <x:c r="B3" s="26"/>
      <x:c r="C3" s="26"/>
      <x:c r="D3" s="26"/>
      <x:c r="E3" s="26"/>
      <x:c r="F3" s="26"/>
    </x:row>
    <x:row r="4">
      <x:c r="A4" s="27" t="str">
        <x:v>ID</x:v>
      </x:c>
      <x:c r="B4" s="27" t="str">
        <x:v>Source</x:v>
      </x:c>
      <x:c r="C4" s="27" t="str">
        <x:v>Organization</x:v>
      </x:c>
      <x:c r="D4" s="27" t="str">
        <x:v>Use</x:v>
      </x:c>
      <x:c r="E4" s="27" t="str">
        <x:v>URL</x:v>
      </x:c>
      <x:c r="F4" s="27" t="str">
        <x:v>Access</x:v>
      </x:c>
    </x:row>
    <x:row r="5">
      <x:c r="A5" s="28" t="str">
        <x:v>NRC-Maritime</x:v>
      </x:c>
      <x:c r="B5" s="28" t="str">
        <x:v>Maritime Nuclear Applications</x:v>
      </x:c>
      <x:c r="C5" s="28" t="str">
        <x:v>U.S. NRC</x:v>
      </x:c>
      <x:c r="D5" s="28" t="str">
        <x:v>Licensing/USCG coordination</x:v>
      </x:c>
      <x:c r="E5" s="28" t="str">
        <x:v>https://www.nrc.gov/reactors/new-reactors/advanced/modernizing/maritime-nuclear-apps</x:v>
      </x:c>
      <x:c r="F5" s="28" t="str">
        <x:v>2026-09-04</x:v>
      </x:c>
    </x:row>
    <x:row r="6">
      <x:c r="A6" s="28" t="str">
        <x:v>USCG-Floating</x:v>
      </x:c>
      <x:c r="B6" s="28" t="str">
        <x:v>Floating OCS Regulatory Guidance</x:v>
      </x:c>
      <x:c r="C6" s="28" t="str">
        <x:v>U.S. Coast Guard</x:v>
      </x:c>
      <x:c r="D6" s="28" t="str">
        <x:v>Marine regime map</x:v>
      </x:c>
      <x:c r="E6" s="28" t="str">
        <x:v>https://www.dco.uscg.mil/OCSNCOE/FOF/Regulatory-Guidance/</x:v>
      </x:c>
      <x:c r="F6" s="28" t="str">
        <x:v>2026-09-04</x:v>
      </x:c>
    </x:row>
    <x:row r="7">
      <x:c r="A7" s="28" t="str">
        <x:v>IAEA-923</x:v>
      </x:c>
      <x:c r="B7" s="28" t="str">
        <x:v>Non-electric Applications of Nuclear Energy</x:v>
      </x:c>
      <x:c r="C7" s="28" t="str">
        <x:v>IAEA</x:v>
      </x:c>
      <x:c r="D7" s="28" t="str">
        <x:v>Floating desalination precedent</x:v>
      </x:c>
      <x:c r="E7" s="28" t="str">
        <x:v>https://www-pub.iaea.org/MTCD/Publications/PDF/te_0923_scr.pdf</x:v>
      </x:c>
      <x:c r="F7" s="28" t="str">
        <x:v>2026-09-04</x:v>
      </x:c>
    </x:row>
    <x:row r="8">
      <x:c r="A8" s="28" t="str">
        <x:v>IAEA-1561</x:v>
      </x:c>
      <x:c r="B8" s="28" t="str">
        <x:v>Economics of Nuclear Desalination</x:v>
      </x:c>
      <x:c r="C8" s="28" t="str">
        <x:v>IAEA</x:v>
      </x:c>
      <x:c r="D8" s="28" t="str">
        <x:v>Alternative method</x:v>
      </x:c>
      <x:c r="E8" s="28" t="str">
        <x:v>https://www-pub.iaea.org/MTCD/publications/PDF/te_1561_web.pdf</x:v>
      </x:c>
      <x:c r="F8" s="28" t="str">
        <x:v>2026-09-04</x:v>
      </x:c>
    </x:row>
    <x:row r="9">
      <x:c r="A9" s="28" t="str">
        <x:v>DOE-Desal</x:v>
      </x:c>
      <x:c r="B9" s="28" t="str">
        <x:v>Seawater Desalination Bandwidth</x:v>
      </x:c>
      <x:c r="C9" s="28" t="str">
        <x:v>U.S. DOE</x:v>
      </x:c>
      <x:c r="D9" s="28" t="str">
        <x:v>RO energy bound</x:v>
      </x:c>
      <x:c r="E9" s="28" t="str">
        <x:v>https://www.energy.gov/sites/default/files/2017/12/f46/Seawater_desalination_bandwidth_study_2017.pdf</x:v>
      </x:c>
      <x:c r="F9" s="28" t="str">
        <x:v>2026-09-04</x:v>
      </x:c>
    </x:row>
    <x:row r="10">
      <x:c r="A10" s="28" t="str">
        <x:v>DOE-Offshore</x:v>
      </x:c>
      <x:c r="B10" s="28" t="str">
        <x:v>Atlantic Offshore Wind Transmission Action Plan</x:v>
      </x:c>
      <x:c r="C10" s="28" t="str">
        <x:v>U.S. DOE</x:v>
      </x:c>
      <x:c r="D10" s="28" t="str">
        <x:v>Export chain</x:v>
      </x:c>
      <x:c r="E10" s="28" t="str">
        <x:v>https://www.energy.gov/oe/atlantic-offshore-wind-transmission-action-plan</x:v>
      </x:c>
      <x:c r="F10" s="28" t="str">
        <x:v>2026-09-04</x:v>
      </x:c>
    </x:row>
    <x:row r="11">
      <x:c r="A11" s="28" t="str">
        <x:v>EPA-Discharge</x:v>
      </x:c>
      <x:c r="B11" s="28" t="str">
        <x:v>Discharges and Standards of Performance</x:v>
      </x:c>
      <x:c r="C11" s="28" t="str">
        <x:v>U.S. EPA</x:v>
      </x:c>
      <x:c r="D11" s="28" t="str">
        <x:v>Discharge constituents</x:v>
      </x:c>
      <x:c r="E11" s="28" t="str">
        <x:v>https://www.epa.gov/vessels-marinas-and-ports/discharges-and-epas-standards-performance</x:v>
      </x:c>
      <x:c r="F11" s="28" t="str">
        <x:v>2026-09-04</x:v>
      </x:c>
    </x:row>
    <x:row r="12">
      <x:c r="A12" s="28" t="str">
        <x:v>Internal-WRG</x:v>
      </x:c>
      <x:c r="B12" s="28" t="str">
        <x:v>WRG-50 configuration</x:v>
      </x:c>
      <x:c r="C12" s="28" t="str">
        <x:v>Disaster Force</x:v>
      </x:c>
      <x:c r="D12" s="28" t="str">
        <x:v>Distribution architecture</x:v>
      </x:c>
      <x:c r="E12" s="28" t="str">
        <x:v>research/capabilities/water/configuration-model.md</x:v>
      </x:c>
      <x:c r="F12" s="28" t="str">
        <x:v>2026-09-04</x:v>
      </x:c>
    </x:row>
    <x:row r="13">
      <x:c r="A13" s="28" t="str">
        <x:v>Internal-CTA</x:v>
      </x:c>
      <x:c r="B13" s="28" t="str">
        <x:v>Common technical architecture</x:v>
      </x:c>
      <x:c r="C13" s="28" t="str">
        <x:v>Disaster Force</x:v>
      </x:c>
      <x:c r="D13" s="28" t="str">
        <x:v>Boundary rules</x:v>
      </x:c>
      <x:c r="E13" s="28" t="str">
        <x:v>research/architecture/common-technical-architecture.md</x:v>
      </x:c>
      <x:c r="F13" s="28" t="str">
        <x:v>2026-09-04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42" hidden="0" customWidth="1"/>
    <x:col min="3" max="3" width="22" hidden="0" customWidth="1"/>
    <x:col min="4" max="4" width="16" hidden="0" customWidth="1"/>
    <x:col min="5" max="5" width="44" hidden="0" customWidth="1"/>
    <x:col min="6" max="6" width="18" hidden="0" customWidth="1"/>
  </x:cols>
  <x:sheetData>
    <x:row r="1" ht="30" customHeight="1">
      <x:c r="A1" s="2" t="str">
        <x:v>Integrity and decision checks</x:v>
      </x:c>
      <x:c r="B1" s="26"/>
      <x:c r="C1" s="26"/>
      <x:c r="D1" s="26"/>
      <x:c r="E1" s="26"/>
      <x:c r="F1" s="26"/>
    </x:row>
    <x:row r="2" ht="34" customHeight="1">
      <x:c r="A2" s="5" t="str">
        <x:v>OPEN is intentional where evidence is absent.</x:v>
      </x:c>
      <x:c r="B2" s="26"/>
      <x:c r="C2" s="26"/>
      <x:c r="D2" s="26"/>
      <x:c r="E2" s="26"/>
      <x:c r="F2" s="26"/>
    </x:row>
    <x:row r="3">
      <x:c r="A3" s="26"/>
      <x:c r="B3" s="26"/>
      <x:c r="C3" s="26"/>
      <x:c r="D3" s="26"/>
      <x:c r="E3" s="26"/>
      <x:c r="F3" s="26"/>
    </x:row>
    <x:row r="4">
      <x:c r="A4" s="27" t="str">
        <x:v>ID</x:v>
      </x:c>
      <x:c r="B4" s="27" t="str">
        <x:v>Check</x:v>
      </x:c>
      <x:c r="C4" s="27" t="str">
        <x:v>Result</x:v>
      </x:c>
      <x:c r="D4" s="27" t="str">
        <x:v>Status</x:v>
      </x:c>
      <x:c r="E4" s="27" t="str">
        <x:v>Meaning</x:v>
      </x:c>
      <x:c r="F4" s="27" t="str">
        <x:v>Class</x:v>
      </x:c>
    </x:row>
    <x:row r="5">
      <x:c r="A5" s="28" t="str">
        <x:v>C01</x:v>
      </x:c>
      <x:c r="B5" s="28" t="str">
        <x:v>Electrical margin nonnegative</x:v>
      </x:c>
      <x:c r="C5" s="31" t="n">
        <x:f>'Energy Balance'!B13</x:f>
        <x:v>95.54583333333332</x:v>
      </x:c>
      <x:c r="D5" s="38" t="str">
        <x:f>IF(C5&gt;=0,"PASS","OPEN")</x:f>
        <x:v>PASS</x:v>
      </x:c>
      <x:c r="E5" s="28" t="str">
        <x:v>Loads fit first-order bus</x:v>
      </x:c>
      <x:c r="F5" s="28" t="str">
        <x:v>Arithmetic</x:v>
      </x:c>
    </x:row>
    <x:row r="6">
      <x:c r="A6" s="28" t="str">
        <x:v>C02</x:v>
      </x:c>
      <x:c r="B6" s="28" t="str">
        <x:v>Water mass closes</x:v>
      </x:c>
      <x:c r="C6" s="31" t="n">
        <x:f>'Water Balance'!B13</x:f>
        <x:v>0</x:v>
      </x:c>
      <x:c r="D6" s="38" t="str">
        <x:f>IF(ABS(C6)&lt;0.01,"PASS","OPEN")</x:f>
        <x:v>PASS</x:v>
      </x:c>
      <x:c r="E6" s="28" t="str">
        <x:v>Feed=product+concentrate</x:v>
      </x:c>
      <x:c r="F6" s="28" t="str">
        <x:v>Arithmetic</x:v>
      </x:c>
    </x:row>
    <x:row r="7">
      <x:c r="A7" s="28" t="str">
        <x:v>C03</x:v>
      </x:c>
      <x:c r="B7" s="28" t="str">
        <x:v>Pipe ID meets diameter</x:v>
      </x:c>
      <x:c r="C7" s="31" t="n">
        <x:f>Pipeline!B8-Pipeline!B6</x:f>
        <x:v>0.023965825569382537</x:v>
      </x:c>
      <x:c r="D7" s="38" t="str">
        <x:f>IF(C7&gt;=0,"PASS","OPEN")</x:f>
        <x:v>PASS</x:v>
      </x:c>
      <x:c r="E7" s="28" t="str">
        <x:v>Single-trunk geometry</x:v>
      </x:c>
      <x:c r="F7" s="28" t="str">
        <x:v>Arithmetic</x:v>
      </x:c>
    </x:row>
    <x:row r="8">
      <x:c r="A8" s="28" t="str">
        <x:v>C04</x:v>
      </x:c>
      <x:c r="B8" s="28" t="str">
        <x:v>Program equals envelope</x:v>
      </x:c>
      <x:c r="C8" s="31" t="n">
        <x:f>'Program Cost'!D15-Controls!B36</x:f>
        <x:v>0</x:v>
      </x:c>
      <x:c r="D8" s="38" t="str">
        <x:f>IF(ABS(C8)&lt;0.01,"PASS","OPEN")</x:f>
        <x:v>PASS</x:v>
      </x:c>
      <x:c r="E8" s="28" t="str">
        <x:v>No cost plug</x:v>
      </x:c>
      <x:c r="F8" s="28" t="str">
        <x:v>Financial</x:v>
      </x:c>
    </x:row>
    <x:row r="9">
      <x:c r="A9" s="28" t="str">
        <x:v>C05</x:v>
      </x:c>
      <x:c r="B9" s="28" t="str">
        <x:v>Funding equals envelope</x:v>
      </x:c>
      <x:c r="C9" s="31" t="n">
        <x:f>'Annual Funding'!D29-Controls!B36</x:f>
        <x:v>0</x:v>
      </x:c>
      <x:c r="D9" s="38" t="str">
        <x:f>IF(ABS(C9)&lt;0.01,"PASS","OPEN")</x:f>
        <x:v>PASS</x:v>
      </x:c>
      <x:c r="E9" s="28" t="str">
        <x:v>25 years reconcile</x:v>
      </x:c>
      <x:c r="F9" s="28" t="str">
        <x:v>Financial</x:v>
      </x:c>
    </x:row>
    <x:row r="10">
      <x:c r="A10" s="28" t="str">
        <x:v>C06</x:v>
      </x:c>
      <x:c r="B10" s="28" t="str">
        <x:v>Reference fleet P≥3 at least 95%</x:v>
      </x:c>
      <x:c r="C10" s="31" t="n">
        <x:f>'Fleet Availability'!D10</x:f>
        <x:v>0.9746824866796875</x:v>
      </x:c>
      <x:c r="D10" s="38" t="str">
        <x:f>IF(C10&gt;=0.95,"PASS","OPEN")</x:f>
        <x:v>PASS</x:v>
      </x:c>
      <x:c r="E10" s="28" t="str">
        <x:v>Independent screen</x:v>
      </x:c>
      <x:c r="F10" s="28" t="str">
        <x:v>Force</x:v>
      </x:c>
    </x:row>
    <x:row r="11">
      <x:c r="A11" s="28" t="str">
        <x:v>C07</x:v>
      </x:c>
      <x:c r="B11" s="28" t="str">
        <x:v>Deployed workforce is 2,440</x:v>
      </x:c>
      <x:c r="C11" s="31" t="n">
        <x:f>Workforce!B14-2440</x:f>
        <x:v>0</x:v>
      </x:c>
      <x:c r="D11" s="38" t="str">
        <x:f>IF(ABS(C11)&lt;0.01,"PASS","OPEN")</x:f>
        <x:v>PASS</x:v>
      </x:c>
      <x:c r="E11" s="28" t="str">
        <x:v>Category sum</x:v>
      </x:c>
      <x:c r="F11" s="28" t="str">
        <x:v>Workforce</x:v>
      </x:c>
    </x:row>
    <x:row r="12">
      <x:c r="A12" s="28" t="str">
        <x:v>C08</x:v>
      </x:c>
      <x:c r="B12" s="28" t="str">
        <x:v>Mature workforce calculated</x:v>
      </x:c>
      <x:c r="C12" s="31" t="n">
        <x:f>Workforce!B16</x:f>
        <x:v>46848</x:v>
      </x:c>
      <x:c r="D12" s="38" t="str">
        <x:f>IF(C12&gt;0,"PASS","OPEN")</x:f>
        <x:v>PASS</x:v>
      </x:c>
      <x:c r="E12" s="28" t="str">
        <x:v>Rotation linked</x:v>
      </x:c>
      <x:c r="F12" s="28" t="str">
        <x:v>Workforce</x:v>
      </x:c>
    </x:row>
    <x:row r="13">
      <x:c r="A13" s="28" t="str">
        <x:v>C09</x:v>
      </x:c>
      <x:c r="B13" s="28" t="str">
        <x:v>Six alternatives present</x:v>
      </x:c>
      <x:c r="C13" s="31" t="n">
        <x:f>COUNTA(Architectures!A5:A10)</x:f>
        <x:v>6</x:v>
      </x:c>
      <x:c r="D13" s="38" t="str">
        <x:f>IF(C13=6,"PASS","OPEN")</x:f>
        <x:v>PASS</x:v>
      </x:c>
      <x:c r="E13" s="28" t="str">
        <x:v>Comparison retained</x:v>
      </x:c>
      <x:c r="F13" s="28" t="str">
        <x:v>Architecture</x:v>
      </x:c>
    </x:row>
    <x:row r="14">
      <x:c r="A14" s="28" t="str">
        <x:v>C10</x:v>
      </x:c>
      <x:c r="B14" s="28" t="str">
        <x:v>At least ten failures</x:v>
      </x:c>
      <x:c r="C14" s="31" t="n">
        <x:f>COUNTA('Failure Modes'!A5:A16)</x:f>
        <x:v>12</x:v>
      </x:c>
      <x:c r="D14" s="38" t="str">
        <x:f>IF(C14&gt;=10,"PASS","OPEN")</x:f>
        <x:v>PASS</x:v>
      </x:c>
      <x:c r="E14" s="28" t="str">
        <x:v>Degraded states</x:v>
      </x:c>
      <x:c r="F14" s="28" t="str">
        <x:v>Architecture</x:v>
      </x:c>
    </x:row>
    <x:row r="15">
      <x:c r="A15" s="28" t="str">
        <x:v>C11</x:v>
      </x:c>
      <x:c r="B15" s="28" t="str">
        <x:v>All 15 evidence gates closed</x:v>
      </x:c>
      <x:c r="C15" s="31" t="n">
        <x:f>COUNTIF('Evidence Gates'!E5:E19,"PASS")</x:f>
        <x:v>0</x:v>
      </x:c>
      <x:c r="D15" s="38" t="str">
        <x:f>IF(C15=15,"PASS","OPEN")</x:f>
        <x:v>OPEN</x:v>
      </x:c>
      <x:c r="E15" s="28" t="str">
        <x:v>No readiness credit</x:v>
      </x:c>
      <x:c r="F15" s="28" t="str">
        <x:v>Evidence</x:v>
      </x:c>
    </x:row>
    <x:row r="16">
      <x:c r="A16" s="28" t="str">
        <x:v>C12</x:v>
      </x:c>
      <x:c r="B16" s="28" t="str">
        <x:v>No gate blocks rendering</x:v>
      </x:c>
      <x:c r="C16" s="31" t="n">
        <x:f>COUNTIF('Evidence Gates'!F5:F19,"NO")</x:f>
        <x:v>0</x:v>
      </x:c>
      <x:c r="D16" s="38" t="str">
        <x:f>IF(C16=15,"PASS","OPEN")</x:f>
        <x:v>OPEN</x:v>
      </x:c>
      <x:c r="E16" s="28" t="str">
        <x:v>Exterior gate</x:v>
      </x:c>
      <x:c r="F16" s="28" t="str">
        <x:v>Rendering</x:v>
      </x:c>
    </x:row>
    <x:row r="17">
      <x:c r="A17" s="28" t="str">
        <x:v>C13</x:v>
      </x:c>
      <x:c r="B17" s="28" t="str">
        <x:v>Rendering authorization</x:v>
      </x:c>
      <x:c r="C17" s="38" t="str">
        <x:f>"BLOCKED"</x:f>
        <x:v>BLOCKED</x:v>
      </x:c>
      <x:c r="D17" s="38" t="str">
        <x:f>IF(C17="BLOCKED","PASS","OPEN")</x:f>
        <x:v>PASS</x:v>
      </x:c>
      <x:c r="E17" s="28" t="str">
        <x:v>Must stay blocked</x:v>
      </x:c>
      <x:c r="F17" s="28" t="str">
        <x:v>Rendering</x:v>
      </x:c>
    </x:row>
    <x:row r="18">
      <x:c r="A18" s="28" t="str">
        <x:v>C14</x:v>
      </x:c>
      <x:c r="B18" s="28" t="str">
        <x:v>Official external sources present</x:v>
      </x:c>
      <x:c r="C18" s="38" t="n">
        <x:f>COUNTA(Sources!A5:A11)</x:f>
        <x:v>7</x:v>
      </x:c>
      <x:c r="D18" s="38" t="str">
        <x:f>IF(C18&gt;=7,"PASS","OPEN")</x:f>
        <x:v>PASS</x:v>
      </x:c>
      <x:c r="E18" s="28" t="str">
        <x:v>Provenance</x:v>
      </x:c>
      <x:c r="F18" s="28" t="str">
        <x:v>Evidence</x:v>
      </x:c>
    </x:row>
    <x:row r="19">
      <x:c r="A19" s="28" t="str">
        <x:v>C15</x:v>
      </x:c>
      <x:c r="B19" s="28" t="str">
        <x:v>Overall maturity</x:v>
      </x:c>
      <x:c r="C19" s="38" t="str">
        <x:f>"R2+ / OPEN"</x:f>
        <x:v>R2+ / OPEN</x:v>
      </x:c>
      <x:c r="D19" s="38" t="str">
        <x:f>IF(C19="R2+ / OPEN","PASS","OPEN")</x:f>
        <x:v>PASS</x:v>
      </x:c>
      <x:c r="E19" s="28" t="str">
        <x:v>Arithmetic with open evidence</x:v>
      </x:c>
      <x:c r="F19" s="28" t="str">
        <x:v>Decision</x:v>
      </x:c>
    </x:row>
  </x:sheetData>
  <x:mergeCells>
    <x:mergeCell ref="A1:F1"/>
    <x:mergeCell ref="A2:F2"/>
  </x:mergeCells>
  <x:conditionalFormatting sqref="D5:D19">
    <x:cfRule type="containsText" dxfId="6" priority="1" operator="containsText" text="PASS"/>
    <x:cfRule type="containsText" dxfId="7" priority="2" operator="containsText" text="OPEN"/>
  </x:conditionalFormatting>
  <x:pageMargins left="0.7" right="0.7" top="0.75" bottom="0.75" header="0.3" footer="0.3"/>
</x:worksheet>
</file>