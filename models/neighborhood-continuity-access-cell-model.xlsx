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e75e45744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99a70308023f4d4a"/>
    <x:sheet xmlns:r="http://schemas.openxmlformats.org/officeDocument/2006/relationships" name="Read Me" sheetId="2" r:id="R466d24ee48074b61"/>
    <x:sheet xmlns:r="http://schemas.openxmlformats.org/officeDocument/2006/relationships" name="Mission" sheetId="3" r:id="Re8f6910de5fc4606"/>
    <x:sheet xmlns:r="http://schemas.openxmlformats.org/officeDocument/2006/relationships" name="Source Area" sheetId="4" r:id="R5744b45cf15845c9"/>
    <x:sheet xmlns:r="http://schemas.openxmlformats.org/officeDocument/2006/relationships" name="Assumptions" sheetId="5" r:id="R22a337ac643e4f9b"/>
    <x:sheet xmlns:r="http://schemas.openxmlformats.org/officeDocument/2006/relationships" name="Architectures" sheetId="6" r:id="R3a5acd565651494e"/>
    <x:sheet xmlns:r="http://schemas.openxmlformats.org/officeDocument/2006/relationships" name="Base Closure" sheetId="7" r:id="R8e9a44106e2b44b4"/>
    <x:sheet xmlns:r="http://schemas.openxmlformats.org/officeDocument/2006/relationships" name="Failure Cases" sheetId="8" r:id="R51cf9b78c6ad4eec"/>
    <x:sheet xmlns:r="http://schemas.openxmlformats.org/officeDocument/2006/relationships" name="Service Clock" sheetId="9" r:id="Rb3ccf0277d5e4709"/>
    <x:sheet xmlns:r="http://schemas.openxmlformats.org/officeDocument/2006/relationships" name="Task Model" sheetId="10" r:id="R61fbac56b96f43a4"/>
    <x:sheet xmlns:r="http://schemas.openxmlformats.org/officeDocument/2006/relationships" name="Workforce" sheetId="11" r:id="R128e886226fc4dc7"/>
    <x:sheet xmlns:r="http://schemas.openxmlformats.org/officeDocument/2006/relationships" name="Equipment" sheetId="12" r:id="R92d5a95466464b2b"/>
    <x:sheet xmlns:r="http://schemas.openxmlformats.org/officeDocument/2006/relationships" name="Logistics" sheetId="13" r:id="Rfee89effdd484d54"/>
    <x:sheet xmlns:r="http://schemas.openxmlformats.org/officeDocument/2006/relationships" name="Power Water" sheetId="14" r:id="R37f295b5a75248d5"/>
    <x:sheet xmlns:r="http://schemas.openxmlformats.org/officeDocument/2006/relationships" name="Finance" sheetId="15" r:id="R1a33fd99c8a24ca4"/>
    <x:sheet xmlns:r="http://schemas.openxmlformats.org/officeDocument/2006/relationships" name="Harris Scale" sheetId="16" r:id="R0eb35169f0fc4f04"/>
    <x:sheet xmlns:r="http://schemas.openxmlformats.org/officeDocument/2006/relationships" name="Rights Data" sheetId="17" r:id="R24e3866f2d024ae6"/>
    <x:sheet xmlns:r="http://schemas.openxmlformats.org/officeDocument/2006/relationships" name="Technology" sheetId="18" r:id="R3ead2c0e2ddf4b26"/>
    <x:sheet xmlns:r="http://schemas.openxmlformats.org/officeDocument/2006/relationships" name="Evidence Gates" sheetId="19" r:id="Re685b7b4ad1e4ac2"/>
    <x:sheet xmlns:r="http://schemas.openxmlformats.org/officeDocument/2006/relationships" name="Sources" sheetId="20" r:id="R3f6aa67a1cd549cb"/>
    <x:sheet xmlns:r="http://schemas.openxmlformats.org/officeDocument/2006/relationships" name="Checks" sheetId="21" r:id="R79e35d7f305f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0"/>
    <x:numFmt numFmtId="201" formatCode="0&quot; / 10&quot;"/>
    <x:numFmt numFmtId="202" formatCode="0.0%"/>
    <x:numFmt numFmtId="203" formatCode="#,##0"/>
    <x:numFmt numFmtId="204" formatCode="&quot;$&quot;0.00"/>
    <x:numFmt numFmtId="205" formatCode="#,##0.0"/>
    <x:numFmt numFmtId="206" formatCode="#,##0.00"/>
    <x:numFmt numFmtId="207" formatCode="0.00"/>
    <x:numFmt numFmtId="208" formatCode="0.000"/>
    <x:numFmt numFmtId="209" formatCode="0%"/>
    <x:numFmt numFmtId="210" formatCode="0.0"/>
    <x:numFmt numFmtId="211" formatCode="&quot;$&quot;#,##0.0"/>
    <x:numFmt numFmtId="212" formatCode="&quot;$&quot;0.000"/>
    <x:numFmt numFmtId="213" formatCode="&quot;$&quot;#,##0.00"/>
    <x:numFmt numFmtId="214" formatCode="#,##0.000"/>
  </x:numFmts>
  <x:fonts count="9">
    <x:font>
      <x:sz val="11"/>
      <x:name val="Carlito"/>
    </x:font>
    <x:font>
      <x:b/>
      <x:sz val="16"/>
      <x:color rgb="FF1D2A33"/>
      <x:name val="Arial"/>
    </x:font>
    <x:font>
      <x:i/>
      <x:sz val="9"/>
      <x:color rgb="FF60727D"/>
      <x:name val="Arial"/>
    </x:font>
    <x:font>
      <x:b/>
      <x:sz val="10"/>
      <x:color rgb="FF173E52"/>
      <x:name val="Arial"/>
    </x:font>
    <x:font>
      <x:i/>
      <x:sz val="10"/>
      <x:color rgb="FF25313A"/>
      <x:name val="Arial"/>
    </x:font>
    <x:font>
      <x:b/>
      <x:sz val="9"/>
      <x:color rgb="FFFFFFFF"/>
      <x:name val="Arial"/>
    </x:font>
    <x:font>
      <x:b/>
      <x:sz val="10"/>
      <x:color rgb="FF25313A"/>
      <x:name val="Arial"/>
    </x:font>
    <x:font>
      <x:sz val="10"/>
      <x:color rgb="FF25313A"/>
      <x:name val="Arial"/>
    </x:font>
    <x:font>
      <x:sz val="10"/>
      <x:color rgb="FF1F4E7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F1F5"/>
      </x:patternFill>
    </x:fill>
    <x:fill>
      <x:patternFill patternType="solid">
        <x:fgColor rgb="FFFCE4D6"/>
      </x:patternFill>
    </x:fill>
    <x:fill>
      <x:patternFill patternType="solid">
        <x:fgColor rgb="FF173E52"/>
      </x:patternFill>
    </x:fill>
    <x:fill>
      <x:patternFill patternType="solid">
        <x:fgColor rgb="FFF4F7F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6">
    <x:border/>
    <x:border>
      <x:bottom style="thin">
        <x:color rgb="FF8099A6"/>
      </x:bottom>
    </x:border>
    <x:border>
      <x:bottom style="thin">
        <x:color rgb="FFC9D5DB"/>
      </x:bottom>
    </x:border>
    <x:border>
      <x:right style="thin">
        <x:color rgb="FFD7E2E8"/>
      </x:right>
    </x:border>
    <x:border>
      <x:left style="thin">
        <x:color rgb="FFD7E2E8"/>
      </x:left>
      <x:right style="thin">
        <x:color rgb="FFD7E2E8"/>
      </x:right>
    </x:border>
    <x:border>
      <x:left style="thin">
        <x:color rgb="FFD7E2E8"/>
      </x:left>
    </x:border>
  </x:borders>
  <x:cellStyleXfs count="1">
    <x:xf numFmtId="0" fontId="0" fillId="0" borderId="0"/>
  </x:cellStyleXfs>
  <x:cellXfs count="1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0" fillId="0" borderId="0" xfId="0" applyNumberFormat="1" applyFont="1" applyFill="1" applyBorder="1"/>
    <x:xf numFmtId="204" fontId="0" fillId="5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2" borderId="2" xfId="0" applyNumberFormat="1" applyFont="1" applyFill="1" applyBorder="1"/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203" fontId="7" fillId="5" borderId="0" xfId="0" applyNumberFormat="1" applyFont="1" applyFill="1" applyBorder="1"/>
    <x:xf numFmtId="204" fontId="7" fillId="5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6" fillId="2" borderId="2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center" vertical="top" wrapText="1"/>
    </x:xf>
    <x:xf numFmtId="0" fontId="6" fillId="4" borderId="5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vertical="top"/>
    </x:xf>
    <x:xf numFmtId="200" fontId="7" fillId="5" borderId="0" xfId="0" applyNumberFormat="1" applyFont="1" applyFill="1" applyBorder="1" applyAlignment="1">
      <x:alignment vertical="top"/>
    </x:xf>
    <x:xf numFmtId="201" fontId="7" fillId="5" borderId="0" xfId="0" applyNumberFormat="1" applyFont="1" applyFill="1" applyBorder="1" applyAlignment="1">
      <x:alignment vertical="top"/>
    </x:xf>
    <x:xf numFmtId="202" fontId="7" fillId="5" borderId="0" xfId="0" applyNumberFormat="1" applyFont="1" applyFill="1" applyBorder="1" applyAlignment="1">
      <x:alignment vertical="top"/>
    </x:xf>
    <x:xf numFmtId="203" fontId="7" fillId="5" borderId="0" xfId="0" applyNumberFormat="1" applyFont="1" applyFill="1" applyBorder="1" applyAlignment="1">
      <x:alignment vertical="top"/>
    </x:xf>
    <x:xf numFmtId="204" fontId="7" fillId="5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3" fontId="7" fillId="0" borderId="0" xfId="0" applyNumberFormat="1" applyFont="1" applyFill="1" applyBorder="1" applyAlignment="1">
      <x:alignment vertical="top"/>
    </x:xf>
    <x:xf numFmtId="204" fontId="7" fillId="0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vertical="top"/>
    </x:xf>
    <x:xf numFmtId="205" fontId="0" fillId="5" borderId="0" xfId="0" applyNumberFormat="1" applyFont="1" applyFill="1" applyBorder="1"/>
    <x:xf numFmtId="205" fontId="0" fillId="0" borderId="0" xfId="0" applyNumberFormat="1" applyFont="1" applyFill="1" applyBorder="1"/>
    <x:xf numFmtId="205" fontId="7" fillId="5" borderId="0" xfId="0" applyNumberFormat="1" applyFont="1" applyFill="1" applyBorder="1"/>
    <x:xf numFmtId="205" fontId="7" fillId="0" borderId="0" xfId="0" applyNumberFormat="1" applyFont="1" applyFill="1" applyBorder="1"/>
    <x:xf numFmtId="205" fontId="7" fillId="5" borderId="0" xfId="0" applyNumberFormat="1" applyFont="1" applyFill="1" applyBorder="1" applyAlignment="1">
      <x:alignment vertical="top"/>
    </x:xf>
    <x:xf numFmtId="205" fontId="7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6" fontId="8" fillId="6" borderId="0" xfId="0" applyNumberFormat="1" applyFont="1" applyFill="1" applyBorder="1" applyAlignment="1">
      <x:alignment wrapText="1"/>
    </x:xf>
    <x:xf numFmtId="206" fontId="7" fillId="6" borderId="0" xfId="0" applyNumberFormat="1" applyFont="1" applyFill="1" applyBorder="1" applyAlignment="1">
      <x:alignment wrapText="1"/>
    </x:xf>
    <x:xf numFmtId="206" fontId="7" fillId="6" borderId="0" xfId="0" applyNumberFormat="1" applyFont="1" applyFill="1" applyBorder="1" applyAlignment="1">
      <x:alignment vertical="top" wrapText="1"/>
    </x:xf>
    <x:xf numFmtId="200" fontId="8" fillId="6" borderId="0" xfId="0" applyNumberFormat="1" applyFont="1" applyFill="1" applyBorder="1"/>
    <x:xf numFmtId="207" fontId="8" fillId="6" borderId="0" xfId="0" applyNumberFormat="1" applyFont="1" applyFill="1" applyBorder="1"/>
    <x:xf numFmtId="208" fontId="8" fillId="6" borderId="0" xfId="0" applyNumberFormat="1" applyFont="1" applyFill="1" applyBorder="1"/>
    <x:xf numFmtId="200" fontId="7" fillId="6" borderId="0" xfId="0" applyNumberFormat="1" applyFont="1" applyFill="1" applyBorder="1"/>
    <x:xf numFmtId="207" fontId="7" fillId="6" borderId="0" xfId="0" applyNumberFormat="1" applyFont="1" applyFill="1" applyBorder="1"/>
    <x:xf numFmtId="208" fontId="7" fillId="6" borderId="0" xfId="0" applyNumberFormat="1" applyFont="1" applyFill="1" applyBorder="1"/>
    <x:xf numFmtId="200" fontId="7" fillId="6" borderId="0" xfId="0" applyNumberFormat="1" applyFont="1" applyFill="1" applyBorder="1" applyAlignment="1">
      <x:alignment vertical="top"/>
    </x:xf>
    <x:xf numFmtId="207" fontId="7" fillId="6" borderId="0" xfId="0" applyNumberFormat="1" applyFont="1" applyFill="1" applyBorder="1" applyAlignment="1">
      <x:alignment vertical="top"/>
    </x:xf>
    <x:xf numFmtId="208" fontId="7" fillId="6" borderId="0" xfId="0" applyNumberFormat="1" applyFont="1" applyFill="1" applyBorder="1" applyAlignment="1">
      <x:alignment vertical="top"/>
    </x:xf>
    <x:xf numFmtId="206" fontId="0" fillId="5" borderId="0" xfId="0" applyNumberFormat="1" applyFont="1" applyFill="1" applyBorder="1"/>
    <x:xf numFmtId="206" fontId="0" fillId="0" borderId="0" xfId="0" applyNumberFormat="1" applyFont="1" applyFill="1" applyBorder="1"/>
    <x:xf numFmtId="209" fontId="0" fillId="5" borderId="0" xfId="0" applyNumberFormat="1" applyFont="1" applyFill="1" applyBorder="1"/>
    <x:xf numFmtId="209" fontId="0" fillId="0" borderId="0" xfId="0" applyNumberFormat="1" applyFont="1" applyFill="1" applyBorder="1"/>
    <x:xf numFmtId="205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6" fontId="0" fillId="5" borderId="0" xfId="0" applyNumberFormat="1" applyFont="1" applyFill="1" applyBorder="1" applyAlignment="1">
      <x:alignment wrapText="1"/>
    </x:xf>
    <x:xf numFmtId="209" fontId="0" fillId="5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5" fontId="7" fillId="5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wrapText="1"/>
    </x:xf>
    <x:xf numFmtId="206" fontId="7" fillId="5" borderId="0" xfId="0" applyNumberFormat="1" applyFont="1" applyFill="1" applyBorder="1" applyAlignment="1">
      <x:alignment wrapText="1"/>
    </x:xf>
    <x:xf numFmtId="209" fontId="7" fillId="5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6" fontId="7" fillId="0" borderId="0" xfId="0" applyNumberFormat="1" applyFont="1" applyFill="1" applyBorder="1" applyAlignment="1">
      <x:alignment wrapText="1"/>
    </x:xf>
    <x:xf numFmtId="209" fontId="7" fillId="0" borderId="0" xfId="0" applyNumberFormat="1" applyFont="1" applyFill="1" applyBorder="1" applyAlignment="1">
      <x:alignment wrapText="1"/>
    </x:xf>
    <x:xf numFmtId="205" fontId="7" fillId="5" borderId="0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vertical="top" wrapText="1"/>
    </x:xf>
    <x:xf numFmtId="206" fontId="7" fillId="5" borderId="0" xfId="0" applyNumberFormat="1" applyFont="1" applyFill="1" applyBorder="1" applyAlignment="1">
      <x:alignment vertical="top" wrapText="1"/>
    </x:xf>
    <x:xf numFmtId="209" fontId="7" fillId="5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6" fontId="7" fillId="0" borderId="0" xfId="0" applyNumberFormat="1" applyFont="1" applyFill="1" applyBorder="1" applyAlignment="1">
      <x:alignment vertical="top" wrapText="1"/>
    </x:xf>
    <x:xf numFmtId="209" fontId="7" fillId="0" borderId="0" xfId="0" applyNumberFormat="1" applyFont="1" applyFill="1" applyBorder="1" applyAlignment="1">
      <x:alignment vertical="top" wrapText="1"/>
    </x:xf>
    <x:xf numFmtId="210" fontId="0" fillId="5" borderId="0" xfId="0" applyNumberFormat="1" applyFont="1" applyFill="1" applyBorder="1"/>
    <x:xf numFmtId="210" fontId="0" fillId="0" borderId="0" xfId="0" applyNumberFormat="1" applyFont="1" applyFill="1" applyBorder="1"/>
    <x:xf numFmtId="210" fontId="7" fillId="5" borderId="0" xfId="0" applyNumberFormat="1" applyFont="1" applyFill="1" applyBorder="1"/>
    <x:xf numFmtId="210" fontId="7" fillId="0" borderId="0" xfId="0" applyNumberFormat="1" applyFont="1" applyFill="1" applyBorder="1"/>
    <x:xf numFmtId="210" fontId="7" fillId="5" borderId="0" xfId="0" applyNumberFormat="1" applyFont="1" applyFill="1" applyBorder="1" applyAlignment="1">
      <x:alignment vertical="top"/>
    </x:xf>
    <x:xf numFmtId="210" fontId="7" fillId="0" borderId="0" xfId="0" applyNumberFormat="1" applyFont="1" applyFill="1" applyBorder="1" applyAlignment="1">
      <x:alignment vertical="top"/>
    </x:xf>
    <x:xf numFmtId="211" fontId="0" fillId="5" borderId="0" xfId="0" applyNumberFormat="1" applyFont="1" applyFill="1" applyBorder="1"/>
    <x:xf numFmtId="211" fontId="0" fillId="0" borderId="0" xfId="0" applyNumberFormat="1" applyFont="1" applyFill="1" applyBorder="1"/>
    <x:xf numFmtId="212" fontId="0" fillId="5" borderId="0" xfId="0" applyNumberFormat="1" applyFont="1" applyFill="1" applyBorder="1"/>
    <x:xf numFmtId="212" fontId="0" fillId="0" borderId="0" xfId="0" applyNumberFormat="1" applyFont="1" applyFill="1" applyBorder="1"/>
    <x:xf numFmtId="211" fontId="7" fillId="5" borderId="0" xfId="0" applyNumberFormat="1" applyFont="1" applyFill="1" applyBorder="1"/>
    <x:xf numFmtId="211" fontId="7" fillId="0" borderId="0" xfId="0" applyNumberFormat="1" applyFont="1" applyFill="1" applyBorder="1"/>
    <x:xf numFmtId="212" fontId="7" fillId="5" borderId="0" xfId="0" applyNumberFormat="1" applyFont="1" applyFill="1" applyBorder="1"/>
    <x:xf numFmtId="212" fontId="7" fillId="0" borderId="0" xfId="0" applyNumberFormat="1" applyFont="1" applyFill="1" applyBorder="1"/>
    <x:xf numFmtId="211" fontId="7" fillId="5" borderId="0" xfId="0" applyNumberFormat="1" applyFont="1" applyFill="1" applyBorder="1" applyAlignment="1">
      <x:alignment vertical="top"/>
    </x:xf>
    <x:xf numFmtId="211" fontId="7" fillId="0" borderId="0" xfId="0" applyNumberFormat="1" applyFont="1" applyFill="1" applyBorder="1" applyAlignment="1">
      <x:alignment vertical="top"/>
    </x:xf>
    <x:xf numFmtId="212" fontId="7" fillId="5" borderId="0" xfId="0" applyNumberFormat="1" applyFont="1" applyFill="1" applyBorder="1" applyAlignment="1">
      <x:alignment vertical="top"/>
    </x:xf>
    <x:xf numFmtId="212" fontId="7" fillId="0" borderId="0" xfId="0" applyNumberFormat="1" applyFont="1" applyFill="1" applyBorder="1" applyAlignment="1">
      <x:alignment vertical="top"/>
    </x:xf>
    <x:xf numFmtId="213" fontId="0" fillId="0" borderId="0" xfId="0" applyNumberFormat="1" applyFont="1" applyFill="1" applyBorder="1"/>
    <x:xf numFmtId="213" fontId="0" fillId="5" borderId="0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13" fontId="0" fillId="0" borderId="0" xfId="0" applyNumberFormat="1" applyFont="1" applyFill="1" applyBorder="1" applyAlignment="1">
      <x:alignment wrapText="1"/>
    </x:xf>
    <x:xf numFmtId="213" fontId="0" fillId="5" borderId="0" xfId="0" applyNumberFormat="1" applyFont="1" applyFill="1" applyBorder="1" applyAlignment="1">
      <x:alignment wrapText="1"/>
    </x:xf>
    <x:xf numFmtId="203" fontId="7" fillId="5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213" fontId="7" fillId="0" borderId="0" xfId="0" applyNumberFormat="1" applyFont="1" applyFill="1" applyBorder="1" applyAlignment="1">
      <x:alignment wrapText="1"/>
    </x:xf>
    <x:xf numFmtId="213" fontId="7" fillId="5" borderId="0" xfId="0" applyNumberFormat="1" applyFont="1" applyFill="1" applyBorder="1" applyAlignment="1">
      <x:alignment wrapText="1"/>
    </x:xf>
    <x:xf numFmtId="203" fontId="7" fillId="5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213" fontId="7" fillId="0" borderId="0" xfId="0" applyNumberFormat="1" applyFont="1" applyFill="1" applyBorder="1" applyAlignment="1">
      <x:alignment vertical="top" wrapText="1"/>
    </x:xf>
    <x:xf numFmtId="213" fontId="7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214" fontId="0" fillId="5" borderId="0" xfId="0" applyNumberFormat="1" applyFont="1" applyFill="1" applyBorder="1"/>
    <x:xf numFmtId="214" fontId="0" fillId="0" borderId="0" xfId="0" applyNumberFormat="1" applyFont="1" applyFill="1" applyBorder="1"/>
    <x:xf numFmtId="214" fontId="7" fillId="5" borderId="0" xfId="0" applyNumberFormat="1" applyFont="1" applyFill="1" applyBorder="1"/>
    <x:xf numFmtId="214" fontId="7" fillId="0" borderId="0" xfId="0" applyNumberFormat="1" applyFont="1" applyFill="1" applyBorder="1"/>
    <x:xf numFmtId="214" fontId="7" fillId="5" borderId="0" xfId="0" applyNumberFormat="1" applyFont="1" applyFill="1" applyBorder="1" applyAlignment="1">
      <x:alignment vertical="top"/>
    </x:xf>
    <x:xf numFmtId="214" fontId="7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db2e79f5c46e2" /><Relationship Type="http://schemas.openxmlformats.org/officeDocument/2006/relationships/theme" Target="/xl/theme/theme1.xml" Id="R2ffd85c69cea430f" /><Relationship Type="http://schemas.openxmlformats.org/officeDocument/2006/relationships/sharedStrings" Target="/xl/sharedStrings.xml" Id="R50d2c9b321754510" /><Relationship Type="http://schemas.openxmlformats.org/officeDocument/2006/relationships/worksheet" Target="/xl/worksheets/sheet1.xml" Id="R99a70308023f4d4a" /><Relationship Type="http://schemas.openxmlformats.org/officeDocument/2006/relationships/worksheet" Target="/xl/worksheets/sheet2.xml" Id="R466d24ee48074b61" /><Relationship Type="http://schemas.openxmlformats.org/officeDocument/2006/relationships/worksheet" Target="/xl/worksheets/sheet3.xml" Id="Re8f6910de5fc4606" /><Relationship Type="http://schemas.openxmlformats.org/officeDocument/2006/relationships/worksheet" Target="/xl/worksheets/sheet4.xml" Id="R5744b45cf15845c9" /><Relationship Type="http://schemas.openxmlformats.org/officeDocument/2006/relationships/worksheet" Target="/xl/worksheets/sheet5.xml" Id="R22a337ac643e4f9b" /><Relationship Type="http://schemas.openxmlformats.org/officeDocument/2006/relationships/worksheet" Target="/xl/worksheets/sheet6.xml" Id="R3a5acd565651494e" /><Relationship Type="http://schemas.openxmlformats.org/officeDocument/2006/relationships/worksheet" Target="/xl/worksheets/sheet7.xml" Id="R8e9a44106e2b44b4" /><Relationship Type="http://schemas.openxmlformats.org/officeDocument/2006/relationships/worksheet" Target="/xl/worksheets/sheet8.xml" Id="R51cf9b78c6ad4eec" /><Relationship Type="http://schemas.openxmlformats.org/officeDocument/2006/relationships/worksheet" Target="/xl/worksheets/sheet9.xml" Id="Rb3ccf0277d5e4709" /><Relationship Type="http://schemas.openxmlformats.org/officeDocument/2006/relationships/worksheet" Target="/xl/worksheets/sheet10.xml" Id="R61fbac56b96f43a4" /><Relationship Type="http://schemas.openxmlformats.org/officeDocument/2006/relationships/worksheet" Target="/xl/worksheets/sheet11.xml" Id="R128e886226fc4dc7" /><Relationship Type="http://schemas.openxmlformats.org/officeDocument/2006/relationships/worksheet" Target="/xl/worksheets/sheet12.xml" Id="R92d5a95466464b2b" /><Relationship Type="http://schemas.openxmlformats.org/officeDocument/2006/relationships/worksheet" Target="/xl/worksheets/sheet13.xml" Id="Rfee89effdd484d54" /><Relationship Type="http://schemas.openxmlformats.org/officeDocument/2006/relationships/worksheet" Target="/xl/worksheets/sheet14.xml" Id="R37f295b5a75248d5" /><Relationship Type="http://schemas.openxmlformats.org/officeDocument/2006/relationships/worksheet" Target="/xl/worksheets/sheet15.xml" Id="R1a33fd99c8a24ca4" /><Relationship Type="http://schemas.openxmlformats.org/officeDocument/2006/relationships/worksheet" Target="/xl/worksheets/sheet16.xml" Id="R0eb35169f0fc4f04" /><Relationship Type="http://schemas.openxmlformats.org/officeDocument/2006/relationships/worksheet" Target="/xl/worksheets/sheet17.xml" Id="R24e3866f2d024ae6" /><Relationship Type="http://schemas.openxmlformats.org/officeDocument/2006/relationships/worksheet" Target="/xl/worksheets/sheet18.xml" Id="R3ead2c0e2ddf4b26" /><Relationship Type="http://schemas.openxmlformats.org/officeDocument/2006/relationships/worksheet" Target="/xl/worksheets/sheet19.xml" Id="Re685b7b4ad1e4ac2" /><Relationship Type="http://schemas.openxmlformats.org/officeDocument/2006/relationships/worksheet" Target="/xl/worksheets/sheet20.xml" Id="R3f6aa67a1cd549cb" /><Relationship Type="http://schemas.openxmlformats.org/officeDocument/2006/relationships/worksheet" Target="/xl/worksheets/sheet21.xml" Id="R79e35d7f305f47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a5b264c5a346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Protected-service closure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A2 base</c:v>
          </c:tx>
          <c:marker>
            <c:symbol val="none"/>
          </c:marker>
          <c:cat>
            <c:strRef>
              <c:f>'Service Clock'!$A$126:$A$154</c:f>
              <c:strCache>
                <c:ptCount val="0"/>
              </c:strCache>
            </c:strRef>
          </c:cat>
          <c:val>
            <c:numRef>
              <c:f>'Service Clock'!$B$126:$B$154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A2 isolated</c:v>
          </c:tx>
          <c:marker>
            <c:symbol val="none"/>
          </c:marker>
          <c:cat>
            <c:strRef>
              <c:f>'Service Clock'!$A$126:$A$154</c:f>
              <c:strCache>
                <c:ptCount val="0"/>
              </c:strCache>
            </c:strRef>
          </c:cat>
          <c:val>
            <c:numRef>
              <c:f>'Service Clock'!$C$126:$C$154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S3 isolated</c:v>
          </c:tx>
          <c:marker>
            <c:symbol val="none"/>
          </c:marker>
          <c:cat>
            <c:strRef>
              <c:f>'Service Clock'!$A$126:$A$154</c:f>
              <c:strCache>
                <c:ptCount val="0"/>
              </c:strCache>
            </c:strRef>
          </c:cat>
          <c:val>
            <c:numRef>
              <c:f>'Service Clock'!$D$126:$D$154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S3 compound</c:v>
          </c:tx>
          <c:marker>
            <c:symbol val="none"/>
          </c:marker>
          <c:cat>
            <c:strRef>
              <c:f>'Service Clock'!$A$126:$A$154</c:f>
              <c:strCache>
                <c:ptCount val="0"/>
              </c:strCache>
            </c:strRef>
          </c:cat>
          <c:val>
            <c:numRef>
              <c:f>'Service Clock'!$E$126:$E$154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a5b264c5a346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cbca3d261f84d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23.32999992370605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.5600004196167" hidden="0" customWidth="1"/>
    <x:col min="8" max="8" width="10" hidden="0" customWidth="1"/>
    <x:col min="9" max="9" width="10.5600004196167" hidden="0" customWidth="1"/>
    <x:col min="10" max="10" width="18.889999389648438" hidden="0" customWidth="1"/>
  </x:cols>
  <x:sheetData>
    <x:row r="1">
      <x:c r="A1" s="74" t="str">
        <x:v>Neighborhood Continuity and Access Cell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>
      <x:c r="A2" s="75" t="str">
        <x:v>NCAC-35 configuration for the Pass 36 N01 analytical catchment. Architecture tests are not field performance estimates.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</x:row>
    <x:row r="4">
      <x:c r="A4" s="79" t="str">
        <x:v>Decision</x:v>
      </x:c>
      <x:c r="B4" s="79"/>
      <x:c r="C4" s="79"/>
      <x:c r="D4" s="79"/>
      <x:c r="E4" s="79"/>
      <x:c r="F4" s="79"/>
      <x:c r="G4" s="79"/>
      <x:c r="H4" s="79"/>
      <x:c r="I4" s="79"/>
      <x:c r="J4" s="79"/>
    </x:row>
    <x:row r="5" ht="25.5" customHeight="1">
      <x:c r="A5" s="57" t="str">
        <x:v>Advance A2 as the conventional development reference and S3 as the technology target. Admit neither formation. A2 closes base and eight physical loss cases but reaches only 79.6% of the 36-hour household-contact requirement without commercial communications. S3 closes all ten required arithmetic cases but depends on unproved offline records, higher access productivity, and lighter district adapters.</x:v>
      </x:c>
      <x:c r="B5" s="57"/>
      <x:c r="C5" s="57"/>
      <x:c r="D5" s="57"/>
      <x:c r="E5" s="57"/>
      <x:c r="F5" s="57"/>
      <x:c r="G5" s="57"/>
      <x:c r="H5" s="57"/>
      <x:c r="I5" s="57"/>
      <x:c r="J5" s="57"/>
    </x:row>
    <x:row r="6" ht="25.5" customHeight="1">
      <x:c r="A6" s="57"/>
      <x:c r="B6" s="57"/>
      <x:c r="C6" s="57"/>
      <x:c r="D6" s="57"/>
      <x:c r="E6" s="57"/>
      <x:c r="F6" s="57"/>
      <x:c r="G6" s="57"/>
      <x:c r="H6" s="57"/>
      <x:c r="I6" s="57"/>
      <x:c r="J6" s="57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</x:row>
    <x:row r="8">
      <x:c r="A8" s="79" t="str">
        <x:v>Architecture decision</x:v>
      </x:c>
      <x:c r="B8" s="79"/>
      <x:c r="C8" s="79"/>
      <x:c r="D8" s="79"/>
      <x:c r="E8" s="79"/>
      <x:c r="F8" s="79"/>
      <x:c r="G8" s="79"/>
      <x:c r="H8" s="79"/>
      <x:c r="I8" s="79"/>
      <x:c r="J8" s="79"/>
    </x:row>
    <x:row r="9">
      <x:c r="A9" s="15" t="str">
        <x:v>ID</x:v>
      </x:c>
      <x:c r="B9" s="16" t="str">
        <x:v>Architecture</x:v>
      </x:c>
      <x:c r="C9" s="16" t="str">
        <x:v>Base closure</x:v>
      </x:c>
      <x:c r="D9" s="16" t="str">
        <x:v>Required cases</x:v>
      </x:c>
      <x:c r="E9" s="16" t="str">
        <x:v>Isolated contact</x:v>
      </x:c>
      <x:c r="F9" s="16" t="str">
        <x:v>Workforce</x:v>
      </x:c>
      <x:c r="G9" s="16" t="str">
        <x:v>Packed mass t</x:v>
      </x:c>
      <x:c r="H9" s="16" t="str">
        <x:v>Capital $B</x:v>
      </x:c>
      <x:c r="I9" s="16" t="str">
        <x:v>Annual ops $B</x:v>
      </x:c>
      <x:c r="J9" s="17" t="str">
        <x:v>Disposition</x:v>
      </x:c>
    </x:row>
    <x:row r="10">
      <x:c r="A10" s="61" t="str">
        <x:v>T0</x:v>
      </x:c>
      <x:c r="B10" s="61" t="str">
        <x:v>Thin interface detachment</x:v>
      </x:c>
      <x:c r="C10" s="62" t="n">
        <x:v>0</x:v>
      </x:c>
      <x:c r="D10" s="63" t="n">
        <x:v>0</x:v>
      </x:c>
      <x:c r="E10" s="64" t="n">
        <x:v>0.408367137469004</x:v>
      </x:c>
      <x:c r="F10" s="65" t="n">
        <x:v>3720.6179999999995</x:v>
      </x:c>
      <x:c r="G10" s="65" t="n">
        <x:v>4343.665318081829</x:v>
      </x:c>
      <x:c r="H10" s="66" t="n">
        <x:v>4.173</x:v>
      </x:c>
      <x:c r="I10" s="66" t="n">
        <x:v>0.90266379</x:v>
      </x:c>
      <x:c r="J10" s="61" t="str">
        <x:v>rejected comparator</x:v>
      </x:c>
    </x:row>
    <x:row r="11">
      <x:c r="A11" s="53" t="str">
        <x:v>I1</x:v>
      </x:c>
      <x:c r="B11" s="53" t="str">
        <x:v>Integrated baseline cell</x:v>
      </x:c>
      <x:c r="C11" s="67" t="n">
        <x:v>1</x:v>
      </x:c>
      <x:c r="D11" s="68" t="n">
        <x:v>1</x:v>
      </x:c>
      <x:c r="E11" s="69" t="n">
        <x:v>0.6667342749380081</x:v>
      </x:c>
      <x:c r="F11" s="70" t="n">
        <x:v>6133.364</x:v>
      </x:c>
      <x:c r="G11" s="70" t="n">
        <x:v>5650.214701969829</x:v>
      </x:c>
      <x:c r="H11" s="71" t="n">
        <x:v>5.900375</x:v>
      </x:c>
      <x:c r="I11" s="71" t="n">
        <x:v>1.33085242</x:v>
      </x:c>
      <x:c r="J11" s="53" t="str">
        <x:v>base-case comparator</x:v>
      </x:c>
    </x:row>
    <x:row r="12">
      <x:c r="A12" s="61" t="str">
        <x:v>A2</x:v>
      </x:c>
      <x:c r="B12" s="61" t="str">
        <x:v>Assured conventional cell</x:v>
      </x:c>
      <x:c r="C12" s="62" t="n">
        <x:v>1</x:v>
      </x:c>
      <x:c r="D12" s="63" t="n">
        <x:v>9</x:v>
      </x:c>
      <x:c r="E12" s="64" t="n">
        <x:v>0.7959178436725101</x:v>
      </x:c>
      <x:c r="F12" s="65" t="n">
        <x:v>7586.55</x:v>
      </x:c>
      <x:c r="G12" s="65" t="n">
        <x:v>6388.499398177829</x:v>
      </x:c>
      <x:c r="H12" s="66" t="n">
        <x:v>6.865625</x:v>
      </x:c>
      <x:c r="I12" s="66" t="n">
        <x:v>1.58639025</x:v>
      </x:c>
      <x:c r="J12" s="61" t="str">
        <x:v>development reference</x:v>
      </x:c>
    </x:row>
    <x:row r="13">
      <x:c r="A13" s="53" t="str">
        <x:v>S3</x:v>
      </x:c>
      <x:c r="B13" s="53" t="str">
        <x:v>Distributed technology-target cell</x:v>
      </x:c>
      <x:c r="C13" s="67" t="n">
        <x:v>1</x:v>
      </x:c>
      <x:c r="D13" s="68" t="n">
        <x:v>10</x:v>
      </x:c>
      <x:c r="E13" s="69" t="n">
        <x:v>1.0219890889578886</x:v>
      </x:c>
      <x:c r="F13" s="70" t="n">
        <x:v>7031.376</x:v>
      </x:c>
      <x:c r="G13" s="70" t="n">
        <x:v>6290.370440305829</x:v>
      </x:c>
      <x:c r="H13" s="71" t="n">
        <x:v>8.831875</x:v>
      </x:c>
      <x:c r="I13" s="71" t="n">
        <x:v>1.59204828</x:v>
      </x:c>
      <x:c r="J13" s="53" t="str">
        <x:v>unproved technology target</x:v>
      </x:c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</x:row>
    <x:row r="15">
      <x:c r="A15" s="79" t="str">
        <x:v>Governing consequences</x:v>
      </x:c>
      <x:c r="B15" s="79"/>
      <x:c r="C15" s="79"/>
      <x:c r="D15" s="79"/>
      <x:c r="E15" s="79"/>
      <x:c r="F15" s="79"/>
      <x:c r="G15" s="79"/>
      <x:c r="H15" s="79"/>
      <x:c r="I15" s="79"/>
      <x:c r="J15" s="79"/>
    </x:row>
    <x:row r="16" ht="24" customHeight="1">
      <x:c r="A16" s="72" t="str">
        <x:v>1</x:v>
      </x:c>
      <x:c r="B16" s="72" t="str">
        <x:v>The missing formation is brigade-scale. A2 requires 7,587 deployed people, 6,388 t packed mass, 275 forty-foot-equivalent positions, and about $6.87B capital for one 35,000-demand-person cell.</x:v>
      </x:c>
      <x:c r="C16" s="72"/>
      <x:c r="D16" s="72"/>
      <x:c r="E16" s="72"/>
      <x:c r="F16" s="72"/>
      <x:c r="G16" s="72"/>
      <x:c r="H16" s="72"/>
      <x:c r="I16" s="72"/>
      <x:c r="J16" s="72"/>
    </x:row>
    <x:row r="17" ht="24" customHeight="1">
      <x:c r="A17" s="73" t="str">
        <x:v>2</x:v>
      </x:c>
      <x:c r="B17" s="73" t="str">
        <x:v>A2 physical redundancy is not enough. Commercial-network loss increases field verification demand faster than its conventional contact companies can close the 36-hour household requirement.</x:v>
      </x:c>
      <x:c r="C17" s="73"/>
      <x:c r="D17" s="73"/>
      <x:c r="E17" s="73"/>
      <x:c r="F17" s="73"/>
      <x:c r="G17" s="73"/>
      <x:c r="H17" s="73"/>
      <x:c r="I17" s="73"/>
      <x:c r="J17" s="73"/>
    </x:row>
    <x:row r="18" ht="24" customHeight="1">
      <x:c r="A18" s="72" t="str">
        <x:v>3</x:v>
      </x:c>
      <x:c r="B18" s="72" t="str">
        <x:v>S3 closes the isolated arithmetic by changing technology: offline continuity records, 2.4 households/team-hour, 0.8 assisted vertical movements/team-hour, and lighter prepared-district adapters. None is evidenced.</x:v>
      </x:c>
      <x:c r="C18" s="72"/>
      <x:c r="D18" s="72"/>
      <x:c r="E18" s="72"/>
      <x:c r="F18" s="72"/>
      <x:c r="G18" s="72"/>
      <x:c r="H18" s="72"/>
      <x:c r="I18" s="72"/>
      <x:c r="J18" s="72"/>
    </x:row>
    <x:row r="19" ht="24" customHeight="1">
      <x:c r="A19" s="73" t="str">
        <x:v>4</x:v>
      </x:c>
      <x:c r="B19" s="73" t="str">
        <x:v>Fourteen A2-equivalent cells would require about 106,212 deployed people. That alone exceeds the entire 56,554-person Pass 36 H3 campaign workforce hypothesis.</x:v>
      </x:c>
      <x:c r="C19" s="73"/>
      <x:c r="D19" s="73"/>
      <x:c r="E19" s="73"/>
      <x:c r="F19" s="73"/>
      <x:c r="G19" s="73"/>
      <x:c r="H19" s="73"/>
      <x:c r="I19" s="73"/>
      <x:c r="J19" s="73"/>
    </x:row>
    <x:row r="20" ht="24" customHeight="1">
      <x:c r="A20" s="72" t="str">
        <x:v>5</x:v>
      </x:c>
      <x:c r="B20" s="72" t="str">
        <x:v>Fourteen A2 cells screen at $22.21B annual operations, above the $19.41B Pass 36 H3 total before CTNs, line haul, destination operations, and higher command. Pass 36 finance is superseded as adequate.</x:v>
      </x:c>
      <x:c r="C20" s="72"/>
      <x:c r="D20" s="72"/>
      <x:c r="E20" s="72"/>
      <x:c r="F20" s="72"/>
      <x:c r="G20" s="72"/>
      <x:c r="H20" s="72"/>
      <x:c r="I20" s="72"/>
      <x:c r="J20" s="72"/>
    </x:row>
    <x:row r="21" ht="24" customHeight="1">
      <x:c r="A21" s="73" t="str">
        <x:v>6</x:v>
      </x:c>
      <x:c r="B21" s="73" t="str">
        <x:v>The decisive technology program is not a larger vehicle. It is a disconnected household-to-service operating system whose data, access, rights, and physical work survive together.</x:v>
      </x:c>
      <x:c r="C21" s="73"/>
      <x:c r="D21" s="73"/>
      <x:c r="E21" s="73"/>
      <x:c r="F21" s="73"/>
      <x:c r="G21" s="73"/>
      <x:c r="H21" s="73"/>
      <x:c r="I21" s="73"/>
      <x:c r="J21" s="73"/>
    </x:row>
  </x:sheetData>
  <x:mergeCells>
    <x:mergeCell ref="A1:J1"/>
    <x:mergeCell ref="A2:J2"/>
    <x:mergeCell ref="A4:J4"/>
    <x:mergeCell ref="A5:J6"/>
    <x:mergeCell ref="A8:J8"/>
    <x:mergeCell ref="A15:J15"/>
    <x:mergeCell ref="B16:J16"/>
    <x:mergeCell ref="B17:J17"/>
    <x:mergeCell ref="B18:J18"/>
    <x:mergeCell ref="B19:J19"/>
    <x:mergeCell ref="B20:J20"/>
    <x:mergeCell ref="B21:J21"/>
  </x:mergeCells>
  <x:conditionalFormatting sqref="C10:C13">
    <x:cfRule type="cellIs" dxfId="0" priority="1" operator="equal">
      <x:formula>1</x:formula>
    </x:cfRule>
  </x:conditionalFormatting>
  <x:conditionalFormatting sqref="E10:E13">
    <x:cfRule type="cellIs" dxfId="1" priority="2" operator="lessThan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34.439998626708984" hidden="0" customWidth="1"/>
    <x:col min="3" max="3" width="30" hidden="0" customWidth="1"/>
    <x:col min="4" max="4" width="27.780000686645508" hidden="0" customWidth="1"/>
    <x:col min="5" max="5" width="13.890000343322754" hidden="0" customWidth="1"/>
    <x:col min="6" max="6" width="11.109999656677246" hidden="0" customWidth="1"/>
    <x:col min="7" max="7" width="16.670000076293945" hidden="0" customWidth="1"/>
  </x:cols>
  <x:sheetData>
    <x:row r="1">
      <x:c r="A1" s="74" t="str">
        <x:v>Model purpose and use</x:v>
      </x:c>
      <x:c r="B1" s="53"/>
      <x:c r="C1" s="53"/>
      <x:c r="D1" s="53"/>
      <x:c r="E1" s="53"/>
      <x:c r="F1" s="53"/>
      <x:c r="G1" s="53"/>
    </x:row>
    <x:row r="2">
      <x:c r="A2" s="75" t="str">
        <x:v>The workbook configures a force formation and exposes what evidence would justify it. It does not route an incident or estimate an acquisition program.</x:v>
      </x:c>
      <x:c r="B2" s="53"/>
      <x:c r="C2" s="53"/>
      <x:c r="D2" s="53"/>
      <x:c r="E2" s="53"/>
      <x:c r="F2" s="53"/>
      <x:c r="G2" s="53"/>
    </x:row>
    <x:row r="3">
      <x:c r="A3" s="55"/>
      <x:c r="B3" s="55"/>
      <x:c r="C3" s="55"/>
      <x:c r="D3" s="55"/>
      <x:c r="E3" s="55"/>
      <x:c r="F3" s="55"/>
      <x:c r="G3" s="55"/>
    </x:row>
    <x:row r="4">
      <x:c r="A4" s="53"/>
      <x:c r="B4" s="53"/>
      <x:c r="C4" s="53"/>
      <x:c r="D4" s="53"/>
      <x:c r="E4" s="53"/>
      <x:c r="F4" s="53"/>
      <x:c r="G4" s="53"/>
    </x:row>
    <x:row r="5">
      <x:c r="A5" s="15" t="str">
        <x:v>Topic</x:v>
      </x:c>
      <x:c r="B5" s="16" t="str">
        <x:v>Statement</x:v>
      </x:c>
      <x:c r="C5" s="16" t="str">
        <x:v>Why it matters</x:v>
      </x:c>
      <x:c r="D5" s="16" t="str">
        <x:v>Source boundary</x:v>
      </x:c>
      <x:c r="E5" s="16" t="str">
        <x:v>Authority</x:v>
      </x:c>
      <x:c r="F5" s="16" t="str">
        <x:v>Status</x:v>
      </x:c>
      <x:c r="G5" s="17" t="str">
        <x:v>Next use</x:v>
      </x:c>
    </x:row>
    <x:row r="6" ht="43.5" customHeight="1">
      <x:c r="A6" s="72" t="str">
        <x:v>Decision</x:v>
      </x:c>
      <x:c r="B6" s="72" t="str">
        <x:v>Compare three conventional configurations and one technology target against a 35,000-person seven-day demand envelope.</x:v>
      </x:c>
      <x:c r="C6" s="72" t="str">
        <x:v>Prevents one preferred table of organization from becoming self-justifying.</x:v>
      </x:c>
      <x:c r="D6" s="72" t="str">
        <x:v>Pass 36 N01 catchment plus declared reserve.</x:v>
      </x:c>
      <x:c r="E6" s="72" t="str">
        <x:v>Research program</x:v>
      </x:c>
      <x:c r="F6" s="72" t="str">
        <x:v>current</x:v>
      </x:c>
      <x:c r="G6" s="72" t="str">
        <x:v>configure and test</x:v>
      </x:c>
    </x:row>
    <x:row r="7" ht="43.5" customHeight="1">
      <x:c r="A7" s="73" t="str">
        <x:v>Catchment</x:v>
      </x:c>
      <x:c r="B7" s="73" t="str">
        <x:v>N01 is the set of 61 tracts assigned to one analytical Pass 36 transfer-node candidate at hour 168.</x:v>
      </x:c>
      <x:c r="C7" s="73" t="str">
        <x:v>Provides a bounded workload without claiming a real site or jurisdiction.</x:v>
      </x:c>
      <x:c r="D7" s="73" t="str">
        <x:v>TIGER/NFHL/ACS screen inherited from Pass 36.</x:v>
      </x:c>
      <x:c r="E7" s="73" t="str">
        <x:v>Design reference</x:v>
      </x:c>
      <x:c r="F7" s="73" t="str">
        <x:v>not operational</x:v>
      </x:c>
      <x:c r="G7" s="73" t="str">
        <x:v>replace with named buildings/sites</x:v>
      </x:c>
    </x:row>
    <x:row r="8" ht="43.5" customHeight="1">
      <x:c r="A8" s="72" t="str">
        <x:v>Complete rule</x:v>
      </x:c>
      <x:c r="B8" s="72" t="str">
        <x:v>Local protection, household verification, assisted vertical access, collection, route release, power, water, and communications must all close.</x:v>
      </x:c>
      <x:c r="C8" s="72" t="str">
        <x:v>A mean or total throughput cannot hide a zero at one serial gate.</x:v>
      </x:c>
      <x:c r="D8" s="72" t="str">
        <x:v>Thresholds are policy and research assumptions.</x:v>
      </x:c>
      <x:c r="E8" s="72" t="str">
        <x:v>Research program</x:v>
      </x:c>
      <x:c r="F8" s="72" t="str">
        <x:v>open</x:v>
      </x:c>
      <x:c r="G8" s="72" t="str">
        <x:v>validate each service</x:v>
      </x:c>
    </x:row>
    <x:row r="9" ht="43.5" customHeight="1">
      <x:c r="A9" s="73" t="str">
        <x:v>Failure rule</x:v>
      </x:c>
      <x:c r="B9" s="73" t="str">
        <x:v>Base plus nine declared loss cases are required. The four-function compound case is diagnostic.</x:v>
      </x:c>
      <x:c r="C9" s="73" t="str">
        <x:v>Makes redundancy configuration-specific.</x:v>
      </x:c>
      <x:c r="D9" s="73" t="str">
        <x:v>Loss sizes are assumptions, not observed failure probabilities.</x:v>
      </x:c>
      <x:c r="E9" s="73" t="str">
        <x:v>Research program</x:v>
      </x:c>
      <x:c r="F9" s="73" t="str">
        <x:v>open</x:v>
      </x:c>
      <x:c r="G9" s="73" t="str">
        <x:v>fit joint failures</x:v>
      </x:c>
    </x:row>
    <x:row r="10" ht="43.5" customHeight="1">
      <x:c r="A10" s="72" t="str">
        <x:v>A2</x:v>
      </x:c>
      <x:c r="B10" s="72" t="str">
        <x:v>Conventional development reference. Physical N-1/N-2 margins close, but isolated household verification fails.</x:v>
      </x:c>
      <x:c r="C10" s="72" t="str">
        <x:v>Shows that hardware redundancy cannot replace a disconnected civil record and field-access system.</x:v>
      </x:c>
      <x:c r="D10" s="72" t="str">
        <x:v>Task rates, staffing, utilities, mass, and cost are unvalidated.</x:v>
      </x:c>
      <x:c r="E10" s="72" t="str">
        <x:v>Research program</x:v>
      </x:c>
      <x:c r="F10" s="72" t="str">
        <x:v>test only</x:v>
      </x:c>
      <x:c r="G10" s="72" t="str">
        <x:v>full configuration</x:v>
      </x:c>
    </x:row>
    <x:row r="11" ht="43.5" customHeight="1">
      <x:c r="A11" s="73" t="str">
        <x:v>S3</x:v>
      </x:c>
      <x:c r="B11" s="73" t="str">
        <x:v>Technology target. Arithmetic closes all ten required cases through higher access productivity and offline continuity.</x:v>
      </x:c>
      <x:c r="C11" s="73" t="str">
        <x:v>Turns the failure into mission-driven RDT&amp;E parameters.</x:v>
      </x:c>
      <x:c r="D11" s="73" t="str">
        <x:v>No technology receives operational credit.</x:v>
      </x:c>
      <x:c r="E11" s="73" t="str">
        <x:v>Research program</x:v>
      </x:c>
      <x:c r="F11" s="73" t="str">
        <x:v>unproved</x:v>
      </x:c>
      <x:c r="G11" s="73" t="str">
        <x:v>rival prototypes</x:v>
      </x:c>
    </x:row>
    <x:row r="12" ht="43.5" customHeight="1">
      <x:c r="A12" s="72" t="str">
        <x:v>Finance</x:v>
      </x:c>
      <x:c r="B12" s="72" t="str">
        <x:v>Real 2026 dollars; capital, annual operations, and 25-year capital-plus-operations remain separate.</x:v>
      </x:c>
      <x:c r="C12" s="72" t="str">
        <x:v>Exposes workforce and operating cost hidden by an equipment-only view.</x:v>
      </x:c>
      <x:c r="D12" s="72" t="str">
        <x:v>Unit costs are design assumptions, not estimates.</x:v>
      </x:c>
      <x:c r="E12" s="72" t="str">
        <x:v>Research program</x:v>
      </x:c>
      <x:c r="F12" s="72" t="str">
        <x:v>comparative</x:v>
      </x:c>
      <x:c r="G12" s="72" t="str">
        <x:v>independent cost</x:v>
      </x:c>
    </x:row>
    <x:row r="13" ht="43.5" customHeight="1">
      <x:c r="A13" s="73" t="str">
        <x:v>Rendering</x:v>
      </x:c>
      <x:c r="B13" s="73" t="str">
        <x:v>No visual concept is authorized.</x:v>
      </x:c>
      <x:c r="C13" s="73" t="str">
        <x:v>The formation has no closed vehicle, structure, site, or human-system geometry.</x:v>
      </x:c>
      <x:c r="D13" s="73" t="str">
        <x:v>All twenty evidence gates remain open.</x:v>
      </x:c>
      <x:c r="E13" s="73" t="str">
        <x:v>Independent test authority</x:v>
      </x:c>
      <x:c r="F13" s="73" t="str">
        <x:v>blocked</x:v>
      </x:c>
      <x:c r="G13" s="73" t="str">
        <x:v>R3 only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25.559999465942383" hidden="0" customWidth="1"/>
    <x:col min="3" max="3" width="12.779999732971191" hidden="0" customWidth="1"/>
    <x:col min="4" max="4" width="12.220000267028809" hidden="0" customWidth="1"/>
    <x:col min="5" max="5" width="23.329999923706055" hidden="0" customWidth="1"/>
    <x:col min="6" max="6" width="26.670000076293945" hidden="0" customWidth="1"/>
  </x:cols>
  <x:sheetData>
    <x:row r="1">
      <x:c r="A1" s="74" t="str">
        <x:v>NCAC-35 mission contract</x:v>
      </x:c>
      <x:c r="B1" s="53"/>
      <x:c r="C1" s="53"/>
      <x:c r="D1" s="53"/>
      <x:c r="E1" s="53"/>
      <x:c r="F1" s="53"/>
    </x:row>
    <x:row r="2">
      <x:c r="A2" s="75" t="str">
        <x:v>One formation owns the seam from protected neighborhood service to complete movement for a 35,000-demand-person seven-day campaign.</x:v>
      </x:c>
      <x:c r="B2" s="53"/>
      <x:c r="C2" s="53"/>
      <x:c r="D2" s="53"/>
      <x:c r="E2" s="53"/>
      <x:c r="F2" s="53"/>
    </x:row>
    <x:row r="3">
      <x:c r="A3" s="55"/>
      <x:c r="B3" s="55"/>
      <x:c r="C3" s="55"/>
      <x:c r="D3" s="55"/>
      <x:c r="E3" s="55"/>
      <x:c r="F3" s="55"/>
    </x:row>
    <x:row r="4">
      <x:c r="A4" s="79" t="str">
        <x:v>Source workload</x:v>
      </x:c>
      <x:c r="B4" s="79"/>
      <x:c r="C4" s="79"/>
      <x:c r="D4" s="79"/>
      <x:c r="E4" s="79"/>
      <x:c r="F4" s="79"/>
    </x:row>
    <x:row r="5">
      <x:c r="A5" s="15" t="str">
        <x:v>Key</x:v>
      </x:c>
      <x:c r="B5" s="16" t="str">
        <x:v>Requirement</x:v>
      </x:c>
      <x:c r="C5" s="16" t="str">
        <x:v>Value</x:v>
      </x:c>
      <x:c r="D5" s="16" t="str">
        <x:v>Unit</x:v>
      </x:c>
      <x:c r="E5" s="16" t="str">
        <x:v>Basis</x:v>
      </x:c>
      <x:c r="F5" s="17" t="str">
        <x:v>Boundary</x:v>
      </x:c>
    </x:row>
    <x:row r="6">
      <x:c r="A6" s="61" t="str">
        <x:v>source_tracts</x:v>
      </x:c>
      <x:c r="B6" s="61" t="str">
        <x:v>N01 tracts</x:v>
      </x:c>
      <x:c r="C6" s="84" t="n">
        <x:v>61</x:v>
      </x:c>
      <x:c r="D6" s="61" t="str">
        <x:v>tracts</x:v>
      </x:c>
      <x:c r="E6" s="61" t="str">
        <x:v>Pass 36 analytical assignment</x:v>
      </x:c>
      <x:c r="F6" s="61" t="str">
        <x:v>not a jurisdiction</x:v>
      </x:c>
    </x:row>
    <x:row r="7">
      <x:c r="A7" s="53" t="str">
        <x:v>resident_population</x:v>
      </x:c>
      <x:c r="B7" s="53" t="str">
        <x:v>Resident population</x:v>
      </x:c>
      <x:c r="C7" s="85" t="n">
        <x:v>339390</x:v>
      </x:c>
      <x:c r="D7" s="53" t="str">
        <x:v>people</x:v>
      </x:c>
      <x:c r="E7" s="53" t="str">
        <x:v>2024 ACS in assigned tracts</x:v>
      </x:c>
      <x:c r="F7" s="53" t="str">
        <x:v>not campaign demand</x:v>
      </x:c>
    </x:row>
    <x:row r="8">
      <x:c r="A8" s="61" t="str">
        <x:v>source_demand</x:v>
      </x:c>
      <x:c r="B8" s="61" t="str">
        <x:v>Pass 36 H3 demand</x:v>
      </x:c>
      <x:c r="C8" s="84" t="n">
        <x:v>30397.189284766864</x:v>
      </x:c>
      <x:c r="D8" s="61" t="str">
        <x:v>people</x:v>
      </x:c>
      <x:c r="E8" s="61" t="str">
        <x:v>Pass 36 tract model</x:v>
      </x:c>
      <x:c r="F8" s="61" t="str">
        <x:v>synthetic campaign</x:v>
      </x:c>
    </x:row>
    <x:row r="9">
      <x:c r="A9" s="53" t="str">
        <x:v>source_local</x:v>
      </x:c>
      <x:c r="B9" s="53" t="str">
        <x:v>Pass 36 H3 local service</x:v>
      </x:c>
      <x:c r="C9" s="85" t="n">
        <x:v>24931.39351716183</x:v>
      </x:c>
      <x:c r="D9" s="53" t="str">
        <x:v>people</x:v>
      </x:c>
      <x:c r="E9" s="53" t="str">
        <x:v>Pass 36 tract model</x:v>
      </x:c>
      <x:c r="F9" s="53" t="str">
        <x:v>architecture output</x:v>
      </x:c>
    </x:row>
    <x:row r="10">
      <x:c r="A10" s="61" t="str">
        <x:v>source_movement</x:v>
      </x:c>
      <x:c r="B10" s="61" t="str">
        <x:v>Pass 36 H3 movement</x:v>
      </x:c>
      <x:c r="C10" s="84" t="n">
        <x:v>5465.7957676050355</x:v>
      </x:c>
      <x:c r="D10" s="61" t="str">
        <x:v>people</x:v>
      </x:c>
      <x:c r="E10" s="61" t="str">
        <x:v>Pass 36 tract model</x:v>
      </x:c>
      <x:c r="F10" s="61" t="str">
        <x:v>architecture output</x:v>
      </x:c>
    </x:row>
    <x:row r="11">
      <x:c r="A11" s="53" t="str">
        <x:v>design_demand</x:v>
      </x:c>
      <x:c r="B11" s="53" t="str">
        <x:v>Design demand</x:v>
      </x:c>
      <x:c r="C11" s="85" t="n">
        <x:v>34956.76767748189</x:v>
      </x:c>
      <x:c r="D11" s="53" t="str">
        <x:v>people</x:v>
      </x:c>
      <x:c r="E11" s="53" t="str">
        <x:v>source demand × 1.15</x:v>
      </x:c>
      <x:c r="F11" s="53" t="str">
        <x:v>NCAC-35 envelope</x:v>
      </x:c>
    </x:row>
    <x:row r="12">
      <x:c r="A12" s="61" t="str">
        <x:v>design_local</x:v>
      </x:c>
      <x:c r="B12" s="61" t="str">
        <x:v>Design local service</x:v>
      </x:c>
      <x:c r="C12" s="84" t="n">
        <x:v>28671.1025447361</x:v>
      </x:c>
      <x:c r="D12" s="61" t="str">
        <x:v>people</x:v>
      </x:c>
      <x:c r="E12" s="61" t="str">
        <x:v>source local × 1.15</x:v>
      </x:c>
      <x:c r="F12" s="61" t="str">
        <x:v>complete protected service</x:v>
      </x:c>
    </x:row>
    <x:row r="13">
      <x:c r="A13" s="53" t="str">
        <x:v>design_movement</x:v>
      </x:c>
      <x:c r="B13" s="53" t="str">
        <x:v>Design movement</x:v>
      </x:c>
      <x:c r="C13" s="85" t="n">
        <x:v>6285.66513274579</x:v>
      </x:c>
      <x:c r="D13" s="53" t="str">
        <x:v>people</x:v>
      </x:c>
      <x:c r="E13" s="53" t="str">
        <x:v>source movement × 1.15</x:v>
      </x:c>
      <x:c r="F13" s="53" t="str">
        <x:v>complete destination admission</x:v>
      </x:c>
    </x:row>
    <x:row r="14">
      <x:c r="A14" s="61" t="str">
        <x:v>design_households</x:v>
      </x:c>
      <x:c r="B14" s="61" t="str">
        <x:v>Design household records</x:v>
      </x:c>
      <x:c r="C14" s="84" t="n">
        <x:v>14268.068439788525</x:v>
      </x:c>
      <x:c r="D14" s="61" t="str">
        <x:v>households</x:v>
      </x:c>
      <x:c r="E14" s="61" t="str">
        <x:v>design demand ÷ 2.45</x:v>
      </x:c>
      <x:c r="F14" s="61" t="str">
        <x:v>record and contact workload</x:v>
      </x:c>
    </x:row>
    <x:row r="15">
      <x:c r="A15" s="53" t="str">
        <x:v>vertical_assist_people</x:v>
      </x:c>
      <x:c r="B15" s="53" t="str">
        <x:v>Assisted vertical movements</x:v>
      </x:c>
      <x:c r="C15" s="85" t="n">
        <x:v>1503.1410101317213</x:v>
      </x:c>
      <x:c r="D15" s="53" t="str">
        <x:v>people</x:v>
      </x:c>
      <x:c r="E15" s="53" t="str">
        <x:v>4.3% of design demand</x:v>
      </x:c>
      <x:c r="F15" s="53" t="str">
        <x:v>mixed building states</x:v>
      </x:c>
    </x:row>
    <x:row r="16">
      <x:c r="A16" s="61" t="str">
        <x:v>critical_route_km</x:v>
      </x:c>
      <x:c r="B16" s="61" t="str">
        <x:v>Critical local route release</x:v>
      </x:c>
      <x:c r="C16" s="84" t="n">
        <x:v>60</x:v>
      </x:c>
      <x:c r="D16" s="61" t="str">
        <x:v>route-km</x:v>
      </x:c>
      <x:c r="E16" s="61" t="str">
        <x:v>design assumption</x:v>
      </x:c>
      <x:c r="F16" s="61" t="str">
        <x:v>vehicle-specific lawful opening</x:v>
      </x:c>
    </x:row>
    <x:row r="17">
      <x:c r="A17" s="53" t="str">
        <x:v>average_power_mw</x:v>
      </x:c>
      <x:c r="B17" s="53" t="str">
        <x:v>Average cell power</x:v>
      </x:c>
      <x:c r="C17" s="85" t="n">
        <x:v>7.2</x:v>
      </x:c>
      <x:c r="D17" s="53" t="str">
        <x:v>MW</x:v>
      </x:c>
      <x:c r="E17" s="53" t="str">
        <x:v>design assumption</x:v>
      </x:c>
      <x:c r="F17" s="53" t="str">
        <x:v>load registry open</x:v>
      </x:c>
    </x:row>
    <x:row r="18">
      <x:c r="A18" s="61" t="str">
        <x:v>water_m3_day</x:v>
      </x:c>
      <x:c r="B18" s="61" t="str">
        <x:v>Daily water service</x:v>
      </x:c>
      <x:c r="C18" s="84" t="n">
        <x:v>650</x:v>
      </x:c>
      <x:c r="D18" s="61" t="str">
        <x:v>m3/day</x:v>
      </x:c>
      <x:c r="E18" s="61" t="str">
        <x:v>design assumption</x:v>
      </x:c>
      <x:c r="F18" s="61" t="str">
        <x:v>source/use classes open</x:v>
      </x:c>
    </x:row>
    <x:row r="19">
      <x:c r="A19" s="53" t="str">
        <x:v>communications_coverage_units</x:v>
      </x:c>
      <x:c r="B19" s="53" t="str">
        <x:v>Communications coverage</x:v>
      </x:c>
      <x:c r="C19" s="85" t="n">
        <x:v>100</x:v>
      </x:c>
      <x:c r="D19" s="53" t="str">
        <x:v>coverage units</x:v>
      </x:c>
      <x:c r="E19" s="53" t="str">
        <x:v>abstract requirement</x:v>
      </x:c>
      <x:c r="F19" s="53" t="str">
        <x:v>not geographic RF design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0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0" hidden="0" customWidth="1"/>
    <x:col min="7" max="7" width="12.220000267028809" hidden="0" customWidth="1"/>
    <x:col min="8" max="8" width="10" hidden="0" customWidth="1"/>
    <x:col min="9" max="9" width="12.220000267028809" hidden="0" customWidth="1"/>
    <x:col min="10" max="10" width="11.109999656677246" hidden="0" customWidth="1"/>
    <x:col min="11" max="11" width="10" hidden="0" customWidth="1"/>
    <x:col min="12" max="12" width="10.5600004196167" hidden="0" customWidth="1"/>
  </x:cols>
  <x:sheetData>
    <x:row r="1">
      <x:c r="A1" s="74" t="str">
        <x:v>N01 analytical catchment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>
      <x:c r="A2" s="75" t="str">
        <x:v>Sixty-one Pass 36 tracts assigned to analytical node N01 at hour 168. Coordinates and assignments are research inputs, not siting decisions.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15" t="str">
        <x:v>GEOID</x:v>
      </x:c>
      <x:c r="B5" s="16" t="str">
        <x:v>Population</x:v>
      </x:c>
      <x:c r="C5" s="16" t="str">
        <x:v>Campaign demand</x:v>
      </x:c>
      <x:c r="D5" s="16" t="str">
        <x:v>Disability population</x:v>
      </x:c>
      <x:c r="E5" s="16" t="str">
        <x:v>Zero-vehicle people</x:v>
      </x:c>
      <x:c r="F5" s="16" t="str">
        <x:v>Housing units</x:v>
      </x:c>
      <x:c r="G5" s="16" t="str">
        <x:v>Units in 20+ structures</x:v>
      </x:c>
      <x:c r="H5" s="16" t="str">
        <x:v>Vertical proxy</x:v>
      </x:c>
      <x:c r="I5" s="16" t="str">
        <x:v>Mapped flood exposure</x:v>
      </x:c>
      <x:c r="J5" s="16" t="str">
        <x:v>Route min at 168h</x:v>
      </x:c>
      <x:c r="K5" s="16" t="str">
        <x:v>H3 local</x:v>
      </x:c>
      <x:c r="L5" s="17" t="str">
        <x:v>H3 movement</x:v>
      </x:c>
    </x:row>
    <x:row r="6">
      <x:c r="A6" s="61" t="str">
        <x:v>48201450301</x:v>
      </x:c>
      <x:c r="B6" s="84" t="n">
        <x:v>2690</x:v>
      </x:c>
      <x:c r="C6" s="84" t="n">
        <x:v>217.14292819288065</x:v>
      </x:c>
      <x:c r="D6" s="84" t="n">
        <x:v>283</x:v>
      </x:c>
      <x:c r="E6" s="84" t="n">
        <x:v>162</x:v>
      </x:c>
      <x:c r="F6" s="84" t="n">
        <x:v>1119</x:v>
      </x:c>
      <x:c r="G6" s="84" t="n">
        <x:v>228</x:v>
      </x:c>
      <x:c r="H6" s="64" t="n">
        <x:v>0.2037533512064343</x:v>
      </x:c>
      <x:c r="I6" s="61" t="str">
        <x:v>low</x:v>
      </x:c>
      <x:c r="J6" s="84" t="n">
        <x:v>24.50591967268656</x:v>
      </x:c>
      <x:c r="K6" s="84" t="n">
        <x:v>193.11844419256443</x:v>
      </x:c>
      <x:c r="L6" s="84" t="n">
        <x:v>24.02448400031622</x:v>
      </x:c>
    </x:row>
    <x:row r="7">
      <x:c r="A7" s="53" t="str">
        <x:v>48201450302</x:v>
      </x:c>
      <x:c r="B7" s="85" t="n">
        <x:v>5835</x:v>
      </x:c>
      <x:c r="C7" s="85" t="n">
        <x:v>462.8002093423188</x:v>
      </x:c>
      <x:c r="D7" s="85" t="n">
        <x:v>267</x:v>
      </x:c>
      <x:c r="E7" s="85" t="n">
        <x:v>0</x:v>
      </x:c>
      <x:c r="F7" s="85" t="n">
        <x:v>2479</x:v>
      </x:c>
      <x:c r="G7" s="85" t="n">
        <x:v>917</x:v>
      </x:c>
      <x:c r="H7" s="69" t="n">
        <x:v>0.3699072206534893</x:v>
      </x:c>
      <x:c r="I7" s="53" t="str">
        <x:v>low</x:v>
      </x:c>
      <x:c r="J7" s="85" t="n">
        <x:v>23.500991948889432</x:v>
      </x:c>
      <x:c r="K7" s="85" t="n">
        <x:v>410.2230774773704</x:v>
      </x:c>
      <x:c r="L7" s="85" t="n">
        <x:v>52.5771318649484</x:v>
      </x:c>
    </x:row>
    <x:row r="8">
      <x:c r="A8" s="61" t="str">
        <x:v>48201450401</x:v>
      </x:c>
      <x:c r="B8" s="84" t="n">
        <x:v>2020</x:v>
      </x:c>
      <x:c r="C8" s="84" t="n">
        <x:v>162.32274851482424</x:v>
      </x:c>
      <x:c r="D8" s="84" t="n">
        <x:v>205</x:v>
      </x:c>
      <x:c r="E8" s="84" t="n">
        <x:v>43</x:v>
      </x:c>
      <x:c r="F8" s="84" t="n">
        <x:v>1308</x:v>
      </x:c>
      <x:c r="G8" s="84" t="n">
        <x:v>430</x:v>
      </x:c>
      <x:c r="H8" s="64" t="n">
        <x:v>0.3287461773700306</x:v>
      </x:c>
      <x:c r="I8" s="61" t="str">
        <x:v>low</x:v>
      </x:c>
      <x:c r="J8" s="84" t="n">
        <x:v>23.70676661048653</x:v>
      </x:c>
      <x:c r="K8" s="84" t="n">
        <x:v>144.00115154602844</x:v>
      </x:c>
      <x:c r="L8" s="84" t="n">
        <x:v>18.321596968795802</x:v>
      </x:c>
    </x:row>
    <x:row r="9">
      <x:c r="A9" s="53" t="str">
        <x:v>48201450402</x:v>
      </x:c>
      <x:c r="B9" s="85" t="n">
        <x:v>2227</x:v>
      </x:c>
      <x:c r="C9" s="85" t="n">
        <x:v>311.79185015845667</x:v>
      </x:c>
      <x:c r="D9" s="85" t="n">
        <x:v>41</x:v>
      </x:c>
      <x:c r="E9" s="85" t="n">
        <x:v>70.5</x:v>
      </x:c>
      <x:c r="F9" s="85" t="n">
        <x:v>1397</x:v>
      </x:c>
      <x:c r="G9" s="85" t="n">
        <x:v>501</x:v>
      </x:c>
      <x:c r="H9" s="69" t="n">
        <x:v>0.3586256263421618</x:v>
      </x:c>
      <x:c r="I9" s="53" t="str">
        <x:v>moderate</x:v>
      </x:c>
      <x:c r="J9" s="85" t="n">
        <x:v>23.74111386509292</x:v>
      </x:c>
      <x:c r="K9" s="85" t="n">
        <x:v>241.14374946258602</x:v>
      </x:c>
      <x:c r="L9" s="85" t="n">
        <x:v>70.64810069587065</x:v>
      </x:c>
    </x:row>
    <x:row r="10">
      <x:c r="A10" s="61" t="str">
        <x:v>48201450500</x:v>
      </x:c>
      <x:c r="B10" s="84" t="n">
        <x:v>3412</x:v>
      </x:c>
      <x:c r="C10" s="84" t="n">
        <x:v>273.7118519538572</x:v>
      </x:c>
      <x:c r="D10" s="84" t="n">
        <x:v>243</x:v>
      </x:c>
      <x:c r="E10" s="84" t="n">
        <x:v>219.5</x:v>
      </x:c>
      <x:c r="F10" s="84" t="n">
        <x:v>1599</x:v>
      </x:c>
      <x:c r="G10" s="84" t="n">
        <x:v>335</x:v>
      </x:c>
      <x:c r="H10" s="64" t="n">
        <x:v>0.20950594121325827</x:v>
      </x:c>
      <x:c r="I10" s="61" t="str">
        <x:v>low</x:v>
      </x:c>
      <x:c r="J10" s="84" t="n">
        <x:v>21.23950362595505</x:v>
      </x:c>
      <x:c r="K10" s="84" t="n">
        <x:v>243.40051532611082</x:v>
      </x:c>
      <x:c r="L10" s="84" t="n">
        <x:v>30.311336627746385</x:v>
      </x:c>
    </x:row>
    <x:row r="11">
      <x:c r="A11" s="53" t="str">
        <x:v>48201450600</x:v>
      </x:c>
      <x:c r="B11" s="85" t="n">
        <x:v>5678</x:v>
      </x:c>
      <x:c r="C11" s="85" t="n">
        <x:v>456.4457842140452</x:v>
      </x:c>
      <x:c r="D11" s="85" t="n">
        <x:v>456</x:v>
      </x:c>
      <x:c r="E11" s="85" t="n">
        <x:v>383.5</x:v>
      </x:c>
      <x:c r="F11" s="85" t="n">
        <x:v>2784</x:v>
      </x:c>
      <x:c r="G11" s="85" t="n">
        <x:v>1270</x:v>
      </x:c>
      <x:c r="H11" s="69" t="n">
        <x:v>0.4561781609195402</x:v>
      </x:c>
      <x:c r="I11" s="53" t="str">
        <x:v>low</x:v>
      </x:c>
      <x:c r="J11" s="85" t="n">
        <x:v>23.425343759500677</x:v>
      </x:c>
      <x:c r="K11" s="85" t="n">
        <x:v>403.8872654156783</x:v>
      </x:c>
      <x:c r="L11" s="85" t="n">
        <x:v>52.55851879836689</x:v>
      </x:c>
    </x:row>
    <x:row r="12">
      <x:c r="A12" s="61" t="str">
        <x:v>48201451401</x:v>
      </x:c>
      <x:c r="B12" s="84" t="n">
        <x:v>3494</x:v>
      </x:c>
      <x:c r="C12" s="84" t="n">
        <x:v>283.01359857019827</x:v>
      </x:c>
      <x:c r="D12" s="84" t="n">
        <x:v>445</x:v>
      </x:c>
      <x:c r="E12" s="84" t="n">
        <x:v>179</x:v>
      </x:c>
      <x:c r="F12" s="84" t="n">
        <x:v>2116</x:v>
      </x:c>
      <x:c r="G12" s="84" t="n">
        <x:v>727</x:v>
      </x:c>
      <x:c r="H12" s="64" t="n">
        <x:v>0.3435727788279773</x:v>
      </x:c>
      <x:c r="I12" s="61" t="str">
        <x:v>low</x:v>
      </x:c>
      <x:c r="J12" s="84" t="n">
        <x:v>27.202921031625305</x:v>
      </x:c>
      <x:c r="K12" s="84" t="n">
        <x:v>250.99451269765436</x:v>
      </x:c>
      <x:c r="L12" s="84" t="n">
        <x:v>32.01908587254391</x:v>
      </x:c>
    </x:row>
    <x:row r="13">
      <x:c r="A13" s="53" t="str">
        <x:v>48201451404</x:v>
      </x:c>
      <x:c r="B13" s="85" t="n">
        <x:v>3643</x:v>
      </x:c>
      <x:c r="C13" s="85" t="n">
        <x:v>290.4408487201286</x:v>
      </x:c>
      <x:c r="D13" s="85" t="n">
        <x:v>87</x:v>
      </x:c>
      <x:c r="E13" s="85" t="n">
        <x:v>350</x:v>
      </x:c>
      <x:c r="F13" s="85" t="n">
        <x:v>2581</x:v>
      </x:c>
      <x:c r="G13" s="85" t="n">
        <x:v>1292</x:v>
      </x:c>
      <x:c r="H13" s="69" t="n">
        <x:v>0.5005811700891127</x:v>
      </x:c>
      <x:c r="I13" s="53" t="str">
        <x:v>low</x:v>
      </x:c>
      <x:c r="J13" s="85" t="n">
        <x:v>25.64396769648215</x:v>
      </x:c>
      <x:c r="K13" s="85" t="n">
        <x:v>256.767026439768</x:v>
      </x:c>
      <x:c r="L13" s="85" t="n">
        <x:v>33.67382228036058</x:v>
      </x:c>
    </x:row>
    <x:row r="14">
      <x:c r="A14" s="61" t="str">
        <x:v>48201451501</x:v>
      </x:c>
      <x:c r="B14" s="84" t="n">
        <x:v>2984</x:v>
      </x:c>
      <x:c r="C14" s="84" t="n">
        <x:v>237.6327071779263</x:v>
      </x:c>
      <x:c r="D14" s="84" t="n">
        <x:v>168</x:v>
      </x:c>
      <x:c r="E14" s="84" t="n">
        <x:v>59</x:v>
      </x:c>
      <x:c r="F14" s="84" t="n">
        <x:v>2097</x:v>
      </x:c>
      <x:c r="G14" s="84" t="n">
        <x:v>1009</x:v>
      </x:c>
      <x:c r="H14" s="64" t="n">
        <x:v>0.48116356700047686</x:v>
      </x:c>
      <x:c r="I14" s="61" t="str">
        <x:v>low</x:v>
      </x:c>
      <x:c r="J14" s="84" t="n">
        <x:v>25.383001705325107</x:v>
      </x:c>
      <x:c r="K14" s="84" t="n">
        <x:v>210.1638915196404</x:v>
      </x:c>
      <x:c r="L14" s="84" t="n">
        <x:v>27.468815658285905</x:v>
      </x:c>
    </x:row>
    <x:row r="15">
      <x:c r="A15" s="53" t="str">
        <x:v>48201451502</x:v>
      </x:c>
      <x:c r="B15" s="85" t="n">
        <x:v>2747</x:v>
      </x:c>
      <x:c r="C15" s="85" t="n">
        <x:v>393.8123308434674</x:v>
      </x:c>
      <x:c r="D15" s="85" t="n">
        <x:v>323</x:v>
      </x:c>
      <x:c r="E15" s="85" t="n">
        <x:v>205</x:v>
      </x:c>
      <x:c r="F15" s="85" t="n">
        <x:v>1566</x:v>
      </x:c>
      <x:c r="G15" s="85" t="n">
        <x:v>317</x:v>
      </x:c>
      <x:c r="H15" s="69" t="n">
        <x:v>0.20242656449553</x:v>
      </x:c>
      <x:c r="I15" s="53" t="str">
        <x:v>moderate</x:v>
      </x:c>
      <x:c r="J15" s="85" t="n">
        <x:v>27.168355510388047</x:v>
      </x:c>
      <x:c r="K15" s="85" t="n">
        <x:v>305.5377980844624</x:v>
      </x:c>
      <x:c r="L15" s="85" t="n">
        <x:v>88.27453275900501</x:v>
      </x:c>
    </x:row>
    <x:row r="16">
      <x:c r="A16" s="61" t="str">
        <x:v>48201451603</x:v>
      </x:c>
      <x:c r="B16" s="84" t="n">
        <x:v>3301</x:v>
      </x:c>
      <x:c r="C16" s="84" t="n">
        <x:v>263.9699719952979</x:v>
      </x:c>
      <x:c r="D16" s="84" t="n">
        <x:v>224</x:v>
      </x:c>
      <x:c r="E16" s="84" t="n">
        <x:v>128</x:v>
      </x:c>
      <x:c r="F16" s="84" t="n">
        <x:v>1660</x:v>
      </x:c>
      <x:c r="G16" s="84" t="n">
        <x:v>547</x:v>
      </x:c>
      <x:c r="H16" s="64" t="n">
        <x:v>0.32951807228915664</x:v>
      </x:c>
      <x:c r="I16" s="61" t="str">
        <x:v>low</x:v>
      </x:c>
      <x:c r="J16" s="84" t="n">
        <x:v>23.55056095697119</x:v>
      </x:c>
      <x:c r="K16" s="84" t="n">
        <x:v>234.17167082083094</x:v>
      </x:c>
      <x:c r="L16" s="84" t="n">
        <x:v>29.798301174466957</x:v>
      </x:c>
    </x:row>
    <x:row r="17">
      <x:c r="A17" s="53" t="str">
        <x:v>48201451604</x:v>
      </x:c>
      <x:c r="B17" s="85" t="n">
        <x:v>3516</x:v>
      </x:c>
      <x:c r="C17" s="85" t="n">
        <x:v>284.3025605009799</x:v>
      </x:c>
      <x:c r="D17" s="85" t="n">
        <x:v>433</x:v>
      </x:c>
      <x:c r="E17" s="85" t="n">
        <x:v>147</x:v>
      </x:c>
      <x:c r="F17" s="85" t="n">
        <x:v>1904</x:v>
      </x:c>
      <x:c r="G17" s="85" t="n">
        <x:v>536</x:v>
      </x:c>
      <x:c r="H17" s="69" t="n">
        <x:v>0.2815126050420168</x:v>
      </x:c>
      <x:c r="I17" s="53" t="str">
        <x:v>low</x:v>
      </x:c>
      <x:c r="J17" s="85" t="n">
        <x:v>22.28489546946403</x:v>
      </x:c>
      <x:c r="K17" s="85" t="n">
        <x:v>252.45276581331333</x:v>
      </x:c>
      <x:c r="L17" s="85" t="n">
        <x:v>31.84979468766656</x:v>
      </x:c>
    </x:row>
    <x:row r="18">
      <x:c r="A18" s="61" t="str">
        <x:v>48201451605</x:v>
      </x:c>
      <x:c r="B18" s="84" t="n">
        <x:v>3156</x:v>
      </x:c>
      <x:c r="C18" s="84" t="n">
        <x:v>252.369314618264</x:v>
      </x:c>
      <x:c r="D18" s="84" t="n">
        <x:v>275</x:v>
      </x:c>
      <x:c r="E18" s="84" t="n">
        <x:v>0</x:v>
      </x:c>
      <x:c r="F18" s="84" t="n">
        <x:v>2068</x:v>
      </x:c>
      <x:c r="G18" s="84" t="n">
        <x:v>1088</x:v>
      </x:c>
      <x:c r="H18" s="64" t="n">
        <x:v>0.5261121856866537</x:v>
      </x:c>
      <x:c r="I18" s="61" t="str">
        <x:v>low</x:v>
      </x:c>
      <x:c r="J18" s="84" t="n">
        <x:v>26.07103515301197</x:v>
      </x:c>
      <x:c r="K18" s="84" t="n">
        <x:v>222.99444410329667</x:v>
      </x:c>
      <x:c r="L18" s="84" t="n">
        <x:v>29.37487051496734</x:v>
      </x:c>
    </x:row>
    <x:row r="19">
      <x:c r="A19" s="53" t="str">
        <x:v>48201451606</x:v>
      </x:c>
      <x:c r="B19" s="85" t="n">
        <x:v>6423</x:v>
      </x:c>
      <x:c r="C19" s="85" t="n">
        <x:v>509.86303886378147</x:v>
      </x:c>
      <x:c r="D19" s="85" t="n">
        <x:v>261</x:v>
      </x:c>
      <x:c r="E19" s="85" t="n">
        <x:v>120</x:v>
      </x:c>
      <x:c r="F19" s="85" t="n">
        <x:v>2284</x:v>
      </x:c>
      <x:c r="G19" s="85" t="n">
        <x:v>208</x:v>
      </x:c>
      <x:c r="H19" s="69" t="n">
        <x:v>0.09106830122591944</x:v>
      </x:c>
      <x:c r="I19" s="53" t="str">
        <x:v>low</x:v>
      </x:c>
      <x:c r="J19" s="85" t="n">
        <x:v>25.08956561818534</x:v>
      </x:c>
      <x:c r="K19" s="85" t="n">
        <x:v>454.47841174134004</x:v>
      </x:c>
      <x:c r="L19" s="85" t="n">
        <x:v>55.38462712244143</x:v>
      </x:c>
    </x:row>
    <x:row r="20">
      <x:c r="A20" s="61" t="str">
        <x:v>48201451700</x:v>
      </x:c>
      <x:c r="B20" s="84" t="n">
        <x:v>4962</x:v>
      </x:c>
      <x:c r="C20" s="84" t="n">
        <x:v>697.7407272717599</x:v>
      </x:c>
      <x:c r="D20" s="84" t="n">
        <x:v>216</x:v>
      </x:c>
      <x:c r="E20" s="84" t="n">
        <x:v>126</x:v>
      </x:c>
      <x:c r="F20" s="84" t="n">
        <x:v>2142</x:v>
      </x:c>
      <x:c r="G20" s="84" t="n">
        <x:v>277</x:v>
      </x:c>
      <x:c r="H20" s="64" t="n">
        <x:v>0.1293183940242764</x:v>
      </x:c>
      <x:c r="I20" s="61" t="str">
        <x:v>moderate</x:v>
      </x:c>
      <x:c r="J20" s="84" t="n">
        <x:v>25.828484786653483</x:v>
      </x:c>
      <x:c r="K20" s="84" t="n">
        <x:v>542.1342320782875</x:v>
      </x:c>
      <x:c r="L20" s="84" t="n">
        <x:v>155.60649519347237</x:v>
      </x:c>
    </x:row>
    <x:row r="21">
      <x:c r="A21" s="53" t="str">
        <x:v>48201454400</x:v>
      </x:c>
      <x:c r="B21" s="85" t="n">
        <x:v>1013</x:v>
      </x:c>
      <x:c r="C21" s="85" t="n">
        <x:v>172.2614188619714</x:v>
      </x:c>
      <x:c r="D21" s="85" t="n">
        <x:v>23</x:v>
      </x:c>
      <x:c r="E21" s="85" t="n">
        <x:v>0</x:v>
      </x:c>
      <x:c r="F21" s="85" t="n">
        <x:v>819</x:v>
      </x:c>
      <x:c r="G21" s="85" t="n">
        <x:v>793</x:v>
      </x:c>
      <x:c r="H21" s="69" t="n">
        <x:v>0.9682539682539683</x:v>
      </x:c>
      <x:c r="I21" s="53" t="str">
        <x:v>high</x:v>
      </x:c>
      <x:c r="J21" s="85" t="n">
        <x:v>28.210259942199077</x:v>
      </x:c>
      <x:c r="K21" s="85" t="n">
        <x:v>72.21567810305687</x:v>
      </x:c>
      <x:c r="L21" s="85" t="n">
        <x:v>100.04574075891453</x:v>
      </x:c>
    </x:row>
    <x:row r="22">
      <x:c r="A22" s="61" t="str">
        <x:v>48201454502</x:v>
      </x:c>
      <x:c r="B22" s="84" t="n">
        <x:v>2216</x:v>
      </x:c>
      <x:c r="C22" s="84" t="n">
        <x:v>377.7867614723483</x:v>
      </x:c>
      <x:c r="D22" s="84" t="n">
        <x:v>74</x:v>
      </x:c>
      <x:c r="E22" s="84" t="n">
        <x:v>9</x:v>
      </x:c>
      <x:c r="F22" s="84" t="n">
        <x:v>770</x:v>
      </x:c>
      <x:c r="G22" s="84" t="n">
        <x:v>0</x:v>
      </x:c>
      <x:c r="H22" s="64" t="n">
        <x:v>0</x:v>
      </x:c>
      <x:c r="I22" s="61" t="str">
        <x:v>high</x:v>
      </x:c>
      <x:c r="J22" s="84" t="n">
        <x:v>22.05143768918356</x:v>
      </x:c>
      <x:c r="K22" s="84" t="n">
        <x:v>161.50384052942886</x:v>
      </x:c>
      <x:c r="L22" s="84" t="n">
        <x:v>216.28292094291945</x:v>
      </x:c>
    </x:row>
    <x:row r="23">
      <x:c r="A23" s="53" t="str">
        <x:v>48201454503</x:v>
      </x:c>
      <x:c r="B23" s="85" t="n">
        <x:v>2700</x:v>
      </x:c>
      <x:c r="C23" s="85" t="n">
        <x:v>217.57913177311465</x:v>
      </x:c>
      <x:c r="D23" s="85" t="n">
        <x:v>322</x:v>
      </x:c>
      <x:c r="E23" s="85" t="n">
        <x:v>39.5</x:v>
      </x:c>
      <x:c r="F23" s="85" t="n">
        <x:v>1077</x:v>
      </x:c>
      <x:c r="G23" s="85" t="n">
        <x:v>0</x:v>
      </x:c>
      <x:c r="H23" s="69" t="n">
        <x:v>0</x:v>
      </x:c>
      <x:c r="I23" s="53" t="str">
        <x:v>low</x:v>
      </x:c>
      <x:c r="J23" s="85" t="n">
        <x:v>17.758500032715926</x:v>
      </x:c>
      <x:c r="K23" s="85" t="n">
        <x:v>194.29816467339137</x:v>
      </x:c>
      <x:c r="L23" s="85" t="n">
        <x:v>23.280967099723284</x:v>
      </x:c>
    </x:row>
    <x:row r="24">
      <x:c r="A24" s="61" t="str">
        <x:v>48201454504</x:v>
      </x:c>
      <x:c r="B24" s="84" t="n">
        <x:v>5223</x:v>
      </x:c>
      <x:c r="C24" s="84" t="n">
        <x:v>904.1608464569757</x:v>
      </x:c>
      <x:c r="D24" s="84" t="n">
        <x:v>539</x:v>
      </x:c>
      <x:c r="E24" s="84" t="n">
        <x:v>103.5</x:v>
      </x:c>
      <x:c r="F24" s="84" t="n">
        <x:v>2489</x:v>
      </x:c>
      <x:c r="G24" s="84" t="n">
        <x:v>378</x:v>
      </x:c>
      <x:c r="H24" s="64" t="n">
        <x:v>0.15186822016874246</x:v>
      </x:c>
      <x:c r="I24" s="61" t="str">
        <x:v>high</x:v>
      </x:c>
      <x:c r="J24" s="84" t="n">
        <x:v>21.74554678578368</x:v>
      </x:c>
      <x:c r="K24" s="84" t="n">
        <x:v>385.35473315820184</x:v>
      </x:c>
      <x:c r="L24" s="84" t="n">
        <x:v>518.8061132987739</x:v>
      </x:c>
    </x:row>
    <x:row r="25">
      <x:c r="A25" s="53" t="str">
        <x:v>48201454505</x:v>
      </x:c>
      <x:c r="B25" s="85" t="n">
        <x:v>2472</x:v>
      </x:c>
      <x:c r="C25" s="85" t="n">
        <x:v>196.02438729038064</x:v>
      </x:c>
      <x:c r="D25" s="85" t="n">
        <x:v>107</x:v>
      </x:c>
      <x:c r="E25" s="85" t="n">
        <x:v>7</x:v>
      </x:c>
      <x:c r="F25" s="85" t="n">
        <x:v>905</x:v>
      </x:c>
      <x:c r="G25" s="85" t="n">
        <x:v>0</x:v>
      </x:c>
      <x:c r="H25" s="69" t="n">
        <x:v>0</x:v>
      </x:c>
      <x:c r="I25" s="53" t="str">
        <x:v>low</x:v>
      </x:c>
      <x:c r="J25" s="85" t="n">
        <x:v>16.289406471689258</x:v>
      </x:c>
      <x:c r="K25" s="85" t="n">
        <x:v>175.0497778503099</x:v>
      </x:c>
      <x:c r="L25" s="85" t="n">
        <x:v>20.974609440070736</x:v>
      </x:c>
    </x:row>
    <x:row r="26">
      <x:c r="A26" s="61" t="str">
        <x:v>48201454600</x:v>
      </x:c>
      <x:c r="B26" s="84" t="n">
        <x:v>5305</x:v>
      </x:c>
      <x:c r="C26" s="84" t="n">
        <x:v>425.01161810330876</x:v>
      </x:c>
      <x:c r="D26" s="84" t="n">
        <x:v>467</x:v>
      </x:c>
      <x:c r="E26" s="84" t="n">
        <x:v>92</x:v>
      </x:c>
      <x:c r="F26" s="84" t="n">
        <x:v>2500</x:v>
      </x:c>
      <x:c r="G26" s="84" t="n">
        <x:v>764</x:v>
      </x:c>
      <x:c r="H26" s="64" t="n">
        <x:v>0.3056</x:v>
      </x:c>
      <x:c r="I26" s="61" t="str">
        <x:v>low</x:v>
      </x:c>
      <x:c r="J26" s="84" t="n">
        <x:v>13.859376210672282</x:v>
      </x:c>
      <x:c r="K26" s="84" t="n">
        <x:v>377.21565475446096</x:v>
      </x:c>
      <x:c r="L26" s="84" t="n">
        <x:v>47.795963348847806</x:v>
      </x:c>
    </x:row>
    <x:row r="27">
      <x:c r="A27" s="53" t="str">
        <x:v>48201454700</x:v>
      </x:c>
      <x:c r="B27" s="85" t="n">
        <x:v>7588</x:v>
      </x:c>
      <x:c r="C27" s="85" t="n">
        <x:v>606.0793312822426</x:v>
      </x:c>
      <x:c r="D27" s="85" t="n">
        <x:v>608</x:v>
      </x:c>
      <x:c r="E27" s="85" t="n">
        <x:v>18</x:v>
      </x:c>
      <x:c r="F27" s="85" t="n">
        <x:v>2392</x:v>
      </x:c>
      <x:c r="G27" s="85" t="n">
        <x:v>43</x:v>
      </x:c>
      <x:c r="H27" s="69" t="n">
        <x:v>0.01797658862876254</x:v>
      </x:c>
      <x:c r="I27" s="53" t="str">
        <x:v>low</x:v>
      </x:c>
      <x:c r="J27" s="85" t="n">
        <x:v>17.306665434343138</x:v>
      </x:c>
      <x:c r="K27" s="85" t="n">
        <x:v>541.0342538698092</x:v>
      </x:c>
      <x:c r="L27" s="85" t="n">
        <x:v>65.04507741243344</x:v>
      </x:c>
    </x:row>
    <x:row r="28">
      <x:c r="A28" s="61" t="str">
        <x:v>48201454801</x:v>
      </x:c>
      <x:c r="B28" s="84" t="n">
        <x:v>4098</x:v>
      </x:c>
      <x:c r="C28" s="84" t="n">
        <x:v>330.3357923826109</x:v>
      </x:c>
      <x:c r="D28" s="84" t="n">
        <x:v>497</x:v>
      </x:c>
      <x:c r="E28" s="84" t="n">
        <x:v>56</x:v>
      </x:c>
      <x:c r="F28" s="84" t="n">
        <x:v>1915</x:v>
      </x:c>
      <x:c r="G28" s="84" t="n">
        <x:v>861</x:v>
      </x:c>
      <x:c r="H28" s="64" t="n">
        <x:v>0.4496083550913838</x:v>
      </x:c>
      <x:c r="I28" s="61" t="str">
        <x:v>low</x:v>
      </x:c>
      <x:c r="J28" s="84" t="n">
        <x:v>16.296484635730387</x:v>
      </x:c>
      <x:c r="K28" s="84" t="n">
        <x:v>292.3372644598481</x:v>
      </x:c>
      <x:c r="L28" s="84" t="n">
        <x:v>37.99852792276283</x:v>
      </x:c>
    </x:row>
    <x:row r="29">
      <x:c r="A29" s="53" t="str">
        <x:v>48201454802</x:v>
      </x:c>
      <x:c r="B29" s="85" t="n">
        <x:v>4324</x:v>
      </x:c>
      <x:c r="C29" s="85" t="n">
        <x:v>348.34982131767975</x:v>
      </x:c>
      <x:c r="D29" s="85" t="n">
        <x:v>541</x:v>
      </x:c>
      <x:c r="E29" s="85" t="n">
        <x:v>0</x:v>
      </x:c>
      <x:c r="F29" s="85" t="n">
        <x:v>1956</x:v>
      </x:c>
      <x:c r="G29" s="85" t="n">
        <x:v>117</x:v>
      </x:c>
      <x:c r="H29" s="69" t="n">
        <x:v>0.0598159509202454</x:v>
      </x:c>
      <x:c r="I29" s="53" t="str">
        <x:v>low</x:v>
      </x:c>
      <x:c r="J29" s="85" t="n">
        <x:v>16.646318577753636</x:v>
      </x:c>
      <x:c r="K29" s="85" t="n">
        <x:v>310.7042438346318</x:v>
      </x:c>
      <x:c r="L29" s="85" t="n">
        <x:v>37.64557748304793</x:v>
      </x:c>
    </x:row>
    <x:row r="30">
      <x:c r="A30" s="61" t="str">
        <x:v>48201454901</x:v>
      </x:c>
      <x:c r="B30" s="84" t="n">
        <x:v>2428</x:v>
      </x:c>
      <x:c r="C30" s="84" t="n">
        <x:v>192.34613007327235</x:v>
      </x:c>
      <x:c r="D30" s="84" t="n">
        <x:v>90</x:v>
      </x:c>
      <x:c r="E30" s="84" t="n">
        <x:v>13</x:v>
      </x:c>
      <x:c r="F30" s="84" t="n">
        <x:v>857</x:v>
      </x:c>
      <x:c r="G30" s="84" t="n">
        <x:v>74</x:v>
      </x:c>
      <x:c r="H30" s="64" t="n">
        <x:v>0.08634772462077013</x:v>
      </x:c>
      <x:c r="I30" s="61" t="str">
        <x:v>low</x:v>
      </x:c>
      <x:c r="J30" s="84" t="n">
        <x:v>19.16557674160691</x:v>
      </x:c>
      <x:c r="K30" s="84" t="n">
        <x:v>171.4684636544403</x:v>
      </x:c>
      <x:c r="L30" s="84" t="n">
        <x:v>20.877666418832035</x:v>
      </x:c>
    </x:row>
    <x:row r="31">
      <x:c r="A31" s="53" t="str">
        <x:v>48201454902</x:v>
      </x:c>
      <x:c r="B31" s="85" t="n">
        <x:v>8576</x:v>
      </x:c>
      <x:c r="C31" s="85" t="n">
        <x:v>683.8336018994487</x:v>
      </x:c>
      <x:c r="D31" s="85" t="n">
        <x:v>512</x:v>
      </x:c>
      <x:c r="E31" s="85" t="n">
        <x:v>223</x:v>
      </x:c>
      <x:c r="F31" s="85" t="n">
        <x:v>2774</x:v>
      </x:c>
      <x:c r="G31" s="85" t="n">
        <x:v>621</x:v>
      </x:c>
      <x:c r="H31" s="69" t="n">
        <x:v>0.22386445565969718</x:v>
      </x:c>
      <x:c r="I31" s="53" t="str">
        <x:v>low</x:v>
      </x:c>
      <x:c r="J31" s="85" t="n">
        <x:v>19.269566886252026</x:v>
      </x:c>
      <x:c r="K31" s="85" t="n">
        <x:v>607.9292898744762</x:v>
      </x:c>
      <x:c r="L31" s="85" t="n">
        <x:v>75.90431202497246</x:v>
      </x:c>
    </x:row>
    <x:row r="32">
      <x:c r="A32" s="61" t="str">
        <x:v>48201455000</x:v>
      </x:c>
      <x:c r="B32" s="84" t="n">
        <x:v>3601</x:v>
      </x:c>
      <x:c r="C32" s="84" t="n">
        <x:v>289.23048202902885</x:v>
      </x:c>
      <x:c r="D32" s="84" t="n">
        <x:v>395</x:v>
      </x:c>
      <x:c r="E32" s="84" t="n">
        <x:v>0</x:v>
      </x:c>
      <x:c r="F32" s="84" t="n">
        <x:v>1158</x:v>
      </x:c>
      <x:c r="G32" s="84" t="n">
        <x:v>291</x:v>
      </x:c>
      <x:c r="H32" s="64" t="n">
        <x:v>0.25129533678756477</x:v>
      </x:c>
      <x:c r="I32" s="61" t="str">
        <x:v>low</x:v>
      </x:c>
      <x:c r="J32" s="84" t="n">
        <x:v>16.263246197684847</x:v>
      </x:c>
      <x:c r="K32" s="84" t="n">
        <x:v>256.98471508488456</x:v>
      </x:c>
      <x:c r="L32" s="84" t="n">
        <x:v>32.24576694414429</x:v>
      </x:c>
    </x:row>
    <x:row r="33">
      <x:c r="A33" s="53" t="str">
        <x:v>48201455102</x:v>
      </x:c>
      <x:c r="B33" s="85" t="n">
        <x:v>2886</x:v>
      </x:c>
      <x:c r="C33" s="85" t="n">
        <x:v>230.88137608925956</x:v>
      </x:c>
      <x:c r="D33" s="85" t="n">
        <x:v>253</x:v>
      </x:c>
      <x:c r="E33" s="85" t="n">
        <x:v>10</x:v>
      </x:c>
      <x:c r="F33" s="85" t="n">
        <x:v>930</x:v>
      </x:c>
      <x:c r="G33" s="85" t="n">
        <x:v>0</x:v>
      </x:c>
      <x:c r="H33" s="69" t="n">
        <x:v>0</x:v>
      </x:c>
      <x:c r="I33" s="53" t="str">
        <x:v>low</x:v>
      </x:c>
      <x:c r="J33" s="85" t="n">
        <x:v>13.083112442648343</x:v>
      </x:c>
      <x:c r="K33" s="85" t="n">
        <x:v>206.17706884770877</x:v>
      </x:c>
      <x:c r="L33" s="85" t="n">
        <x:v>24.704307241550794</x:v>
      </x:c>
    </x:row>
    <x:row r="34">
      <x:c r="A34" s="61" t="str">
        <x:v>48201455103</x:v>
      </x:c>
      <x:c r="B34" s="84" t="n">
        <x:v>3810</x:v>
      </x:c>
      <x:c r="C34" s="84" t="n">
        <x:v>303.6291299387348</x:v>
      </x:c>
      <x:c r="D34" s="84" t="n">
        <x:v>266</x:v>
      </x:c>
      <x:c r="E34" s="84" t="n">
        <x:v>0</x:v>
      </x:c>
      <x:c r="F34" s="84" t="n">
        <x:v>1351</x:v>
      </x:c>
      <x:c r="G34" s="84" t="n">
        <x:v>0</x:v>
      </x:c>
      <x:c r="H34" s="64" t="n">
        <x:v>0</x:v>
      </x:c>
      <x:c r="I34" s="61" t="str">
        <x:v>low</x:v>
      </x:c>
      <x:c r="J34" s="84" t="n">
        <x:v>15.837342203695538</x:v>
      </x:c>
      <x:c r="K34" s="84" t="n">
        <x:v>271.1408130352902</x:v>
      </x:c>
      <x:c r="L34" s="84" t="n">
        <x:v>32.48831690344463</x:v>
      </x:c>
    </x:row>
    <x:row r="35">
      <x:c r="A35" s="53" t="str">
        <x:v>48201455104</x:v>
      </x:c>
      <x:c r="B35" s="85" t="n">
        <x:v>3393</x:v>
      </x:c>
      <x:c r="C35" s="85" t="n">
        <x:v>274.2580888696457</x:v>
      </x:c>
      <x:c r="D35" s="85" t="n">
        <x:v>454</x:v>
      </x:c>
      <x:c r="E35" s="85" t="n">
        <x:v>57</x:v>
      </x:c>
      <x:c r="F35" s="85" t="n">
        <x:v>1212</x:v>
      </x:c>
      <x:c r="G35" s="85" t="n">
        <x:v>79</x:v>
      </x:c>
      <x:c r="H35" s="69" t="n">
        <x:v>0.06518151815181518</x:v>
      </x:c>
      <x:c r="I35" s="53" t="str">
        <x:v>low</x:v>
      </x:c>
      <x:c r="J35" s="85" t="n">
        <x:v>14.384169700328373</x:v>
      </x:c>
      <x:c r="K35" s="85" t="n">
        <x:v>244.59319802403442</x:v>
      </x:c>
      <x:c r="L35" s="85" t="n">
        <x:v>29.664890845611268</x:v>
      </x:c>
    </x:row>
    <x:row r="36">
      <x:c r="A36" s="61" t="str">
        <x:v>48201455200</x:v>
      </x:c>
      <x:c r="B36" s="84" t="n">
        <x:v>4190</x:v>
      </x:c>
      <x:c r="C36" s="84" t="n">
        <x:v>337.9438115838092</x:v>
      </x:c>
      <x:c r="D36" s="84" t="n">
        <x:v>501</x:v>
      </x:c>
      <x:c r="E36" s="84" t="n">
        <x:v>96</x:v>
      </x:c>
      <x:c r="F36" s="84" t="n">
        <x:v>1593</x:v>
      </x:c>
      <x:c r="G36" s="84" t="n">
        <x:v>10</x:v>
      </x:c>
      <x:c r="H36" s="64" t="n">
        <x:v>0.006277463904582548</x:v>
      </x:c>
      <x:c r="I36" s="61" t="str">
        <x:v>low</x:v>
      </x:c>
      <x:c r="J36" s="84" t="n">
        <x:v>12.927068157144614</x:v>
      </x:c>
      <x:c r="K36" s="84" t="n">
        <x:v>301.74593500313074</x:v>
      </x:c>
      <x:c r="L36" s="84" t="n">
        <x:v>36.19787658067844</x:v>
      </x:c>
    </x:row>
    <x:row r="37">
      <x:c r="A37" s="53" t="str">
        <x:v>48201455300</x:v>
      </x:c>
      <x:c r="B37" s="85" t="n">
        <x:v>13285</x:v>
      </x:c>
      <x:c r="C37" s="85" t="n">
        <x:v>1065.7396607992735</x:v>
      </x:c>
      <x:c r="D37" s="85" t="n">
        <x:v>913</x:v>
      </x:c>
      <x:c r="E37" s="85" t="n">
        <x:v>922.5</x:v>
      </x:c>
      <x:c r="F37" s="85" t="n">
        <x:v>6170</x:v>
      </x:c>
      <x:c r="G37" s="85" t="n">
        <x:v>2593</x:v>
      </x:c>
      <x:c r="H37" s="69" t="n">
        <x:v>0.42025931928687194</x:v>
      </x:c>
      <x:c r="I37" s="53" t="str">
        <x:v>low</x:v>
      </x:c>
      <x:c r="J37" s="85" t="n">
        <x:v>13.900011155938365</x:v>
      </x:c>
      <x:c r="K37" s="85" t="n">
        <x:v>943.7062548382436</x:v>
      </x:c>
      <x:c r="L37" s="85" t="n">
        <x:v>122.03340596102987</x:v>
      </x:c>
    </x:row>
    <x:row r="38">
      <x:c r="A38" s="61" t="str">
        <x:v>48201541604</x:v>
      </x:c>
      <x:c r="B38" s="84" t="n">
        <x:v>10089</x:v>
      </x:c>
      <x:c r="C38" s="84" t="n">
        <x:v>815.8853938508272</x:v>
      </x:c>
      <x:c r="D38" s="84" t="n">
        <x:v>1365</x:v>
      </x:c>
      <x:c r="E38" s="84" t="n">
        <x:v>188.5</x:v>
      </x:c>
      <x:c r="F38" s="84" t="n">
        <x:v>3660</x:v>
      </x:c>
      <x:c r="G38" s="84" t="n">
        <x:v>0</x:v>
      </x:c>
      <x:c r="H38" s="64" t="n">
        <x:v>0</x:v>
      </x:c>
      <x:c r="I38" s="61" t="str">
        <x:v>low</x:v>
      </x:c>
      <x:c r="J38" s="84" t="n">
        <x:v>20.23716617612077</x:v>
      </x:c>
      <x:c r="K38" s="84" t="n">
        <x:v>728.5856567087885</x:v>
      </x:c>
      <x:c r="L38" s="84" t="n">
        <x:v>87.29973714203868</x:v>
      </x:c>
    </x:row>
    <x:row r="39">
      <x:c r="A39" s="53" t="str">
        <x:v>48201541701</x:v>
      </x:c>
      <x:c r="B39" s="85" t="n">
        <x:v>6879</x:v>
      </x:c>
      <x:c r="C39" s="85" t="n">
        <x:v>974.3451863352907</x:v>
      </x:c>
      <x:c r="D39" s="85" t="n">
        <x:v>640</x:v>
      </x:c>
      <x:c r="E39" s="85" t="n">
        <x:v>0</x:v>
      </x:c>
      <x:c r="F39" s="85" t="n">
        <x:v>1860</x:v>
      </x:c>
      <x:c r="G39" s="85" t="n">
        <x:v>163</x:v>
      </x:c>
      <x:c r="H39" s="69" t="n">
        <x:v>0.08763440860215053</x:v>
      </x:c>
      <x:c r="I39" s="53" t="str">
        <x:v>moderate</x:v>
      </x:c>
      <x:c r="J39" s="85" t="n">
        <x:v>25.141098701019533</x:v>
      </x:c>
      <x:c r="K39" s="85" t="n">
        <x:v>757.6845837172851</x:v>
      </x:c>
      <x:c r="L39" s="85" t="n">
        <x:v>216.66060261800556</x:v>
      </x:c>
    </x:row>
    <x:row r="40">
      <x:c r="A40" s="61" t="str">
        <x:v>48201541702</x:v>
      </x:c>
      <x:c r="B40" s="84" t="n">
        <x:v>2644</x:v>
      </x:c>
      <x:c r="C40" s="84" t="n">
        <x:v>211.94778284991358</x:v>
      </x:c>
      <x:c r="D40" s="84" t="n">
        <x:v>201</x:v>
      </x:c>
      <x:c r="E40" s="84" t="n">
        <x:v>125</x:v>
      </x:c>
      <x:c r="F40" s="84" t="n">
        <x:v>1290</x:v>
      </x:c>
      <x:c r="G40" s="84" t="n">
        <x:v>365</x:v>
      </x:c>
      <x:c r="H40" s="64" t="n">
        <x:v>0.28294573643410853</x:v>
      </x:c>
      <x:c r="I40" s="61" t="str">
        <x:v>low</x:v>
      </x:c>
      <x:c r="J40" s="84" t="n">
        <x:v>18.179127421144944</x:v>
      </x:c>
      <x:c r="K40" s="84" t="n">
        <x:v>188.19831085891053</x:v>
      </x:c>
      <x:c r="L40" s="84" t="n">
        <x:v>23.74947199100305</x:v>
      </x:c>
    </x:row>
    <x:row r="41">
      <x:c r="A41" s="53" t="str">
        <x:v>48201541703</x:v>
      </x:c>
      <x:c r="B41" s="85" t="n">
        <x:v>3705</x:v>
      </x:c>
      <x:c r="C41" s="85" t="n">
        <x:v>640.7664334476553</x:v>
      </x:c>
      <x:c r="D41" s="85" t="n">
        <x:v>325</x:v>
      </x:c>
      <x:c r="E41" s="85" t="n">
        <x:v>152</x:v>
      </x:c>
      <x:c r="F41" s="85" t="n">
        <x:v>2043</x:v>
      </x:c>
      <x:c r="G41" s="85" t="n">
        <x:v>1032</x:v>
      </x:c>
      <x:c r="H41" s="69" t="n">
        <x:v>0.5051395007342144</x:v>
      </x:c>
      <x:c r="I41" s="53" t="str">
        <x:v>high</x:v>
      </x:c>
      <x:c r="J41" s="85" t="n">
        <x:v>25.960596960572573</x:v>
      </x:c>
      <x:c r="K41" s="85" t="n">
        <x:v>271.16021676868723</x:v>
      </x:c>
      <x:c r="L41" s="85" t="n">
        <x:v>369.6062166789681</x:v>
      </x:c>
    </x:row>
    <x:row r="42">
      <x:c r="A42" s="61" t="str">
        <x:v>48201541801</x:v>
      </x:c>
      <x:c r="B42" s="84" t="n">
        <x:v>3980</x:v>
      </x:c>
      <x:c r="C42" s="84" t="n">
        <x:v>321.3248481530923</x:v>
      </x:c>
      <x:c r="D42" s="84" t="n">
        <x:v>492</x:v>
      </x:c>
      <x:c r="E42" s="84" t="n">
        <x:v>99.5</x:v>
      </x:c>
      <x:c r="F42" s="84" t="n">
        <x:v>1742</x:v>
      </x:c>
      <x:c r="G42" s="84" t="n">
        <x:v>615</x:v>
      </x:c>
      <x:c r="H42" s="64" t="n">
        <x:v>0.3530424799081516</x:v>
      </x:c>
      <x:c r="I42" s="61" t="str">
        <x:v>low</x:v>
      </x:c>
      <x:c r="J42" s="84" t="n">
        <x:v>16.77579010252279</x:v>
      </x:c>
      <x:c r="K42" s="84" t="n">
        <x:v>284.91702740322074</x:v>
      </x:c>
      <x:c r="L42" s="84" t="n">
        <x:v>36.407820749871576</x:v>
      </x:c>
    </x:row>
    <x:row r="43">
      <x:c r="A43" s="53" t="str">
        <x:v>48201541802</x:v>
      </x:c>
      <x:c r="B43" s="85" t="n">
        <x:v>4140</x:v>
      </x:c>
      <x:c r="C43" s="85" t="n">
        <x:v>716.4185836927568</x:v>
      </x:c>
      <x:c r="D43" s="85" t="n">
        <x:v>358</x:v>
      </x:c>
      <x:c r="E43" s="85" t="n">
        <x:v>205</x:v>
      </x:c>
      <x:c r="F43" s="85" t="n">
        <x:v>2071</x:v>
      </x:c>
      <x:c r="G43" s="85" t="n">
        <x:v>1190</x:v>
      </x:c>
      <x:c r="H43" s="69" t="n">
        <x:v>0.5746016417189763</x:v>
      </x:c>
      <x:c r="I43" s="53" t="str">
        <x:v>high</x:v>
      </x:c>
      <x:c r="J43" s="85" t="n">
        <x:v>18.43472760090458</x:v>
      </x:c>
      <x:c r="K43" s="85" t="n">
        <x:v>302.74929176197946</x:v>
      </x:c>
      <x:c r="L43" s="85" t="n">
        <x:v>413.6692919307773</x:v>
      </x:c>
    </x:row>
    <x:row r="44">
      <x:c r="A44" s="61" t="str">
        <x:v>48201541901</x:v>
      </x:c>
      <x:c r="B44" s="84" t="n">
        <x:v>2742</x:v>
      </x:c>
      <x:c r="C44" s="84" t="n">
        <x:v>219.9644972974573</x:v>
      </x:c>
      <x:c r="D44" s="84" t="n">
        <x:v>263</x:v>
      </x:c>
      <x:c r="E44" s="84" t="n">
        <x:v>41</x:v>
      </x:c>
      <x:c r="F44" s="84" t="n">
        <x:v>968</x:v>
      </x:c>
      <x:c r="G44" s="84" t="n">
        <x:v>221</x:v>
      </x:c>
      <x:c r="H44" s="64" t="n">
        <x:v>0.22830578512396693</x:v>
      </x:c>
      <x:c r="I44" s="61" t="str">
        <x:v>low</x:v>
      </x:c>
      <x:c r="J44" s="84" t="n">
        <x:v>20.392447414641516</x:v>
      </x:c>
      <x:c r="K44" s="84" t="n">
        <x:v>195.53138175945693</x:v>
      </x:c>
      <x:c r="L44" s="84" t="n">
        <x:v>24.43311553800038</x:v>
      </x:c>
    </x:row>
    <x:row r="45">
      <x:c r="A45" s="53" t="str">
        <x:v>48201541902</x:v>
      </x:c>
      <x:c r="B45" s="85" t="n">
        <x:v>4756</x:v>
      </x:c>
      <x:c r="C45" s="85" t="n">
        <x:v>379.6975326647663</x:v>
      </x:c>
      <x:c r="D45" s="85" t="n">
        <x:v>344</x:v>
      </x:c>
      <x:c r="E45" s="85" t="n">
        <x:v>62.5</x:v>
      </x:c>
      <x:c r="F45" s="85" t="n">
        <x:v>1515</x:v>
      </x:c>
      <x:c r="G45" s="85" t="n">
        <x:v>0</x:v>
      </x:c>
      <x:c r="H45" s="69" t="n">
        <x:v>0</x:v>
      </x:c>
      <x:c r="I45" s="53" t="str">
        <x:v>low</x:v>
      </x:c>
      <x:c r="J45" s="85" t="n">
        <x:v>17.107209242171738</x:v>
      </x:c>
      <x:c r="K45" s="85" t="n">
        <x:v>339.06989666963625</x:v>
      </x:c>
      <x:c r="L45" s="85" t="n">
        <x:v>40.62763599513005</x:v>
      </x:c>
    </x:row>
    <x:row r="46">
      <x:c r="A46" s="61" t="str">
        <x:v>48201542001</x:v>
      </x:c>
      <x:c r="B46" s="84" t="n">
        <x:v>4289</x:v>
      </x:c>
      <x:c r="C46" s="84" t="n">
        <x:v>348.12189512260255</x:v>
      </x:c>
      <x:c r="D46" s="84" t="n">
        <x:v>677</x:v>
      </x:c>
      <x:c r="E46" s="84" t="n">
        <x:v>49</x:v>
      </x:c>
      <x:c r="F46" s="84" t="n">
        <x:v>1334</x:v>
      </x:c>
      <x:c r="G46" s="84" t="n">
        <x:v>0</x:v>
      </x:c>
      <x:c r="H46" s="64" t="n">
        <x:v>0</x:v>
      </x:c>
      <x:c r="I46" s="61" t="str">
        <x:v>low</x:v>
      </x:c>
      <x:c r="J46" s="84" t="n">
        <x:v>15.8241644138209</x:v>
      </x:c>
      <x:c r="K46" s="84" t="n">
        <x:v>310.87285234448404</x:v>
      </x:c>
      <x:c r="L46" s="84" t="n">
        <x:v>37.24904277811851</x:v>
      </x:c>
    </x:row>
    <x:row r="47">
      <x:c r="A47" s="53" t="str">
        <x:v>48201542002</x:v>
      </x:c>
      <x:c r="B47" s="85" t="n">
        <x:v>2483</x:v>
      </x:c>
      <x:c r="C47" s="85" t="n">
        <x:v>198.3901040048029</x:v>
      </x:c>
      <x:c r="D47" s="85" t="n">
        <x:v>206</x:v>
      </x:c>
      <x:c r="E47" s="85" t="n">
        <x:v>0</x:v>
      </x:c>
      <x:c r="F47" s="85" t="n">
        <x:v>880</x:v>
      </x:c>
      <x:c r="G47" s="85" t="n">
        <x:v>0</x:v>
      </x:c>
      <x:c r="H47" s="69" t="n">
        <x:v>0</x:v>
      </x:c>
      <x:c r="I47" s="53" t="str">
        <x:v>low</x:v>
      </x:c>
      <x:c r="J47" s="85" t="n">
        <x:v>14.973098027481457</x:v>
      </x:c>
      <x:c r="K47" s="85" t="n">
        <x:v>177.162362876289</x:v>
      </x:c>
      <x:c r="L47" s="85" t="n">
        <x:v>21.227741128513912</x:v>
      </x:c>
    </x:row>
    <x:row r="48">
      <x:c r="A48" s="61" t="str">
        <x:v>48201542003</x:v>
      </x:c>
      <x:c r="B48" s="84" t="n">
        <x:v>3809</x:v>
      </x:c>
      <x:c r="C48" s="84" t="n">
        <x:v>306.71006333426146</x:v>
      </x:c>
      <x:c r="D48" s="84" t="n">
        <x:v>467</x:v>
      </x:c>
      <x:c r="E48" s="84" t="n">
        <x:v>0</x:v>
      </x:c>
      <x:c r="F48" s="84" t="n">
        <x:v>1123</x:v>
      </x:c>
      <x:c r="G48" s="84" t="n">
        <x:v>0</x:v>
      </x:c>
      <x:c r="H48" s="64" t="n">
        <x:v>0</x:v>
      </x:c>
      <x:c r="I48" s="61" t="str">
        <x:v>low</x:v>
      </x:c>
      <x:c r="J48" s="84" t="n">
        <x:v>17.563681652416367</x:v>
      </x:c>
      <x:c r="K48" s="84" t="n">
        <x:v>273.8920865574955</x:v>
      </x:c>
      <x:c r="L48" s="84" t="n">
        <x:v>32.81797677676599</x:v>
      </x:c>
    </x:row>
    <x:row r="49">
      <x:c r="A49" s="53" t="str">
        <x:v>48201542004</x:v>
      </x:c>
      <x:c r="B49" s="85" t="n">
        <x:v>2989</x:v>
      </x:c>
      <x:c r="C49" s="85" t="n">
        <x:v>519.6281951048618</x:v>
      </x:c>
      <x:c r="D49" s="85" t="n">
        <x:v>384</x:v>
      </x:c>
      <x:c r="E49" s="85" t="n">
        <x:v>38</x:v>
      </x:c>
      <x:c r="F49" s="85" t="n">
        <x:v>1016</x:v>
      </x:c>
      <x:c r="G49" s="85" t="n">
        <x:v>0</x:v>
      </x:c>
      <x:c r="H49" s="69" t="n">
        <x:v>0</x:v>
      </x:c>
      <x:c r="I49" s="53" t="str">
        <x:v>high</x:v>
      </x:c>
      <x:c r="J49" s="85" t="n">
        <x:v>18.23170417106789</x:v>
      </x:c>
      <x:c r="K49" s="85" t="n">
        <x:v>222.1410534073284</x:v>
      </x:c>
      <x:c r="L49" s="85" t="n">
        <x:v>297.4871416975334</x:v>
      </x:c>
    </x:row>
    <x:row r="50">
      <x:c r="A50" s="61" t="str">
        <x:v>48201542104</x:v>
      </x:c>
      <x:c r="B50" s="84" t="n">
        <x:v>7914</x:v>
      </x:c>
      <x:c r="C50" s="84" t="n">
        <x:v>640.001036728908</x:v>
      </x:c>
      <x:c r="D50" s="84" t="n">
        <x:v>1132</x:v>
      </x:c>
      <x:c r="E50" s="84" t="n">
        <x:v>26</x:v>
      </x:c>
      <x:c r="F50" s="84" t="n">
        <x:v>2448</x:v>
      </x:c>
      <x:c r="G50" s="84" t="n">
        <x:v>89</x:v>
      </x:c>
      <x:c r="H50" s="64" t="n">
        <x:v>0.0363562091503268</x:v>
      </x:c>
      <x:c r="I50" s="61" t="str">
        <x:v>low</x:v>
      </x:c>
      <x:c r="J50" s="84" t="n">
        <x:v>15.376967010147776</x:v>
      </x:c>
      <x:c r="K50" s="84" t="n">
        <x:v>571.1053591126722</x:v>
      </x:c>
      <x:c r="L50" s="84" t="n">
        <x:v>68.89567761623584</x:v>
      </x:c>
    </x:row>
    <x:row r="51">
      <x:c r="A51" s="53" t="str">
        <x:v>48201542105</x:v>
      </x:c>
      <x:c r="B51" s="85" t="n">
        <x:v>10026</x:v>
      </x:c>
      <x:c r="C51" s="85" t="n">
        <x:v>803.4869947910229</x:v>
      </x:c>
      <x:c r="D51" s="85" t="n">
        <x:v>886</x:v>
      </x:c>
      <x:c r="E51" s="85" t="n">
        <x:v>199</x:v>
      </x:c>
      <x:c r="F51" s="85" t="n">
        <x:v>3196</x:v>
      </x:c>
      <x:c r="G51" s="85" t="n">
        <x:v>489</x:v>
      </x:c>
      <x:c r="H51" s="69" t="n">
        <x:v>0.15300375469336672</x:v>
      </x:c>
      <x:c r="I51" s="53" t="str">
        <x:v>low</x:v>
      </x:c>
      <x:c r="J51" s="85" t="n">
        <x:v>18.793952769329824</x:v>
      </x:c>
      <x:c r="K51" s="85" t="n">
        <x:v>715.3182399752648</x:v>
      </x:c>
      <x:c r="L51" s="85" t="n">
        <x:v>88.16875481575812</x:v>
      </x:c>
    </x:row>
    <x:row r="52">
      <x:c r="A52" s="61" t="str">
        <x:v>48201542202</x:v>
      </x:c>
      <x:c r="B52" s="84" t="n">
        <x:v>11845</x:v>
      </x:c>
      <x:c r="C52" s="84" t="n">
        <x:v>955.28191095047</x:v>
      </x:c>
      <x:c r="D52" s="84" t="n">
        <x:v>1169</x:v>
      </x:c>
      <x:c r="E52" s="84" t="n">
        <x:v>756.5</x:v>
      </x:c>
      <x:c r="F52" s="84" t="n">
        <x:v>3594</x:v>
      </x:c>
      <x:c r="G52" s="84" t="n">
        <x:v>336</x:v>
      </x:c>
      <x:c r="H52" s="64" t="n">
        <x:v>0.09348914858096828</x:v>
      </x:c>
      <x:c r="I52" s="61" t="str">
        <x:v>low</x:v>
      </x:c>
      <x:c r="J52" s="84" t="n">
        <x:v>17.50663048699444</x:v>
      </x:c>
      <x:c r="K52" s="84" t="n">
        <x:v>851.4716968025489</x:v>
      </x:c>
      <x:c r="L52" s="84" t="n">
        <x:v>103.8102141479211</x:v>
      </x:c>
    </x:row>
    <x:row r="53">
      <x:c r="A53" s="53" t="str">
        <x:v>48201542203</x:v>
      </x:c>
      <x:c r="B53" s="85" t="n">
        <x:v>12427</x:v>
      </x:c>
      <x:c r="C53" s="85" t="n">
        <x:v>1000.3444916220307</x:v>
      </x:c>
      <x:c r="D53" s="85" t="n">
        <x:v>1407</x:v>
      </x:c>
      <x:c r="E53" s="85" t="n">
        <x:v>194</x:v>
      </x:c>
      <x:c r="F53" s="85" t="n">
        <x:v>3848</x:v>
      </x:c>
      <x:c r="G53" s="85" t="n">
        <x:v>0</x:v>
      </x:c>
      <x:c r="H53" s="69" t="n">
        <x:v>0</x:v>
      </x:c>
      <x:c r="I53" s="53" t="str">
        <x:v>low</x:v>
      </x:c>
      <x:c r="J53" s="85" t="n">
        <x:v>16.040766648708324</x:v>
      </x:c>
      <x:c r="K53" s="85" t="n">
        <x:v>893.3076310184732</x:v>
      </x:c>
      <x:c r="L53" s="85" t="n">
        <x:v>107.03686060355744</x:v>
      </x:c>
    </x:row>
    <x:row r="54">
      <x:c r="A54" s="61" t="str">
        <x:v>48201542302</x:v>
      </x:c>
      <x:c r="B54" s="84" t="n">
        <x:v>7713</x:v>
      </x:c>
      <x:c r="C54" s="84" t="n">
        <x:v>627.7676876724357</x:v>
      </x:c>
      <x:c r="D54" s="84" t="n">
        <x:v>1014</x:v>
      </x:c>
      <x:c r="E54" s="84" t="n">
        <x:v>715.5</x:v>
      </x:c>
      <x:c r="F54" s="84" t="n">
        <x:v>2579</x:v>
      </x:c>
      <x:c r="G54" s="84" t="n">
        <x:v>215</x:v>
      </x:c>
      <x:c r="H54" s="64" t="n">
        <x:v>0.08336564559906941</x:v>
      </x:c>
      <x:c r="I54" s="61" t="str">
        <x:v>low</x:v>
      </x:c>
      <x:c r="J54" s="84" t="n">
        <x:v>14.018736654454687</x:v>
      </x:c>
      <x:c r="K54" s="84" t="n">
        <x:v>559.6618552334419</x:v>
      </x:c>
      <x:c r="L54" s="84" t="n">
        <x:v>68.10583243899384</x:v>
      </x:c>
    </x:row>
    <x:row r="55">
      <x:c r="A55" s="53" t="str">
        <x:v>48201542303</x:v>
      </x:c>
      <x:c r="B55" s="85" t="n">
        <x:v>3640</x:v>
      </x:c>
      <x:c r="C55" s="85" t="n">
        <x:v>292.0441916096373</x:v>
      </x:c>
      <x:c r="D55" s="85" t="n">
        <x:v>379</x:v>
      </x:c>
      <x:c r="E55" s="85" t="n">
        <x:v>0</x:v>
      </x:c>
      <x:c r="F55" s="85" t="n">
        <x:v>1335</x:v>
      </x:c>
      <x:c r="G55" s="85" t="n">
        <x:v>26</x:v>
      </x:c>
      <x:c r="H55" s="69" t="n">
        <x:v>0.01947565543071161</x:v>
      </x:c>
      <x:c r="I55" s="53" t="str">
        <x:v>low</x:v>
      </x:c>
      <x:c r="J55" s="85" t="n">
        <x:v>15.257648262156506</x:v>
      </x:c>
      <x:c r="K55" s="85" t="n">
        <x:v>260.69387985585865</x:v>
      </x:c>
      <x:c r="L55" s="85" t="n">
        <x:v>31.35031175377867</x:v>
      </x:c>
    </x:row>
    <x:row r="56">
      <x:c r="A56" s="61" t="str">
        <x:v>48201542304</x:v>
      </x:c>
      <x:c r="B56" s="84" t="n">
        <x:v>5523</x:v>
      </x:c>
      <x:c r="C56" s="84" t="n">
        <x:v>440.1019041222147</x:v>
      </x:c>
      <x:c r="D56" s="84" t="n">
        <x:v>383</x:v>
      </x:c>
      <x:c r="E56" s="84" t="n">
        <x:v>0</x:v>
      </x:c>
      <x:c r="F56" s="84" t="n">
        <x:v>1623</x:v>
      </x:c>
      <x:c r="G56" s="84" t="n">
        <x:v>0</x:v>
      </x:c>
      <x:c r="H56" s="64" t="n">
        <x:v>0</x:v>
      </x:c>
      <x:c r="I56" s="61" t="str">
        <x:v>low</x:v>
      </x:c>
      <x:c r="J56" s="84" t="n">
        <x:v>13.811507185051322</x:v>
      </x:c>
      <x:c r="K56" s="84" t="n">
        <x:v>393.0110003811377</x:v>
      </x:c>
      <x:c r="L56" s="84" t="n">
        <x:v>47.090903741077</x:v>
      </x:c>
    </x:row>
    <x:row r="57">
      <x:c r="A57" s="53" t="str">
        <x:v>48201542305</x:v>
      </x:c>
      <x:c r="B57" s="85" t="n">
        <x:v>4761</x:v>
      </x:c>
      <x:c r="C57" s="85" t="n">
        <x:v>381.8156743741908</x:v>
      </x:c>
      <x:c r="D57" s="85" t="n">
        <x:v>485</x:v>
      </x:c>
      <x:c r="E57" s="85" t="n">
        <x:v>0</x:v>
      </x:c>
      <x:c r="F57" s="85" t="n">
        <x:v>1553</x:v>
      </x:c>
      <x:c r="G57" s="85" t="n">
        <x:v>13</x:v>
      </x:c>
      <x:c r="H57" s="69" t="n">
        <x:v>0.008370895041854474</x:v>
      </x:c>
      <x:c r="I57" s="53" t="str">
        <x:v>low</x:v>
      </x:c>
      <x:c r="J57" s="85" t="n">
        <x:v>11.918894849131036</x:v>
      </x:c>
      <x:c r="K57" s="85" t="n">
        <x:v>340.90431417476395</x:v>
      </x:c>
      <x:c r="L57" s="85" t="n">
        <x:v>40.91136019942684</x:v>
      </x:c>
    </x:row>
    <x:row r="58">
      <x:c r="A58" s="61" t="str">
        <x:v>48201542401</x:v>
      </x:c>
      <x:c r="B58" s="84" t="n">
        <x:v>4991</x:v>
      </x:c>
      <x:c r="C58" s="84" t="n">
        <x:v>401.3230128632139</x:v>
      </x:c>
      <x:c r="D58" s="84" t="n">
        <x:v>468</x:v>
      </x:c>
      <x:c r="E58" s="84" t="n">
        <x:v>216</x:v>
      </x:c>
      <x:c r="F58" s="84" t="n">
        <x:v>1687</x:v>
      </x:c>
      <x:c r="G58" s="84" t="n">
        <x:v>520</x:v>
      </x:c>
      <x:c r="H58" s="64" t="n">
        <x:v>0.3082394783639597</x:v>
      </x:c>
      <x:c r="I58" s="61" t="str">
        <x:v>low</x:v>
      </x:c>
      <x:c r="J58" s="84" t="n">
        <x:v>16.172574638258368</x:v>
      </x:c>
      <x:c r="K58" s="84" t="n">
        <x:v>356.17210425978226</x:v>
      </x:c>
      <x:c r="L58" s="84" t="n">
        <x:v>45.15090860343162</x:v>
      </x:c>
    </x:row>
    <x:row r="59">
      <x:c r="A59" s="53" t="str">
        <x:v>48201542402</x:v>
      </x:c>
      <x:c r="B59" s="85" t="n">
        <x:v>5162</x:v>
      </x:c>
      <x:c r="C59" s="85" t="n">
        <x:v>411.42250116232526</x:v>
      </x:c>
      <x:c r="D59" s="85" t="n">
        <x:v>324</x:v>
      </x:c>
      <x:c r="E59" s="85" t="n">
        <x:v>79</x:v>
      </x:c>
      <x:c r="F59" s="85" t="n">
        <x:v>2039</x:v>
      </x:c>
      <x:c r="G59" s="85" t="n">
        <x:v>154</x:v>
      </x:c>
      <x:c r="H59" s="69" t="n">
        <x:v>0.07552721922511035</x:v>
      </x:c>
      <x:c r="I59" s="53" t="str">
        <x:v>low</x:v>
      </x:c>
      <x:c r="J59" s="85" t="n">
        <x:v>14.777637527253935</x:v>
      </x:c>
      <x:c r="K59" s="85" t="n">
        <x:v>366.8453190876882</x:v>
      </x:c>
      <x:c r="L59" s="85" t="n">
        <x:v>44.57718207463705</x:v>
      </x:c>
    </x:row>
    <x:row r="60">
      <x:c r="A60" s="61" t="str">
        <x:v>48201542500</x:v>
      </x:c>
      <x:c r="B60" s="84" t="n">
        <x:v>3885</x:v>
      </x:c>
      <x:c r="C60" s="84" t="n">
        <x:v>314.42811587101426</x:v>
      </x:c>
      <x:c r="D60" s="84" t="n">
        <x:v>546</x:v>
      </x:c>
      <x:c r="E60" s="84" t="n">
        <x:v>64</x:v>
      </x:c>
      <x:c r="F60" s="84" t="n">
        <x:v>1976</x:v>
      </x:c>
      <x:c r="G60" s="84" t="n">
        <x:v>676</x:v>
      </x:c>
      <x:c r="H60" s="64" t="n">
        <x:v>0.34210526315789475</x:v>
      </x:c>
      <x:c r="I60" s="61" t="str">
        <x:v>low</x:v>
      </x:c>
      <x:c r="J60" s="84" t="n">
        <x:v>11.690143594432081</x:v>
      </x:c>
      <x:c r="K60" s="84" t="n">
        <x:v>278.8631516848438</x:v>
      </x:c>
      <x:c r="L60" s="84" t="n">
        <x:v>35.56496418617047</x:v>
      </x:c>
    </x:row>
    <x:row r="61">
      <x:c r="A61" s="53" t="str">
        <x:v>48201542600</x:v>
      </x:c>
      <x:c r="B61" s="85" t="n">
        <x:v>6062</x:v>
      </x:c>
      <x:c r="C61" s="85" t="n">
        <x:v>492.8078718528306</x:v>
      </x:c>
      <x:c r="D61" s="85" t="n">
        <x:v>959</x:v>
      </x:c>
      <x:c r="E61" s="85" t="n">
        <x:v>164</x:v>
      </x:c>
      <x:c r="F61" s="85" t="n">
        <x:v>2420</x:v>
      </x:c>
      <x:c r="G61" s="85" t="n">
        <x:v>413</x:v>
      </x:c>
      <x:c r="H61" s="69" t="n">
        <x:v>0.1706611570247934</x:v>
      </x:c>
      <x:c r="I61" s="53" t="str">
        <x:v>low</x:v>
      </x:c>
      <x:c r="J61" s="85" t="n">
        <x:v>10.113467655511736</x:v>
      </x:c>
      <x:c r="K61" s="85" t="n">
        <x:v>438.57534709837796</x:v>
      </x:c>
      <x:c r="L61" s="85" t="n">
        <x:v>54.23252475445264</x:v>
      </x:c>
    </x:row>
    <x:row r="62">
      <x:c r="A62" s="61" t="str">
        <x:v>48201542700</x:v>
      </x:c>
      <x:c r="B62" s="84" t="n">
        <x:v>4903</x:v>
      </x:c>
      <x:c r="C62" s="84" t="n">
        <x:v>392.8740245974202</x:v>
      </x:c>
      <x:c r="D62" s="84" t="n">
        <x:v>472</x:v>
      </x:c>
      <x:c r="E62" s="84" t="n">
        <x:v>13</x:v>
      </x:c>
      <x:c r="F62" s="84" t="n">
        <x:v>1946</x:v>
      </x:c>
      <x:c r="G62" s="84" t="n">
        <x:v>119</x:v>
      </x:c>
      <x:c r="H62" s="64" t="n">
        <x:v>0.06115107913669065</x:v>
      </x:c>
      <x:c r="I62" s="61" t="str">
        <x:v>low</x:v>
      </x:c>
      <x:c r="J62" s="84" t="n">
        <x:v>11.803047479508969</x:v>
      </x:c>
      <x:c r="K62" s="84" t="n">
        <x:v>350.40742334913557</x:v>
      </x:c>
      <x:c r="L62" s="84" t="n">
        <x:v>42.46660124828463</x:v>
      </x:c>
    </x:row>
    <x:row r="63">
      <x:c r="A63" s="53" t="str">
        <x:v>48201542800</x:v>
      </x:c>
      <x:c r="B63" s="85" t="n">
        <x:v>8846</x:v>
      </x:c>
      <x:c r="C63" s="85" t="n">
        <x:v>711.5069857914111</x:v>
      </x:c>
      <x:c r="D63" s="85" t="n">
        <x:v>1022</x:v>
      </x:c>
      <x:c r="E63" s="85" t="n">
        <x:v>24</x:v>
      </x:c>
      <x:c r="F63" s="85" t="n">
        <x:v>2859</x:v>
      </x:c>
      <x:c r="G63" s="85" t="n">
        <x:v>0</x:v>
      </x:c>
      <x:c r="H63" s="69" t="n">
        <x:v>0</x:v>
      </x:c>
      <x:c r="I63" s="53" t="str">
        <x:v>low</x:v>
      </x:c>
      <x:c r="J63" s="85" t="n">
        <x:v>7.894377009331049</x:v>
      </x:c>
      <x:c r="K63" s="85" t="n">
        <x:v>635.3757383117301</x:v>
      </x:c>
      <x:c r="L63" s="85" t="n">
        <x:v>76.13124747968106</x:v>
      </x:c>
    </x:row>
    <x:row r="64">
      <x:c r="A64" s="61" t="str">
        <x:v>48201542901</x:v>
      </x:c>
      <x:c r="B64" s="84" t="n">
        <x:v>9563</x:v>
      </x:c>
      <x:c r="C64" s="84" t="n">
        <x:v>765.7219821239173</x:v>
      </x:c>
      <x:c r="D64" s="84" t="n">
        <x:v>776</x:v>
      </x:c>
      <x:c r="E64" s="84" t="n">
        <x:v>244</x:v>
      </x:c>
      <x:c r="F64" s="84" t="n">
        <x:v>3651</x:v>
      </x:c>
      <x:c r="G64" s="84" t="n">
        <x:v>316</x:v>
      </x:c>
      <x:c r="H64" s="64" t="n">
        <x:v>0.08655162969049575</x:v>
      </x:c>
      <x:c r="I64" s="61" t="str">
        <x:v>low</x:v>
      </x:c>
      <x:c r="J64" s="84" t="n">
        <x:v>9.82124943392767</x:v>
      </x:c>
      <x:c r="K64" s="84" t="n">
        <x:v>682.6060677266522</x:v>
      </x:c>
      <x:c r="L64" s="84" t="n">
        <x:v>83.1159143972651</x:v>
      </x:c>
    </x:row>
    <x:row r="65">
      <x:c r="A65" s="53" t="str">
        <x:v>48201542902</x:v>
      </x:c>
      <x:c r="B65" s="85" t="n">
        <x:v>42523</x:v>
      </x:c>
      <x:c r="C65" s="85" t="n">
        <x:v>3386.421302883821</x:v>
      </x:c>
      <x:c r="D65" s="85" t="n">
        <x:v>2100</x:v>
      </x:c>
      <x:c r="E65" s="85" t="n">
        <x:v>1438.5</x:v>
      </x:c>
      <x:c r="F65" s="85" t="n">
        <x:v>13827</x:v>
      </x:c>
      <x:c r="G65" s="85" t="n">
        <x:v>848</x:v>
      </x:c>
      <x:c r="H65" s="69" t="n">
        <x:v>0.06132928328632386</x:v>
      </x:c>
      <x:c r="I65" s="53" t="str">
        <x:v>low</x:v>
      </x:c>
      <x:c r="J65" s="85" t="n">
        <x:v>1.2736062268008637</x:v>
      </x:c>
      <x:c r="K65" s="85" t="n">
        <x:v>3020.364937380644</x:v>
      </x:c>
      <x:c r="L65" s="85" t="n">
        <x:v>366.0563655031774</x:v>
      </x:c>
    </x:row>
    <x:row r="66">
      <x:c r="A66" s="61" t="str">
        <x:v>48201543202</x:v>
      </x:c>
      <x:c r="B66" s="84" t="n">
        <x:v>3905</x:v>
      </x:c>
      <x:c r="C66" s="84" t="n">
        <x:v>673.8272187304217</x:v>
      </x:c>
      <x:c r="D66" s="84" t="n">
        <x:v>318</x:v>
      </x:c>
      <x:c r="E66" s="84" t="n">
        <x:v>119</x:v>
      </x:c>
      <x:c r="F66" s="84" t="n">
        <x:v>1889</x:v>
      </x:c>
      <x:c r="G66" s="84" t="n">
        <x:v>736</x:v>
      </x:c>
      <x:c r="H66" s="64" t="n">
        <x:v>0.3896241397564849</x:v>
      </x:c>
      <x:c r="I66" s="61" t="str">
        <x:v>high</x:v>
      </x:c>
      <x:c r="J66" s="84" t="n">
        <x:v>29.23174522520438</x:v>
      </x:c>
      <x:c r="K66" s="84" t="n">
        <x:v>285.8164245609732</x:v>
      </x:c>
      <x:c r="L66" s="84" t="n">
        <x:v>388.0107941694485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670000076293945" hidden="0" customWidth="1"/>
    <x:col min="2" max="2" width="29.440000534057617" hidden="0" customWidth="1"/>
    <x:col min="3" max="3" width="11.670000076293945" hidden="0" customWidth="1"/>
    <x:col min="4" max="4" width="16.110000610351562" hidden="0" customWidth="1"/>
    <x:col min="5" max="5" width="10" hidden="0" customWidth="1"/>
    <x:col min="6" max="6" width="10" hidden="0" customWidth="1"/>
    <x:col min="7" max="7" width="40" hidden="0" customWidth="1"/>
  </x:cols>
  <x:sheetData>
    <x:row r="1">
      <x:c r="A1" s="74" t="str">
        <x:v>Configuration assumptions</x:v>
      </x:c>
      <x:c r="B1" s="53"/>
      <x:c r="C1" s="53"/>
      <x:c r="D1" s="53"/>
      <x:c r="E1" s="53"/>
      <x:c r="F1" s="53"/>
      <x:c r="G1" s="53"/>
    </x:row>
    <x:row r="2">
      <x:c r="A2" s="75" t="str">
        <x:v>Yellow cells are editable design or research assumptions. Low and high bounds organize later sensitivity work and are not probability distributions.</x:v>
      </x:c>
      <x:c r="B2" s="53"/>
      <x:c r="C2" s="53"/>
      <x:c r="D2" s="53"/>
      <x:c r="E2" s="53"/>
      <x:c r="F2" s="53"/>
      <x:c r="G2" s="53"/>
    </x:row>
    <x:row r="3">
      <x:c r="A3" s="55"/>
      <x:c r="B3" s="55"/>
      <x:c r="C3" s="55"/>
      <x:c r="D3" s="55"/>
      <x:c r="E3" s="55"/>
      <x:c r="F3" s="55"/>
      <x:c r="G3" s="55"/>
    </x:row>
    <x:row r="4">
      <x:c r="A4" s="53"/>
      <x:c r="B4" s="53"/>
      <x:c r="C4" s="53"/>
      <x:c r="D4" s="53"/>
      <x:c r="E4" s="53"/>
      <x:c r="F4" s="53"/>
      <x:c r="G4" s="53"/>
    </x:row>
    <x:row r="5">
      <x:c r="A5" s="15" t="str">
        <x:v>ID</x:v>
      </x:c>
      <x:c r="B5" s="16" t="str">
        <x:v>Assumption</x:v>
      </x:c>
      <x:c r="C5" s="16" t="str">
        <x:v>Reference</x:v>
      </x:c>
      <x:c r="D5" s="16" t="str">
        <x:v>Unit</x:v>
      </x:c>
      <x:c r="E5" s="16" t="str">
        <x:v>Low</x:v>
      </x:c>
      <x:c r="F5" s="16" t="str">
        <x:v>High</x:v>
      </x:c>
      <x:c r="G5" s="17" t="str">
        <x:v>Interpretation</x:v>
      </x:c>
    </x:row>
    <x:row r="6">
      <x:c r="A6" s="61" t="str">
        <x:v>A01</x:v>
      </x:c>
      <x:c r="B6" s="72" t="str">
        <x:v>Design reserve</x:v>
      </x:c>
      <x:c r="C6" s="91" t="n">
        <x:v>1.15</x:v>
      </x:c>
      <x:c r="D6" s="91" t="str">
        <x:v>multiplier</x:v>
      </x:c>
      <x:c r="E6" s="91" t="n">
        <x:v>1</x:v>
      </x:c>
      <x:c r="F6" s="91" t="n">
        <x:v>1.3</x:v>
      </x:c>
      <x:c r="G6" s="72" t="str">
        <x:v>design assumption: scales N01 campaign workloads; not a probability</x:v>
      </x:c>
    </x:row>
    <x:row r="7">
      <x:c r="A7" s="53" t="str">
        <x:v>A02</x:v>
      </x:c>
      <x:c r="B7" s="73" t="str">
        <x:v>Mean people per demand household</x:v>
      </x:c>
      <x:c r="C7" s="91" t="n">
        <x:v>2.45</x:v>
      </x:c>
      <x:c r="D7" s="91" t="str">
        <x:v>people/household</x:v>
      </x:c>
      <x:c r="E7" s="91" t="n">
        <x:v>2.1</x:v>
      </x:c>
      <x:c r="F7" s="91" t="n">
        <x:v>2.8</x:v>
      </x:c>
      <x:c r="G7" s="73" t="str">
        <x:v>design assumption: converts demand people to workload records</x:v>
      </x:c>
    </x:row>
    <x:row r="8">
      <x:c r="A8" s="61" t="str">
        <x:v>A03</x:v>
      </x:c>
      <x:c r="B8" s="72" t="str">
        <x:v>Base registry or remote verification share</x:v>
      </x:c>
      <x:c r="C8" s="91" t="n">
        <x:v>0.5</x:v>
      </x:c>
      <x:c r="D8" s="91" t="str">
        <x:v>share</x:v>
      </x:c>
      <x:c r="E8" s="91" t="n">
        <x:v>0.3</x:v>
      </x:c>
      <x:c r="F8" s="91" t="n">
        <x:v>0.7</x:v>
      </x:c>
      <x:c r="G8" s="72" t="str">
        <x:v>design assumption: share verified without a field household visit</x:v>
      </x:c>
    </x:row>
    <x:row r="9">
      <x:c r="A9" s="53" t="str">
        <x:v>A04</x:v>
      </x:c>
      <x:c r="B9" s="73" t="str">
        <x:v>Isolated-mode registry verification share</x:v>
      </x:c>
      <x:c r="C9" s="91" t="n">
        <x:v>0.15</x:v>
      </x:c>
      <x:c r="D9" s="91" t="str">
        <x:v>share</x:v>
      </x:c>
      <x:c r="E9" s="91" t="n">
        <x:v>0</x:v>
      </x:c>
      <x:c r="F9" s="91" t="n">
        <x:v>0.35</x:v>
      </x:c>
      <x:c r="G9" s="73" t="str">
        <x:v>design assumption: surviving prepared/offline household verification after commercial-network loss</x:v>
      </x:c>
    </x:row>
    <x:row r="10">
      <x:c r="A10" s="61" t="str">
        <x:v>A05</x:v>
      </x:c>
      <x:c r="B10" s="72" t="str">
        <x:v>Conventional contact productivity</x:v>
      </x:c>
      <x:c r="C10" s="91" t="n">
        <x:v>1.6</x:v>
      </x:c>
      <x:c r="D10" s="91" t="str">
        <x:v>households/team-hour</x:v>
      </x:c>
      <x:c r="E10" s="91" t="n">
        <x:v>0.8</x:v>
      </x:c>
      <x:c r="F10" s="91" t="n">
        <x:v>2.4</x:v>
      </x:c>
      <x:c r="G10" s="72" t="str">
        <x:v>research assumption: includes local travel and record closure</x:v>
      </x:c>
    </x:row>
    <x:row r="11">
      <x:c r="A11" s="53" t="str">
        <x:v>A06</x:v>
      </x:c>
      <x:c r="B11" s="73" t="str">
        <x:v>Technology-target contact productivity</x:v>
      </x:c>
      <x:c r="C11" s="91" t="n">
        <x:v>2.4</x:v>
      </x:c>
      <x:c r="D11" s="91" t="str">
        <x:v>households/team-hour</x:v>
      </x:c>
      <x:c r="E11" s="91" t="n">
        <x:v>1.6</x:v>
      </x:c>
      <x:c r="F11" s="91" t="n">
        <x:v>3.2</x:v>
      </x:c>
      <x:c r="G11" s="73" t="str">
        <x:v>technology target: requires offline records, route intelligence, and field automation</x:v>
      </x:c>
    </x:row>
    <x:row r="12">
      <x:c r="A12" s="61" t="str">
        <x:v>A07</x:v>
      </x:c>
      <x:c r="B12" s="72" t="str">
        <x:v>Contact productive hours through deadline</x:v>
      </x:c>
      <x:c r="C12" s="91" t="n">
        <x:v>24</x:v>
      </x:c>
      <x:c r="D12" s="91" t="str">
        <x:v>team-hours/team</x:v>
      </x:c>
      <x:c r="E12" s="91" t="n">
        <x:v>18</x:v>
      </x:c>
      <x:c r="F12" s="91" t="n">
        <x:v>30</x:v>
      </x:c>
      <x:c r="G12" s="72" t="str">
        <x:v>design assumption: productive time inside a 36-hour two-shift window</x:v>
      </x:c>
    </x:row>
    <x:row r="13">
      <x:c r="A13" s="53" t="str">
        <x:v>A08</x:v>
      </x:c>
      <x:c r="B13" s="73" t="str">
        <x:v>Conventional vertical productivity</x:v>
      </x:c>
      <x:c r="C13" s="91" t="n">
        <x:v>0.5</x:v>
      </x:c>
      <x:c r="D13" s="91" t="str">
        <x:v>people/team-hour</x:v>
      </x:c>
      <x:c r="E13" s="91" t="n">
        <x:v>0.25</x:v>
      </x:c>
      <x:c r="F13" s="91" t="n">
        <x:v>0.8</x:v>
      </x:c>
      <x:c r="G13" s="73" t="str">
        <x:v>research assumption: mixed mobility device, stair, heat, and building states</x:v>
      </x:c>
    </x:row>
    <x:row r="14">
      <x:c r="A14" s="61" t="str">
        <x:v>A09</x:v>
      </x:c>
      <x:c r="B14" s="72" t="str">
        <x:v>Technology-target vertical productivity</x:v>
      </x:c>
      <x:c r="C14" s="91" t="n">
        <x:v>0.8</x:v>
      </x:c>
      <x:c r="D14" s="91" t="str">
        <x:v>people/team-hour</x:v>
      </x:c>
      <x:c r="E14" s="91" t="n">
        <x:v>0.5</x:v>
      </x:c>
      <x:c r="F14" s="91" t="n">
        <x:v>1.2</x:v>
      </x:c>
      <x:c r="G14" s="72" t="str">
        <x:v>technology target: requires powered handling without increased occupant or worker injury</x:v>
      </x:c>
    </x:row>
    <x:row r="15">
      <x:c r="A15" s="53" t="str">
        <x:v>A10</x:v>
      </x:c>
      <x:c r="B15" s="73" t="str">
        <x:v>Vertical productive hours through deadline</x:v>
      </x:c>
      <x:c r="C15" s="91" t="n">
        <x:v>48</x:v>
      </x:c>
      <x:c r="D15" s="91" t="str">
        <x:v>team-hours/team</x:v>
      </x:c>
      <x:c r="E15" s="91" t="n">
        <x:v>36</x:v>
      </x:c>
      <x:c r="F15" s="91" t="n">
        <x:v>54</x:v>
      </x:c>
      <x:c r="G15" s="73" t="str">
        <x:v>design assumption: productive time inside a 72-hour two-shift window</x:v>
      </x:c>
    </x:row>
    <x:row r="16">
      <x:c r="A16" s="61" t="str">
        <x:v>A11</x:v>
      </x:c>
      <x:c r="B16" s="72" t="str">
        <x:v>Team or vehicle availability</x:v>
      </x:c>
      <x:c r="C16" s="91" t="n">
        <x:v>0.8</x:v>
      </x:c>
      <x:c r="D16" s="91" t="str">
        <x:v>share</x:v>
      </x:c>
      <x:c r="E16" s="91" t="n">
        <x:v>0.65</x:v>
      </x:c>
      <x:c r="F16" s="91" t="n">
        <x:v>0.9</x:v>
      </x:c>
      <x:c r="G16" s="72" t="str">
        <x:v>design assumption: net of maintenance, relief, staging, and interruption</x:v>
      </x:c>
    </x:row>
    <x:row r="17">
      <x:c r="A17" s="53" t="str">
        <x:v>A12</x:v>
      </x:c>
      <x:c r="B17" s="73" t="str">
        <x:v>Collection squadron throughput</x:v>
      </x:c>
      <x:c r="C17" s="91" t="n">
        <x:v>34.72</x:v>
      </x:c>
      <x:c r="D17" s="91" t="str">
        <x:v>people/hour</x:v>
      </x:c>
      <x:c r="E17" s="91" t="n">
        <x:v>24</x:v>
      </x:c>
      <x:c r="F17" s="91" t="n">
        <x:v>48</x:v>
      </x:c>
      <x:c r="G17" s="73" t="str">
        <x:v>research assumption: one mixed twelve-vehicle squadron across an 18-hour daily operating window</x:v>
      </x:c>
    </x:row>
    <x:row r="18">
      <x:c r="A18" s="61" t="str">
        <x:v>A13</x:v>
      </x:c>
      <x:c r="B18" s="72" t="str">
        <x:v>Collection operating hours through 72 h</x:v>
      </x:c>
      <x:c r="C18" s="91" t="n">
        <x:v>54</x:v>
      </x:c>
      <x:c r="D18" s="91" t="str">
        <x:v>hours</x:v>
      </x:c>
      <x:c r="E18" s="91" t="n">
        <x:v>42</x:v>
      </x:c>
      <x:c r="F18" s="91" t="n">
        <x:v>60</x:v>
      </x:c>
      <x:c r="G18" s="72" t="str">
        <x:v>design assumption: 18 hours/day for three days</x:v>
      </x:c>
    </x:row>
    <x:row r="19">
      <x:c r="A19" s="53" t="str">
        <x:v>A14</x:v>
      </x:c>
      <x:c r="B19" s="73" t="str">
        <x:v>Route detachment output through 48 h</x:v>
      </x:c>
      <x:c r="C19" s="91" t="n">
        <x:v>11.52</x:v>
      </x:c>
      <x:c r="D19" s="91" t="str">
        <x:v>route-km/detachment</x:v>
      </x:c>
      <x:c r="E19" s="91" t="n">
        <x:v>6</x:v>
      </x:c>
      <x:c r="F19" s="91" t="n">
        <x:v>18</x:v>
      </x:c>
      <x:c r="G19" s="73" t="str">
        <x:v>research assumption: lawfully released route, not debris moved</x:v>
      </x:c>
    </x:row>
    <x:row r="20">
      <x:c r="A20" s="61" t="str">
        <x:v>A15</x:v>
      </x:c>
      <x:c r="B20" s="72" t="str">
        <x:v>District capacity</x:v>
      </x:c>
      <x:c r="C20" s="91" t="n">
        <x:v>1000</x:v>
      </x:c>
      <x:c r="D20" s="91" t="str">
        <x:v>protected people/district</x:v>
      </x:c>
      <x:c r="E20" s="91" t="n">
        <x:v>800</x:v>
      </x:c>
      <x:c r="F20" s="91" t="n">
        <x:v>1000</x:v>
      </x:c>
      <x:c r="G20" s="72" t="str">
        <x:v>Pass 30 configuration: PCC-D1 occupied service contract</x:v>
      </x:c>
    </x:row>
    <x:row r="21">
      <x:c r="A21" s="53" t="str">
        <x:v>A16</x:v>
      </x:c>
      <x:c r="B21" s="73" t="str">
        <x:v>Power-block effective output</x:v>
      </x:c>
      <x:c r="C21" s="91" t="n">
        <x:v>0.9</x:v>
      </x:c>
      <x:c r="D21" s="91" t="str">
        <x:v>MW/block</x:v>
      </x:c>
      <x:c r="E21" s="91" t="n">
        <x:v>0.7</x:v>
      </x:c>
      <x:c r="F21" s="91" t="n">
        <x:v>0.95</x:v>
      </x:c>
      <x:c r="G21" s="73" t="str">
        <x:v>research assumption: one 1 MW class block after availability and distribution allowance</x:v>
      </x:c>
    </x:row>
    <x:row r="22">
      <x:c r="A22" s="61" t="str">
        <x:v>A17</x:v>
      </x:c>
      <x:c r="B22" s="72" t="str">
        <x:v>Water-island effective output</x:v>
      </x:c>
      <x:c r="C22" s="91" t="n">
        <x:v>90</x:v>
      </x:c>
      <x:c r="D22" s="91" t="str">
        <x:v>m3/day/island</x:v>
      </x:c>
      <x:c r="E22" s="91" t="n">
        <x:v>65</x:v>
      </x:c>
      <x:c r="F22" s="91" t="n">
        <x:v>100</x:v>
      </x:c>
      <x:c r="G22" s="72" t="str">
        <x:v>research assumption: one 100 m3/day class island after availability and loss</x:v>
      </x:c>
    </x:row>
    <x:row r="23">
      <x:c r="A23" s="53" t="str">
        <x:v>A18</x:v>
      </x:c>
      <x:c r="B23" s="73" t="str">
        <x:v>Communications-node effective coverage</x:v>
      </x:c>
      <x:c r="C23" s="91" t="n">
        <x:v>18</x:v>
      </x:c>
      <x:c r="D23" s="91" t="str">
        <x:v>coverage units/node</x:v>
      </x:c>
      <x:c r="E23" s="91" t="n">
        <x:v>12</x:v>
      </x:c>
      <x:c r="F23" s="91" t="n">
        <x:v>22</x:v>
      </x:c>
      <x:c r="G23" s="73" t="str">
        <x:v>research assumption: abstract overlapping coverage and user-capacity screen</x:v>
      </x:c>
    </x:row>
    <x:row r="24">
      <x:c r="A24" s="61" t="str">
        <x:v>A19</x:v>
      </x:c>
      <x:c r="B24" s="72" t="str">
        <x:v>Shift multiplier</x:v>
      </x:c>
      <x:c r="C24" s="91" t="n">
        <x:v>2.4</x:v>
      </x:c>
      <x:c r="D24" s="91" t="str">
        <x:v>deployed/on-shift</x:v>
      </x:c>
      <x:c r="E24" s="91" t="n">
        <x:v>2.2</x:v>
      </x:c>
      <x:c r="F24" s="91" t="n">
        <x:v>2.8</x:v>
      </x:c>
      <x:c r="G24" s="72" t="str">
        <x:v>design assumption: two-shift coverage plus handover and relief</x:v>
      </x:c>
    </x:row>
    <x:row r="25">
      <x:c r="A25" s="53" t="str">
        <x:v>A20</x:v>
      </x:c>
      <x:c r="B25" s="73" t="str">
        <x:v>Command and relief factor</x:v>
      </x:c>
      <x:c r="C25" s="91" t="n">
        <x:v>1.15</x:v>
      </x:c>
      <x:c r="D25" s="91" t="str">
        <x:v>multiplier</x:v>
      </x:c>
      <x:c r="E25" s="91" t="n">
        <x:v>1.1</x:v>
      </x:c>
      <x:c r="F25" s="91" t="n">
        <x:v>1.25</x:v>
      </x:c>
      <x:c r="G25" s="73" t="str">
        <x:v>design assumption: applied to access and collection workforces</x:v>
      </x:c>
    </x:row>
    <x:row r="26">
      <x:c r="A26" s="61" t="str">
        <x:v>A21</x:v>
      </x:c>
      <x:c r="B26" s="72" t="str">
        <x:v>Loaded annual personnel cost</x:v>
      </x:c>
      <x:c r="C26" s="91" t="n">
        <x:v>155000</x:v>
      </x:c>
      <x:c r="D26" s="91" t="str">
        <x:v>2026 USD/person-year</x:v>
      </x:c>
      <x:c r="E26" s="91" t="n">
        <x:v>130000</x:v>
      </x:c>
      <x:c r="F26" s="91" t="n">
        <x:v>210000</x:v>
      </x:c>
      <x:c r="G26" s="72" t="str">
        <x:v>cost assumption: compensation, benefits, training, and personnel support screen</x:v>
      </x:c>
    </x:row>
    <x:row r="27">
      <x:c r="A27" s="53" t="str">
        <x:v>A22</x:v>
      </x:c>
      <x:c r="B27" s="73" t="str">
        <x:v>Annual equipment O&amp;M</x:v>
      </x:c>
      <x:c r="C27" s="91" t="n">
        <x:v>0.045</x:v>
      </x:c>
      <x:c r="D27" s="91" t="str">
        <x:v>share of direct capital</x:v>
      </x:c>
      <x:c r="E27" s="91" t="n">
        <x:v>0.03</x:v>
      </x:c>
      <x:c r="F27" s="91" t="n">
        <x:v>0.07</x:v>
      </x:c>
      <x:c r="G27" s="73" t="str">
        <x:v>cost assumption: routine maintenance and consumables before incident expenditure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.440000534057617" hidden="0" customWidth="1"/>
    <x:col min="3" max="3" width="18.889999389648438" hidden="0" customWidth="1"/>
    <x:col min="4" max="4" width="7.78000020980835" hidden="0" customWidth="1"/>
    <x:col min="5" max="5" width="9.4399995803833" hidden="0" customWidth="1"/>
    <x:col min="6" max="6" width="10" hidden="0" customWidth="1"/>
    <x:col min="7" max="7" width="11.670000076293945" hidden="0" customWidth="1"/>
    <x:col min="8" max="8" width="9.4399995803833" hidden="0" customWidth="1"/>
    <x:col min="9" max="9" width="10.5600004196167" hidden="0" customWidth="1"/>
    <x:col min="10" max="10" width="11.670000076293945" hidden="0" customWidth="1"/>
    <x:col min="11" max="11" width="11.109999656677246" hidden="0" customWidth="1"/>
    <x:col min="12" max="12" width="10" hidden="0" customWidth="1"/>
    <x:col min="13" max="13" width="8.329999923706055" hidden="0" customWidth="1"/>
    <x:col min="14" max="14" width="8.890000343322754" hidden="0" customWidth="1"/>
    <x:col min="15" max="15" width="8.890000343322754" hidden="0" customWidth="1"/>
    <x:col min="16" max="16" width="8.890000343322754" hidden="0" customWidth="1"/>
    <x:col min="17" max="17" width="11.670000076293945" hidden="0" customWidth="1"/>
    <x:col min="18" max="18" width="10.5600004196167" hidden="0" customWidth="1"/>
  </x:cols>
  <x:sheetData>
    <x:row r="1">
      <x:c r="A1" s="74" t="str">
        <x:v>Formation architecture inputs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</x:row>
    <x:row r="2">
      <x:c r="A2" s="75" t="str">
        <x:v>T0 and I1 expose under-configuration. A2 is the conventional development reference. S3 is a technology target without operational credit.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</x:row>
    <x:row r="5">
      <x:c r="A5" s="15" t="str">
        <x:v>ID</x:v>
      </x:c>
      <x:c r="B5" s="16" t="str">
        <x:v>Architecture</x:v>
      </x:c>
      <x:c r="C5" s="16" t="str">
        <x:v>Status</x:v>
      </x:c>
      <x:c r="D5" s="16" t="str">
        <x:v>Districts</x:v>
      </x:c>
      <x:c r="E5" s="16" t="str">
        <x:v>Contact teams</x:v>
      </x:c>
      <x:c r="F5" s="16" t="str">
        <x:v>Contact companies</x:v>
      </x:c>
      <x:c r="G5" s="16" t="str">
        <x:v>Contact productivity</x:v>
      </x:c>
      <x:c r="H5" s="16" t="str">
        <x:v>Vertical teams</x:v>
      </x:c>
      <x:c r="I5" s="16" t="str">
        <x:v>Vertical companies</x:v>
      </x:c>
      <x:c r="J5" s="16" t="str">
        <x:v>Vertical productivity</x:v>
      </x:c>
      <x:c r="K5" s="16" t="str">
        <x:v>Collection squadrons</x:v>
      </x:c>
      <x:c r="L5" s="16" t="str">
        <x:v>Route detachments</x:v>
      </x:c>
      <x:c r="M5" s="16" t="str">
        <x:v>Power blocks</x:v>
      </x:c>
      <x:c r="N5" s="16" t="str">
        <x:v>Water islands</x:v>
      </x:c>
      <x:c r="O5" s="16" t="str">
        <x:v>Comms nodes</x:v>
      </x:c>
      <x:c r="P5" s="16" t="str">
        <x:v>Fixed staff</x:v>
      </x:c>
      <x:c r="Q5" s="16" t="str">
        <x:v>Technology cost factor</x:v>
      </x:c>
      <x:c r="R5" s="17" t="str">
        <x:v>District import t</x:v>
      </x:c>
    </x:row>
    <x:row r="6">
      <x:c r="A6" s="61" t="str">
        <x:v>T0</x:v>
      </x:c>
      <x:c r="B6" s="61" t="str">
        <x:v>Thin interface detachment</x:v>
      </x:c>
      <x:c r="C6" s="61" t="str">
        <x:v>rejected comparator</x:v>
      </x:c>
      <x:c r="D6" s="98" t="n">
        <x:v>20</x:v>
      </x:c>
      <x:c r="E6" s="98" t="n">
        <x:v>120</x:v>
      </x:c>
      <x:c r="F6" s="98" t="n">
        <x:v>4</x:v>
      </x:c>
      <x:c r="G6" s="99" t="n">
        <x:v>1.6</x:v>
      </x:c>
      <x:c r="H6" s="98" t="n">
        <x:v>40</x:v>
      </x:c>
      <x:c r="I6" s="98" t="n">
        <x:v>4</x:v>
      </x:c>
      <x:c r="J6" s="99" t="n">
        <x:v>0.5</x:v>
      </x:c>
      <x:c r="K6" s="98" t="n">
        <x:v>3</x:v>
      </x:c>
      <x:c r="L6" s="98" t="n">
        <x:v>4</x:v>
      </x:c>
      <x:c r="M6" s="98" t="n">
        <x:v>6</x:v>
      </x:c>
      <x:c r="N6" s="98" t="n">
        <x:v>6</x:v>
      </x:c>
      <x:c r="O6" s="98" t="n">
        <x:v>4</x:v>
      </x:c>
      <x:c r="P6" s="98" t="n">
        <x:v>300</x:v>
      </x:c>
      <x:c r="Q6" s="99" t="n">
        <x:v>1</x:v>
      </x:c>
      <x:c r="R6" s="100" t="n">
        <x:v>15.742</x:v>
      </x:c>
    </x:row>
    <x:row r="7">
      <x:c r="A7" s="53" t="str">
        <x:v>I1</x:v>
      </x:c>
      <x:c r="B7" s="53" t="str">
        <x:v>Integrated baseline cell</x:v>
      </x:c>
      <x:c r="C7" s="53" t="str">
        <x:v>base-case comparator</x:v>
      </x:c>
      <x:c r="D7" s="98" t="n">
        <x:v>29</x:v>
      </x:c>
      <x:c r="E7" s="98" t="n">
        <x:v>240</x:v>
      </x:c>
      <x:c r="F7" s="98" t="n">
        <x:v>5</x:v>
      </x:c>
      <x:c r="G7" s="99" t="n">
        <x:v>1.6</x:v>
      </x:c>
      <x:c r="H7" s="98" t="n">
        <x:v>80</x:v>
      </x:c>
      <x:c r="I7" s="98" t="n">
        <x:v>5</x:v>
      </x:c>
      <x:c r="J7" s="99" t="n">
        <x:v>0.5</x:v>
      </x:c>
      <x:c r="K7" s="98" t="n">
        <x:v>4</x:v>
      </x:c>
      <x:c r="L7" s="98" t="n">
        <x:v>6</x:v>
      </x:c>
      <x:c r="M7" s="98" t="n">
        <x:v>9</x:v>
      </x:c>
      <x:c r="N7" s="98" t="n">
        <x:v>8</x:v>
      </x:c>
      <x:c r="O7" s="98" t="n">
        <x:v>6</x:v>
      </x:c>
      <x:c r="P7" s="98" t="n">
        <x:v>500</x:v>
      </x:c>
      <x:c r="Q7" s="99" t="n">
        <x:v>1</x:v>
      </x:c>
      <x:c r="R7" s="100" t="n">
        <x:v>15.742</x:v>
      </x:c>
    </x:row>
    <x:row r="8">
      <x:c r="A8" s="61" t="str">
        <x:v>A2</x:v>
      </x:c>
      <x:c r="B8" s="61" t="str">
        <x:v>Assured conventional cell</x:v>
      </x:c>
      <x:c r="C8" s="61" t="str">
        <x:v>development reference</x:v>
      </x:c>
      <x:c r="D8" s="98" t="n">
        <x:v>34</x:v>
      </x:c>
      <x:c r="E8" s="98" t="n">
        <x:v>300</x:v>
      </x:c>
      <x:c r="F8" s="98" t="n">
        <x:v>5</x:v>
      </x:c>
      <x:c r="G8" s="99" t="n">
        <x:v>1.6</x:v>
      </x:c>
      <x:c r="H8" s="98" t="n">
        <x:v>100</x:v>
      </x:c>
      <x:c r="I8" s="98" t="n">
        <x:v>5</x:v>
      </x:c>
      <x:c r="J8" s="99" t="n">
        <x:v>0.5</x:v>
      </x:c>
      <x:c r="K8" s="98" t="n">
        <x:v>5</x:v>
      </x:c>
      <x:c r="L8" s="98" t="n">
        <x:v>7</x:v>
      </x:c>
      <x:c r="M8" s="98" t="n">
        <x:v>10</x:v>
      </x:c>
      <x:c r="N8" s="98" t="n">
        <x:v>9</x:v>
      </x:c>
      <x:c r="O8" s="98" t="n">
        <x:v>7</x:v>
      </x:c>
      <x:c r="P8" s="98" t="n">
        <x:v>720</x:v>
      </x:c>
      <x:c r="Q8" s="99" t="n">
        <x:v>1</x:v>
      </x:c>
      <x:c r="R8" s="100" t="n">
        <x:v>15.742</x:v>
      </x:c>
    </x:row>
    <x:row r="9">
      <x:c r="A9" s="53" t="str">
        <x:v>S3</x:v>
      </x:c>
      <x:c r="B9" s="53" t="str">
        <x:v>Distributed technology-target cell</x:v>
      </x:c>
      <x:c r="C9" s="53" t="str">
        <x:v>unproved technology target</x:v>
      </x:c>
      <x:c r="D9" s="98" t="n">
        <x:v>35</x:v>
      </x:c>
      <x:c r="E9" s="98" t="n">
        <x:v>270</x:v>
      </x:c>
      <x:c r="F9" s="98" t="n">
        <x:v>6</x:v>
      </x:c>
      <x:c r="G9" s="99" t="n">
        <x:v>2.4</x:v>
      </x:c>
      <x:c r="H9" s="98" t="n">
        <x:v>65</x:v>
      </x:c>
      <x:c r="I9" s="98" t="n">
        <x:v>5</x:v>
      </x:c>
      <x:c r="J9" s="99" t="n">
        <x:v>0.8</x:v>
      </x:c>
      <x:c r="K9" s="98" t="n">
        <x:v>6</x:v>
      </x:c>
      <x:c r="L9" s="98" t="n">
        <x:v>7</x:v>
      </x:c>
      <x:c r="M9" s="98" t="n">
        <x:v>10</x:v>
      </x:c>
      <x:c r="N9" s="98" t="n">
        <x:v>9</x:v>
      </x:c>
      <x:c r="O9" s="98" t="n">
        <x:v>8</x:v>
      </x:c>
      <x:c r="P9" s="98" t="n">
        <x:v>600</x:v>
      </x:c>
      <x:c r="Q9" s="99" t="n">
        <x:v>1.25</x:v>
      </x:c>
      <x:c r="R9" s="100" t="n">
        <x:v>12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24.440000534057617" hidden="0" customWidth="1"/>
    <x:col min="3" max="3" width="11.670000076293945" hidden="0" customWidth="1"/>
    <x:col min="4" max="4" width="11.670000076293945" hidden="0" customWidth="1"/>
    <x:col min="5" max="5" width="8.890000343322754" hidden="0" customWidth="1"/>
    <x:col min="6" max="6" width="8.329999923706055" hidden="0" customWidth="1"/>
    <x:col min="7" max="7" width="31.110000610351562" hidden="0" customWidth="1"/>
  </x:cols>
  <x:sheetData>
    <x:row r="1">
      <x:c r="A1" s="74" t="str">
        <x:v>Base mission capability closure</x:v>
      </x:c>
      <x:c r="B1" s="53"/>
      <x:c r="C1" s="53"/>
      <x:c r="D1" s="53"/>
      <x:c r="E1" s="53"/>
      <x:c r="F1" s="53"/>
      <x:c r="G1" s="53"/>
    </x:row>
    <x:row r="2">
      <x:c r="A2" s="75" t="str">
        <x:v>Every serial capability must meet its requirement. Ratios are formula-driven from Mission, Assumptions, and Architectures.</x:v>
      </x:c>
      <x:c r="B2" s="53"/>
      <x:c r="C2" s="53"/>
      <x:c r="D2" s="53"/>
      <x:c r="E2" s="53"/>
      <x:c r="F2" s="53"/>
      <x:c r="G2" s="53"/>
    </x:row>
    <x:row r="3">
      <x:c r="A3" s="55"/>
      <x:c r="B3" s="55"/>
      <x:c r="C3" s="55"/>
      <x:c r="D3" s="55"/>
      <x:c r="E3" s="55"/>
      <x:c r="F3" s="55"/>
      <x:c r="G3" s="55"/>
    </x:row>
    <x:row r="4">
      <x:c r="A4" s="53"/>
      <x:c r="B4" s="53"/>
      <x:c r="C4" s="53"/>
      <x:c r="D4" s="53"/>
      <x:c r="E4" s="53"/>
      <x:c r="F4" s="53"/>
      <x:c r="G4" s="53"/>
    </x:row>
    <x:row r="5">
      <x:c r="A5" s="15" t="str">
        <x:v>Architecture</x:v>
      </x:c>
      <x:c r="B5" s="16" t="str">
        <x:v>Capability</x:v>
      </x:c>
      <x:c r="C5" s="16" t="str">
        <x:v>Requirement</x:v>
      </x:c>
      <x:c r="D5" s="16" t="str">
        <x:v>Capacity</x:v>
      </x:c>
      <x:c r="E5" s="16" t="str">
        <x:v>Ratio</x:v>
      </x:c>
      <x:c r="F5" s="16" t="str">
        <x:v>Result</x:v>
      </x:c>
      <x:c r="G5" s="17" t="str">
        <x:v>Meaning</x:v>
      </x:c>
    </x:row>
    <x:row r="6">
      <x:c r="A6" s="61" t="str">
        <x:v>T0</x:v>
      </x:c>
      <x:c r="B6" s="61" t="str">
        <x:v>Protected local service</x:v>
      </x:c>
      <x:c r="C6" s="84" t="n">
        <x:f>'Mission'!$C$12</x:f>
        <x:v>28671.1025447361</x:v>
      </x:c>
      <x:c r="D6" s="84" t="n">
        <x:f>'Architectures'!$D$6*'Assumptions'!$C$20</x:f>
        <x:v>20000</x:v>
      </x:c>
      <x:c r="E6" s="64" t="n">
        <x:f>D6/C6</x:f>
        <x:v>0.6975664772149448</x:v>
      </x:c>
      <x:c r="F6" s="61" t="str">
        <x:f>IF(E6&gt;=1,"PASS","FAIL")</x:f>
        <x:v>FAIL</x:v>
      </x:c>
      <x:c r="G6" s="61" t="str">
        <x:v>district capacity</x:v>
      </x:c>
    </x:row>
    <x:row r="7">
      <x:c r="A7" s="53" t="str">
        <x:v>T0</x:v>
      </x:c>
      <x:c r="B7" s="53" t="str">
        <x:v>Household verification</x:v>
      </x:c>
      <x:c r="C7" s="85" t="n">
        <x:f>'Mission'!$C$14</x:f>
        <x:v>14268.068439788525</x:v>
      </x:c>
      <x:c r="D7" s="85" t="n">
        <x:f>'Mission'!$C$14*'Assumptions'!$C$8+'Architectures'!$E$6*'Architectures'!$G$6*'Assumptions'!$C$12*'Assumptions'!$C$16</x:f>
        <x:v>10820.434219894263</x:v>
      </x:c>
      <x:c r="E7" s="69" t="n">
        <x:f>D7/C7</x:f>
        <x:v>0.7583671374690041</x:v>
      </x:c>
      <x:c r="F7" s="53" t="str">
        <x:f>IF(E7&gt;=1,"PASS","FAIL")</x:f>
        <x:v>FAIL</x:v>
      </x:c>
      <x:c r="G7" s="53" t="str">
        <x:v>registry plus field contact</x:v>
      </x:c>
    </x:row>
    <x:row r="8">
      <x:c r="A8" s="61" t="str">
        <x:v>T0</x:v>
      </x:c>
      <x:c r="B8" s="61" t="str">
        <x:v>Assisted vertical access</x:v>
      </x:c>
      <x:c r="C8" s="84" t="n">
        <x:f>'Mission'!$C$15</x:f>
        <x:v>1503.1410101317213</x:v>
      </x:c>
      <x:c r="D8" s="84" t="n">
        <x:f>'Architectures'!$H$6*'Architectures'!$J$6*'Assumptions'!$C$15*'Assumptions'!$C$16</x:f>
        <x:v>768</x:v>
      </x:c>
      <x:c r="E8" s="64" t="n">
        <x:f>D8/C8</x:f>
        <x:v>0.5109301089008939</x:v>
      </x:c>
      <x:c r="F8" s="61" t="str">
        <x:f>IF(E8&gt;=1,"PASS","FAIL")</x:f>
        <x:v>FAIL</x:v>
      </x:c>
      <x:c r="G8" s="61" t="str">
        <x:v>completed safe movements</x:v>
      </x:c>
    </x:row>
    <x:row r="9">
      <x:c r="A9" s="53" t="str">
        <x:v>T0</x:v>
      </x:c>
      <x:c r="B9" s="53" t="str">
        <x:v>Accessible collection</x:v>
      </x:c>
      <x:c r="C9" s="85" t="n">
        <x:f>'Mission'!$C$13</x:f>
        <x:v>6285.66513274579</x:v>
      </x:c>
      <x:c r="D9" s="85" t="n">
        <x:f>'Architectures'!$K$6*'Assumptions'!$C$17*'Assumptions'!$C$18</x:f>
        <x:v>5624.639999999999</x:v>
      </x:c>
      <x:c r="E9" s="69" t="n">
        <x:f>D9/C9</x:f>
        <x:v>0.894836088339782</x:v>
      </x:c>
      <x:c r="F9" s="53" t="str">
        <x:f>IF(E9&gt;=1,"PASS","FAIL")</x:f>
        <x:v>FAIL</x:v>
      </x:c>
      <x:c r="G9" s="53" t="str">
        <x:v>completed collection into transfer</x:v>
      </x:c>
    </x:row>
    <x:row r="10">
      <x:c r="A10" s="61" t="str">
        <x:v>T0</x:v>
      </x:c>
      <x:c r="B10" s="61" t="str">
        <x:v>Local route release</x:v>
      </x:c>
      <x:c r="C10" s="84" t="n">
        <x:f>'Mission'!$C$16</x:f>
        <x:v>60</x:v>
      </x:c>
      <x:c r="D10" s="84" t="n">
        <x:f>'Architectures'!$L$6*'Assumptions'!$C$19</x:f>
        <x:v>46.08</x:v>
      </x:c>
      <x:c r="E10" s="64" t="n">
        <x:f>D10/C10</x:f>
        <x:v>0.768</x:v>
      </x:c>
      <x:c r="F10" s="61" t="str">
        <x:f>IF(E10&gt;=1,"PASS","FAIL")</x:f>
        <x:v>FAIL</x:v>
      </x:c>
      <x:c r="G10" s="61" t="str">
        <x:v>vehicle-specific lawful route</x:v>
      </x:c>
    </x:row>
    <x:row r="11">
      <x:c r="A11" s="53" t="str">
        <x:v>T0</x:v>
      </x:c>
      <x:c r="B11" s="53" t="str">
        <x:v>Average power</x:v>
      </x:c>
      <x:c r="C11" s="85" t="n">
        <x:f>'Mission'!$C$17</x:f>
        <x:v>7.2</x:v>
      </x:c>
      <x:c r="D11" s="85" t="n">
        <x:f>'Architectures'!$M$6*'Assumptions'!$C$21</x:f>
        <x:v>5.4</x:v>
      </x:c>
      <x:c r="E11" s="69" t="n">
        <x:f>D11/C11</x:f>
        <x:v>0.75</x:v>
      </x:c>
      <x:c r="F11" s="53" t="str">
        <x:f>IF(E11&gt;=1,"PASS","FAIL")</x:f>
        <x:v>FAIL</x:v>
      </x:c>
      <x:c r="G11" s="53" t="str">
        <x:v>N-2 service blocks</x:v>
      </x:c>
    </x:row>
    <x:row r="12">
      <x:c r="A12" s="61" t="str">
        <x:v>T0</x:v>
      </x:c>
      <x:c r="B12" s="61" t="str">
        <x:v>Daily water</x:v>
      </x:c>
      <x:c r="C12" s="84" t="n">
        <x:f>'Mission'!$C$18</x:f>
        <x:v>650</x:v>
      </x:c>
      <x:c r="D12" s="84" t="n">
        <x:f>'Architectures'!$N$6*'Assumptions'!$C$22</x:f>
        <x:v>540</x:v>
      </x:c>
      <x:c r="E12" s="64" t="n">
        <x:f>D12/C12</x:f>
        <x:v>0.8307692307692308</x:v>
      </x:c>
      <x:c r="F12" s="61" t="str">
        <x:f>IF(E12&gt;=1,"PASS","FAIL")</x:f>
        <x:v>FAIL</x:v>
      </x:c>
      <x:c r="G12" s="61" t="str">
        <x:v>N-1 service islands</x:v>
      </x:c>
    </x:row>
    <x:row r="13">
      <x:c r="A13" s="53" t="str">
        <x:v>T0</x:v>
      </x:c>
      <x:c r="B13" s="53" t="str">
        <x:v>Communications coverage</x:v>
      </x:c>
      <x:c r="C13" s="85" t="n">
        <x:f>'Mission'!$C$19</x:f>
        <x:v>100</x:v>
      </x:c>
      <x:c r="D13" s="85" t="n">
        <x:f>'Architectures'!$O$6*'Assumptions'!$C$23</x:f>
        <x:v>72</x:v>
      </x:c>
      <x:c r="E13" s="69" t="n">
        <x:f>D13/C13</x:f>
        <x:v>0.72</x:v>
      </x:c>
      <x:c r="F13" s="53" t="str">
        <x:f>IF(E13&gt;=1,"PASS","FAIL")</x:f>
        <x:v>FAIL</x:v>
      </x:c>
      <x:c r="G13" s="53" t="str">
        <x:v>overlapping isolated-capable nodes</x:v>
      </x:c>
    </x:row>
    <x:row r="14">
      <x:c r="A14" s="61" t="str">
        <x:v>I1</x:v>
      </x:c>
      <x:c r="B14" s="61" t="str">
        <x:v>Protected local service</x:v>
      </x:c>
      <x:c r="C14" s="84" t="n">
        <x:f>'Mission'!$C$12</x:f>
        <x:v>28671.1025447361</x:v>
      </x:c>
      <x:c r="D14" s="84" t="n">
        <x:f>'Architectures'!$D$7*'Assumptions'!$C$20</x:f>
        <x:v>29000</x:v>
      </x:c>
      <x:c r="E14" s="64" t="n">
        <x:f>D14/C14</x:f>
        <x:v>1.01147139196167</x:v>
      </x:c>
      <x:c r="F14" s="61" t="str">
        <x:f>IF(E14&gt;=1,"PASS","FAIL")</x:f>
        <x:v>PASS</x:v>
      </x:c>
      <x:c r="G14" s="61" t="str">
        <x:v>district capacity</x:v>
      </x:c>
    </x:row>
    <x:row r="15">
      <x:c r="A15" s="53" t="str">
        <x:v>I1</x:v>
      </x:c>
      <x:c r="B15" s="53" t="str">
        <x:v>Household verification</x:v>
      </x:c>
      <x:c r="C15" s="85" t="n">
        <x:f>'Mission'!$C$14</x:f>
        <x:v>14268.068439788525</x:v>
      </x:c>
      <x:c r="D15" s="85" t="n">
        <x:f>'Mission'!$C$14*'Assumptions'!$C$8+'Architectures'!$E$7*'Architectures'!$G$7*'Assumptions'!$C$12*'Assumptions'!$C$16</x:f>
        <x:v>14506.834219894263</x:v>
      </x:c>
      <x:c r="E15" s="69" t="n">
        <x:f>D15/C15</x:f>
        <x:v>1.0167342749380082</x:v>
      </x:c>
      <x:c r="F15" s="53" t="str">
        <x:f>IF(E15&gt;=1,"PASS","FAIL")</x:f>
        <x:v>PASS</x:v>
      </x:c>
      <x:c r="G15" s="53" t="str">
        <x:v>registry plus field contact</x:v>
      </x:c>
    </x:row>
    <x:row r="16">
      <x:c r="A16" s="61" t="str">
        <x:v>I1</x:v>
      </x:c>
      <x:c r="B16" s="61" t="str">
        <x:v>Assisted vertical access</x:v>
      </x:c>
      <x:c r="C16" s="84" t="n">
        <x:f>'Mission'!$C$15</x:f>
        <x:v>1503.1410101317213</x:v>
      </x:c>
      <x:c r="D16" s="84" t="n">
        <x:f>'Architectures'!$H$7*'Architectures'!$J$7*'Assumptions'!$C$15*'Assumptions'!$C$16</x:f>
        <x:v>1536</x:v>
      </x:c>
      <x:c r="E16" s="64" t="n">
        <x:f>D16/C16</x:f>
        <x:v>1.0218602178017877</x:v>
      </x:c>
      <x:c r="F16" s="61" t="str">
        <x:f>IF(E16&gt;=1,"PASS","FAIL")</x:f>
        <x:v>PASS</x:v>
      </x:c>
      <x:c r="G16" s="61" t="str">
        <x:v>completed safe movements</x:v>
      </x:c>
    </x:row>
    <x:row r="17">
      <x:c r="A17" s="53" t="str">
        <x:v>I1</x:v>
      </x:c>
      <x:c r="B17" s="53" t="str">
        <x:v>Accessible collection</x:v>
      </x:c>
      <x:c r="C17" s="85" t="n">
        <x:f>'Mission'!$C$13</x:f>
        <x:v>6285.66513274579</x:v>
      </x:c>
      <x:c r="D17" s="85" t="n">
        <x:f>'Architectures'!$K$7*'Assumptions'!$C$17*'Assumptions'!$C$18</x:f>
        <x:v>7499.5199999999995</x:v>
      </x:c>
      <x:c r="E17" s="69" t="n">
        <x:f>D17/C17</x:f>
        <x:v>1.1931147844530428</x:v>
      </x:c>
      <x:c r="F17" s="53" t="str">
        <x:f>IF(E17&gt;=1,"PASS","FAIL")</x:f>
        <x:v>PASS</x:v>
      </x:c>
      <x:c r="G17" s="53" t="str">
        <x:v>completed collection into transfer</x:v>
      </x:c>
    </x:row>
    <x:row r="18">
      <x:c r="A18" s="61" t="str">
        <x:v>I1</x:v>
      </x:c>
      <x:c r="B18" s="61" t="str">
        <x:v>Local route release</x:v>
      </x:c>
      <x:c r="C18" s="84" t="n">
        <x:f>'Mission'!$C$16</x:f>
        <x:v>60</x:v>
      </x:c>
      <x:c r="D18" s="84" t="n">
        <x:f>'Architectures'!$L$7*'Assumptions'!$C$19</x:f>
        <x:v>69.12</x:v>
      </x:c>
      <x:c r="E18" s="64" t="n">
        <x:f>D18/C18</x:f>
        <x:v>1.1520000000000001</x:v>
      </x:c>
      <x:c r="F18" s="61" t="str">
        <x:f>IF(E18&gt;=1,"PASS","FAIL")</x:f>
        <x:v>PASS</x:v>
      </x:c>
      <x:c r="G18" s="61" t="str">
        <x:v>vehicle-specific lawful route</x:v>
      </x:c>
    </x:row>
    <x:row r="19">
      <x:c r="A19" s="53" t="str">
        <x:v>I1</x:v>
      </x:c>
      <x:c r="B19" s="53" t="str">
        <x:v>Average power</x:v>
      </x:c>
      <x:c r="C19" s="85" t="n">
        <x:f>'Mission'!$C$17</x:f>
        <x:v>7.2</x:v>
      </x:c>
      <x:c r="D19" s="85" t="n">
        <x:f>'Architectures'!$M$7*'Assumptions'!$C$21</x:f>
        <x:v>8.1</x:v>
      </x:c>
      <x:c r="E19" s="69" t="n">
        <x:f>D19/C19</x:f>
        <x:v>1.125</x:v>
      </x:c>
      <x:c r="F19" s="53" t="str">
        <x:f>IF(E19&gt;=1,"PASS","FAIL")</x:f>
        <x:v>PASS</x:v>
      </x:c>
      <x:c r="G19" s="53" t="str">
        <x:v>N-2 service blocks</x:v>
      </x:c>
    </x:row>
    <x:row r="20">
      <x:c r="A20" s="61" t="str">
        <x:v>I1</x:v>
      </x:c>
      <x:c r="B20" s="61" t="str">
        <x:v>Daily water</x:v>
      </x:c>
      <x:c r="C20" s="84" t="n">
        <x:f>'Mission'!$C$18</x:f>
        <x:v>650</x:v>
      </x:c>
      <x:c r="D20" s="84" t="n">
        <x:f>'Architectures'!$N$7*'Assumptions'!$C$22</x:f>
        <x:v>720</x:v>
      </x:c>
      <x:c r="E20" s="64" t="n">
        <x:f>D20/C20</x:f>
        <x:v>1.1076923076923078</x:v>
      </x:c>
      <x:c r="F20" s="61" t="str">
        <x:f>IF(E20&gt;=1,"PASS","FAIL")</x:f>
        <x:v>PASS</x:v>
      </x:c>
      <x:c r="G20" s="61" t="str">
        <x:v>N-1 service islands</x:v>
      </x:c>
    </x:row>
    <x:row r="21">
      <x:c r="A21" s="53" t="str">
        <x:v>I1</x:v>
      </x:c>
      <x:c r="B21" s="53" t="str">
        <x:v>Communications coverage</x:v>
      </x:c>
      <x:c r="C21" s="85" t="n">
        <x:f>'Mission'!$C$19</x:f>
        <x:v>100</x:v>
      </x:c>
      <x:c r="D21" s="85" t="n">
        <x:f>'Architectures'!$O$7*'Assumptions'!$C$23</x:f>
        <x:v>108</x:v>
      </x:c>
      <x:c r="E21" s="69" t="n">
        <x:f>D21/C21</x:f>
        <x:v>1.08</x:v>
      </x:c>
      <x:c r="F21" s="53" t="str">
        <x:f>IF(E21&gt;=1,"PASS","FAIL")</x:f>
        <x:v>PASS</x:v>
      </x:c>
      <x:c r="G21" s="53" t="str">
        <x:v>overlapping isolated-capable nodes</x:v>
      </x:c>
    </x:row>
    <x:row r="22">
      <x:c r="A22" s="61" t="str">
        <x:v>A2</x:v>
      </x:c>
      <x:c r="B22" s="61" t="str">
        <x:v>Protected local service</x:v>
      </x:c>
      <x:c r="C22" s="84" t="n">
        <x:f>'Mission'!$C$12</x:f>
        <x:v>28671.1025447361</x:v>
      </x:c>
      <x:c r="D22" s="84" t="n">
        <x:f>'Architectures'!$D$8*'Assumptions'!$C$20</x:f>
        <x:v>34000</x:v>
      </x:c>
      <x:c r="E22" s="64" t="n">
        <x:f>D22/C22</x:f>
        <x:v>1.1858630112654063</x:v>
      </x:c>
      <x:c r="F22" s="61" t="str">
        <x:f>IF(E22&gt;=1,"PASS","FAIL")</x:f>
        <x:v>PASS</x:v>
      </x:c>
      <x:c r="G22" s="61" t="str">
        <x:v>district capacity</x:v>
      </x:c>
    </x:row>
    <x:row r="23">
      <x:c r="A23" s="53" t="str">
        <x:v>A2</x:v>
      </x:c>
      <x:c r="B23" s="53" t="str">
        <x:v>Household verification</x:v>
      </x:c>
      <x:c r="C23" s="85" t="n">
        <x:f>'Mission'!$C$14</x:f>
        <x:v>14268.068439788525</x:v>
      </x:c>
      <x:c r="D23" s="85" t="n">
        <x:f>'Mission'!$C$14*'Assumptions'!$C$8+'Architectures'!$E$8*'Architectures'!$G$8*'Assumptions'!$C$12*'Assumptions'!$C$16</x:f>
        <x:v>16350.034219894264</x:v>
      </x:c>
      <x:c r="E23" s="69" t="n">
        <x:f>D23/C23</x:f>
        <x:v>1.1459178436725102</x:v>
      </x:c>
      <x:c r="F23" s="53" t="str">
        <x:f>IF(E23&gt;=1,"PASS","FAIL")</x:f>
        <x:v>PASS</x:v>
      </x:c>
      <x:c r="G23" s="53" t="str">
        <x:v>registry plus field contact</x:v>
      </x:c>
    </x:row>
    <x:row r="24">
      <x:c r="A24" s="61" t="str">
        <x:v>A2</x:v>
      </x:c>
      <x:c r="B24" s="61" t="str">
        <x:v>Assisted vertical access</x:v>
      </x:c>
      <x:c r="C24" s="84" t="n">
        <x:f>'Mission'!$C$15</x:f>
        <x:v>1503.1410101317213</x:v>
      </x:c>
      <x:c r="D24" s="84" t="n">
        <x:f>'Architectures'!$H$8*'Architectures'!$J$8*'Assumptions'!$C$15*'Assumptions'!$C$16</x:f>
        <x:v>1920</x:v>
      </x:c>
      <x:c r="E24" s="64" t="n">
        <x:f>D24/C24</x:f>
        <x:v>1.2773252722522348</x:v>
      </x:c>
      <x:c r="F24" s="61" t="str">
        <x:f>IF(E24&gt;=1,"PASS","FAIL")</x:f>
        <x:v>PASS</x:v>
      </x:c>
      <x:c r="G24" s="61" t="str">
        <x:v>completed safe movements</x:v>
      </x:c>
    </x:row>
    <x:row r="25">
      <x:c r="A25" s="53" t="str">
        <x:v>A2</x:v>
      </x:c>
      <x:c r="B25" s="53" t="str">
        <x:v>Accessible collection</x:v>
      </x:c>
      <x:c r="C25" s="85" t="n">
        <x:f>'Mission'!$C$13</x:f>
        <x:v>6285.66513274579</x:v>
      </x:c>
      <x:c r="D25" s="85" t="n">
        <x:f>'Architectures'!$K$8*'Assumptions'!$C$17*'Assumptions'!$C$18</x:f>
        <x:v>9374.4</x:v>
      </x:c>
      <x:c r="E25" s="69" t="n">
        <x:f>D25/C25</x:f>
        <x:v>1.4913934805663034</x:v>
      </x:c>
      <x:c r="F25" s="53" t="str">
        <x:f>IF(E25&gt;=1,"PASS","FAIL")</x:f>
        <x:v>PASS</x:v>
      </x:c>
      <x:c r="G25" s="53" t="str">
        <x:v>completed collection into transfer</x:v>
      </x:c>
    </x:row>
    <x:row r="26">
      <x:c r="A26" s="61" t="str">
        <x:v>A2</x:v>
      </x:c>
      <x:c r="B26" s="61" t="str">
        <x:v>Local route release</x:v>
      </x:c>
      <x:c r="C26" s="84" t="n">
        <x:f>'Mission'!$C$16</x:f>
        <x:v>60</x:v>
      </x:c>
      <x:c r="D26" s="84" t="n">
        <x:f>'Architectures'!$L$8*'Assumptions'!$C$19</x:f>
        <x:v>80.64</x:v>
      </x:c>
      <x:c r="E26" s="64" t="n">
        <x:f>D26/C26</x:f>
        <x:v>1.344</x:v>
      </x:c>
      <x:c r="F26" s="61" t="str">
        <x:f>IF(E26&gt;=1,"PASS","FAIL")</x:f>
        <x:v>PASS</x:v>
      </x:c>
      <x:c r="G26" s="61" t="str">
        <x:v>vehicle-specific lawful route</x:v>
      </x:c>
    </x:row>
    <x:row r="27">
      <x:c r="A27" s="53" t="str">
        <x:v>A2</x:v>
      </x:c>
      <x:c r="B27" s="53" t="str">
        <x:v>Average power</x:v>
      </x:c>
      <x:c r="C27" s="85" t="n">
        <x:f>'Mission'!$C$17</x:f>
        <x:v>7.2</x:v>
      </x:c>
      <x:c r="D27" s="85" t="n">
        <x:f>'Architectures'!$M$8*'Assumptions'!$C$21</x:f>
        <x:v>9</x:v>
      </x:c>
      <x:c r="E27" s="69" t="n">
        <x:f>D27/C27</x:f>
        <x:v>1.25</x:v>
      </x:c>
      <x:c r="F27" s="53" t="str">
        <x:f>IF(E27&gt;=1,"PASS","FAIL")</x:f>
        <x:v>PASS</x:v>
      </x:c>
      <x:c r="G27" s="53" t="str">
        <x:v>N-2 service blocks</x:v>
      </x:c>
    </x:row>
    <x:row r="28">
      <x:c r="A28" s="61" t="str">
        <x:v>A2</x:v>
      </x:c>
      <x:c r="B28" s="61" t="str">
        <x:v>Daily water</x:v>
      </x:c>
      <x:c r="C28" s="84" t="n">
        <x:f>'Mission'!$C$18</x:f>
        <x:v>650</x:v>
      </x:c>
      <x:c r="D28" s="84" t="n">
        <x:f>'Architectures'!$N$8*'Assumptions'!$C$22</x:f>
        <x:v>810</x:v>
      </x:c>
      <x:c r="E28" s="64" t="n">
        <x:f>D28/C28</x:f>
        <x:v>1.2461538461538462</x:v>
      </x:c>
      <x:c r="F28" s="61" t="str">
        <x:f>IF(E28&gt;=1,"PASS","FAIL")</x:f>
        <x:v>PASS</x:v>
      </x:c>
      <x:c r="G28" s="61" t="str">
        <x:v>N-1 service islands</x:v>
      </x:c>
    </x:row>
    <x:row r="29">
      <x:c r="A29" s="53" t="str">
        <x:v>A2</x:v>
      </x:c>
      <x:c r="B29" s="53" t="str">
        <x:v>Communications coverage</x:v>
      </x:c>
      <x:c r="C29" s="85" t="n">
        <x:f>'Mission'!$C$19</x:f>
        <x:v>100</x:v>
      </x:c>
      <x:c r="D29" s="85" t="n">
        <x:f>'Architectures'!$O$8*'Assumptions'!$C$23</x:f>
        <x:v>126</x:v>
      </x:c>
      <x:c r="E29" s="69" t="n">
        <x:f>D29/C29</x:f>
        <x:v>1.26</x:v>
      </x:c>
      <x:c r="F29" s="53" t="str">
        <x:f>IF(E29&gt;=1,"PASS","FAIL")</x:f>
        <x:v>PASS</x:v>
      </x:c>
      <x:c r="G29" s="53" t="str">
        <x:v>overlapping isolated-capable nodes</x:v>
      </x:c>
    </x:row>
    <x:row r="30">
      <x:c r="A30" s="61" t="str">
        <x:v>S3</x:v>
      </x:c>
      <x:c r="B30" s="61" t="str">
        <x:v>Protected local service</x:v>
      </x:c>
      <x:c r="C30" s="84" t="n">
        <x:f>'Mission'!$C$12</x:f>
        <x:v>28671.1025447361</x:v>
      </x:c>
      <x:c r="D30" s="84" t="n">
        <x:f>'Architectures'!$D$9*'Assumptions'!$C$20</x:f>
        <x:v>35000</x:v>
      </x:c>
      <x:c r="E30" s="64" t="n">
        <x:f>D30/C30</x:f>
        <x:v>1.2207413351261533</x:v>
      </x:c>
      <x:c r="F30" s="61" t="str">
        <x:f>IF(E30&gt;=1,"PASS","FAIL")</x:f>
        <x:v>PASS</x:v>
      </x:c>
      <x:c r="G30" s="61" t="str">
        <x:v>district capacity</x:v>
      </x:c>
    </x:row>
    <x:row r="31">
      <x:c r="A31" s="53" t="str">
        <x:v>S3</x:v>
      </x:c>
      <x:c r="B31" s="53" t="str">
        <x:v>Household verification</x:v>
      </x:c>
      <x:c r="C31" s="85" t="n">
        <x:f>'Mission'!$C$14</x:f>
        <x:v>14268.068439788525</x:v>
      </x:c>
      <x:c r="D31" s="85" t="n">
        <x:f>'Mission'!$C$14*'Assumptions'!$C$8+'Architectures'!$E$9*'Architectures'!$G$9*'Assumptions'!$C$12*'Assumptions'!$C$16</x:f>
        <x:v>19575.634219894262</x:v>
      </x:c>
      <x:c r="E31" s="69" t="n">
        <x:f>D31/C31</x:f>
        <x:v>1.3719890889578885</x:v>
      </x:c>
      <x:c r="F31" s="53" t="str">
        <x:f>IF(E31&gt;=1,"PASS","FAIL")</x:f>
        <x:v>PASS</x:v>
      </x:c>
      <x:c r="G31" s="53" t="str">
        <x:v>registry plus field contact</x:v>
      </x:c>
    </x:row>
    <x:row r="32">
      <x:c r="A32" s="61" t="str">
        <x:v>S3</x:v>
      </x:c>
      <x:c r="B32" s="61" t="str">
        <x:v>Assisted vertical access</x:v>
      </x:c>
      <x:c r="C32" s="84" t="n">
        <x:f>'Mission'!$C$15</x:f>
        <x:v>1503.1410101317213</x:v>
      </x:c>
      <x:c r="D32" s="84" t="n">
        <x:f>'Architectures'!$H$9*'Architectures'!$J$9*'Assumptions'!$C$15*'Assumptions'!$C$16</x:f>
        <x:v>1996.8000000000002</x:v>
      </x:c>
      <x:c r="E32" s="64" t="n">
        <x:f>D32/C32</x:f>
        <x:v>1.3284182831423244</x:v>
      </x:c>
      <x:c r="F32" s="61" t="str">
        <x:f>IF(E32&gt;=1,"PASS","FAIL")</x:f>
        <x:v>PASS</x:v>
      </x:c>
      <x:c r="G32" s="61" t="str">
        <x:v>completed safe movements</x:v>
      </x:c>
    </x:row>
    <x:row r="33">
      <x:c r="A33" s="53" t="str">
        <x:v>S3</x:v>
      </x:c>
      <x:c r="B33" s="53" t="str">
        <x:v>Accessible collection</x:v>
      </x:c>
      <x:c r="C33" s="85" t="n">
        <x:f>'Mission'!$C$13</x:f>
        <x:v>6285.66513274579</x:v>
      </x:c>
      <x:c r="D33" s="85" t="n">
        <x:f>'Architectures'!$K$9*'Assumptions'!$C$17*'Assumptions'!$C$18</x:f>
        <x:v>11249.279999999999</x:v>
      </x:c>
      <x:c r="E33" s="69" t="n">
        <x:f>D33/C33</x:f>
        <x:v>1.789672176679564</x:v>
      </x:c>
      <x:c r="F33" s="53" t="str">
        <x:f>IF(E33&gt;=1,"PASS","FAIL")</x:f>
        <x:v>PASS</x:v>
      </x:c>
      <x:c r="G33" s="53" t="str">
        <x:v>completed collection into transfer</x:v>
      </x:c>
    </x:row>
    <x:row r="34">
      <x:c r="A34" s="61" t="str">
        <x:v>S3</x:v>
      </x:c>
      <x:c r="B34" s="61" t="str">
        <x:v>Local route release</x:v>
      </x:c>
      <x:c r="C34" s="84" t="n">
        <x:f>'Mission'!$C$16</x:f>
        <x:v>60</x:v>
      </x:c>
      <x:c r="D34" s="84" t="n">
        <x:f>'Architectures'!$L$9*'Assumptions'!$C$19</x:f>
        <x:v>80.64</x:v>
      </x:c>
      <x:c r="E34" s="64" t="n">
        <x:f>D34/C34</x:f>
        <x:v>1.344</x:v>
      </x:c>
      <x:c r="F34" s="61" t="str">
        <x:f>IF(E34&gt;=1,"PASS","FAIL")</x:f>
        <x:v>PASS</x:v>
      </x:c>
      <x:c r="G34" s="61" t="str">
        <x:v>vehicle-specific lawful route</x:v>
      </x:c>
    </x:row>
    <x:row r="35">
      <x:c r="A35" s="53" t="str">
        <x:v>S3</x:v>
      </x:c>
      <x:c r="B35" s="53" t="str">
        <x:v>Average power</x:v>
      </x:c>
      <x:c r="C35" s="85" t="n">
        <x:f>'Mission'!$C$17</x:f>
        <x:v>7.2</x:v>
      </x:c>
      <x:c r="D35" s="85" t="n">
        <x:f>'Architectures'!$M$9*'Assumptions'!$C$21</x:f>
        <x:v>9</x:v>
      </x:c>
      <x:c r="E35" s="69" t="n">
        <x:f>D35/C35</x:f>
        <x:v>1.25</x:v>
      </x:c>
      <x:c r="F35" s="53" t="str">
        <x:f>IF(E35&gt;=1,"PASS","FAIL")</x:f>
        <x:v>PASS</x:v>
      </x:c>
      <x:c r="G35" s="53" t="str">
        <x:v>N-2 service blocks</x:v>
      </x:c>
    </x:row>
    <x:row r="36">
      <x:c r="A36" s="61" t="str">
        <x:v>S3</x:v>
      </x:c>
      <x:c r="B36" s="61" t="str">
        <x:v>Daily water</x:v>
      </x:c>
      <x:c r="C36" s="84" t="n">
        <x:f>'Mission'!$C$18</x:f>
        <x:v>650</x:v>
      </x:c>
      <x:c r="D36" s="84" t="n">
        <x:f>'Architectures'!$N$9*'Assumptions'!$C$22</x:f>
        <x:v>810</x:v>
      </x:c>
      <x:c r="E36" s="64" t="n">
        <x:f>D36/C36</x:f>
        <x:v>1.2461538461538462</x:v>
      </x:c>
      <x:c r="F36" s="61" t="str">
        <x:f>IF(E36&gt;=1,"PASS","FAIL")</x:f>
        <x:v>PASS</x:v>
      </x:c>
      <x:c r="G36" s="61" t="str">
        <x:v>N-1 service islands</x:v>
      </x:c>
    </x:row>
    <x:row r="37">
      <x:c r="A37" s="53" t="str">
        <x:v>S3</x:v>
      </x:c>
      <x:c r="B37" s="53" t="str">
        <x:v>Communications coverage</x:v>
      </x:c>
      <x:c r="C37" s="85" t="n">
        <x:f>'Mission'!$C$19</x:f>
        <x:v>100</x:v>
      </x:c>
      <x:c r="D37" s="85" t="n">
        <x:f>'Architectures'!$O$9*'Assumptions'!$C$23</x:f>
        <x:v>144</x:v>
      </x:c>
      <x:c r="E37" s="69" t="n">
        <x:f>D37/C37</x:f>
        <x:v>1.44</x:v>
      </x:c>
      <x:c r="F37" s="53" t="str">
        <x:f>IF(E37&gt;=1,"PASS","FAIL")</x:f>
        <x:v>PASS</x:v>
      </x:c>
      <x:c r="G37" s="53" t="str">
        <x:v>overlapping isolated-capable nodes</x:v>
      </x:c>
    </x:row>
  </x:sheetData>
  <x:mergeCells>
    <x:mergeCell ref="A1:G1"/>
    <x:mergeCell ref="A2:G2"/>
  </x:mergeCells>
  <x:conditionalFormatting sqref="F6:F37">
    <x:cfRule type="containsText" dxfId="2" priority="1" operator="containsText" text="FAIL"/>
    <x:cfRule type="containsText" dxfId="3" priority="2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" hidden="0" customWidth="1"/>
    <x:col min="2" max="2" width="5.559999942779541" hidden="0" customWidth="1"/>
    <x:col min="3" max="3" width="8.329999923706055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8.329999923706055" hidden="0" customWidth="1"/>
    <x:col min="9" max="9" width="8.329999923706055" hidden="0" customWidth="1"/>
    <x:col min="10" max="10" width="8.329999923706055" hidden="0" customWidth="1"/>
    <x:col min="11" max="11" width="8.890000343322754" hidden="0" customWidth="1"/>
    <x:col min="12" max="12" width="7.78000020980835" hidden="0" customWidth="1"/>
    <x:col min="13" max="13" width="7.78000020980835" hidden="0" customWidth="1"/>
    <x:col min="14" max="14" width="7.78000020980835" hidden="0" customWidth="1"/>
    <x:col min="15" max="15" width="7.78000020980835" hidden="0" customWidth="1"/>
    <x:col min="16" max="16" width="7.78000020980835" hidden="0" customWidth="1"/>
    <x:col min="17" max="17" width="7.78000020980835" hidden="0" customWidth="1"/>
    <x:col min="18" max="18" width="7.78000020980835" hidden="0" customWidth="1"/>
    <x:col min="19" max="19" width="7.78000020980835" hidden="0" customWidth="1"/>
    <x:col min="20" max="20" width="7.78000020980835" hidden="0" customWidth="1"/>
    <x:col min="21" max="21" width="7.78000020980835" hidden="0" customWidth="1"/>
  </x:cols>
  <x:sheetData>
    <x:row r="1">
      <x:c r="A1" s="74" t="str">
        <x:v>Loss-case closure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</x:row>
    <x:row r="2">
      <x:c r="A2" s="75" t="str">
        <x:v>Ratios are formula-driven. Required cases include base, eight physical losses, and loss of commercial communications. F10 is a diagnostic compound case.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</x:row>
    <x:row r="5">
      <x:c r="A5" s="15" t="str">
        <x:v>Arch</x:v>
      </x:c>
      <x:c r="B5" s="16" t="str">
        <x:v>Case</x:v>
      </x:c>
      <x:c r="C5" s="16" t="str">
        <x:v>District loss</x:v>
      </x:c>
      <x:c r="D5" s="16" t="str">
        <x:v>Contact-company loss</x:v>
      </x:c>
      <x:c r="E5" s="16" t="str">
        <x:v>Vertical-company loss</x:v>
      </x:c>
      <x:c r="F5" s="16" t="str">
        <x:v>Collection-squadron loss</x:v>
      </x:c>
      <x:c r="G5" s="16" t="str">
        <x:v>Route-detachment loss</x:v>
      </x:c>
      <x:c r="H5" s="16" t="str">
        <x:v>Power-block loss</x:v>
      </x:c>
      <x:c r="I5" s="16" t="str">
        <x:v>Water-island loss</x:v>
      </x:c>
      <x:c r="J5" s="16" t="str">
        <x:v>Comms-node loss</x:v>
      </x:c>
      <x:c r="K5" s="16" t="str">
        <x:v>Isolated comms</x:v>
      </x:c>
      <x:c r="L5" s="16" t="str">
        <x:v>Local</x:v>
      </x:c>
      <x:c r="M5" s="16" t="str">
        <x:v>Contact</x:v>
      </x:c>
      <x:c r="N5" s="16" t="str">
        <x:v>Vertical</x:v>
      </x:c>
      <x:c r="O5" s="16" t="str">
        <x:v>Collection</x:v>
      </x:c>
      <x:c r="P5" s="16" t="str">
        <x:v>Route</x:v>
      </x:c>
      <x:c r="Q5" s="16" t="str">
        <x:v>Power</x:v>
      </x:c>
      <x:c r="R5" s="16" t="str">
        <x:v>Water</x:v>
      </x:c>
      <x:c r="S5" s="16" t="str">
        <x:v>Comms</x:v>
      </x:c>
      <x:c r="T5" s="16" t="str">
        <x:v>All pass</x:v>
      </x:c>
      <x:c r="U5" s="17" t="str">
        <x:v>Required</x:v>
      </x:c>
    </x:row>
    <x:row r="6">
      <x:c r="A6" s="61" t="str">
        <x:v>T0</x:v>
      </x:c>
      <x:c r="B6" s="61" t="str">
        <x:v>F0</x:v>
      </x:c>
      <x:c r="C6" s="62" t="n">
        <x:v>0</x:v>
      </x:c>
      <x:c r="D6" s="62" t="n">
        <x:v>0</x:v>
      </x:c>
      <x:c r="E6" s="62" t="n">
        <x:v>0</x:v>
      </x:c>
      <x:c r="F6" s="62" t="n">
        <x:v>0</x:v>
      </x:c>
      <x:c r="G6" s="62" t="n">
        <x:v>0</x:v>
      </x:c>
      <x:c r="H6" s="62" t="n">
        <x:v>0</x:v>
      </x:c>
      <x:c r="I6" s="62" t="n">
        <x:v>0</x:v>
      </x:c>
      <x:c r="J6" s="62" t="n">
        <x:v>0</x:v>
      </x:c>
      <x:c r="K6" s="62" t="n">
        <x:v>0</x:v>
      </x:c>
      <x:c r="L6" s="64" t="n">
        <x:f>(('Architectures'!$D$6-C6)*'Assumptions'!$C$20)/'Mission'!$C$12</x:f>
        <x:v>0.6975664772149448</x:v>
      </x:c>
      <x:c r="M6" s="64" t="n">
        <x:f>('Mission'!$C$14*IF(K6=1,'Assumptions'!$C$9,'Assumptions'!$C$8)+'Architectures'!$E$6*(('Architectures'!$F$6-D6)/'Architectures'!$F$6)*'Architectures'!$G$6*'Assumptions'!$C$12*'Assumptions'!$C$16)/'Mission'!$C$14</x:f>
        <x:v>0.7583671374690041</x:v>
      </x:c>
      <x:c r="N6" s="64" t="n">
        <x:f>('Architectures'!$H$6*(('Architectures'!$I$6-E6)/'Architectures'!$I$6)*'Architectures'!$J$6*'Assumptions'!$C$15*'Assumptions'!$C$16)/'Mission'!$C$15</x:f>
        <x:v>0.5109301089008939</x:v>
      </x:c>
      <x:c r="O6" s="64" t="n">
        <x:f>(('Architectures'!$K$6-F6)*'Assumptions'!$C$17*'Assumptions'!$C$18)/'Mission'!$C$13</x:f>
        <x:v>0.894836088339782</x:v>
      </x:c>
      <x:c r="P6" s="64" t="n">
        <x:f>(('Architectures'!$L$6-G6)*'Assumptions'!$C$19)/'Mission'!$C$16</x:f>
        <x:v>0.768</x:v>
      </x:c>
      <x:c r="Q6" s="64" t="n">
        <x:f>(('Architectures'!$M$6-H6)*'Assumptions'!$C$21)/'Mission'!$C$17</x:f>
        <x:v>0.75</x:v>
      </x:c>
      <x:c r="R6" s="64" t="n">
        <x:f>(('Architectures'!$N$6-I6)*'Assumptions'!$C$22)/'Mission'!$C$18</x:f>
        <x:v>0.8307692307692308</x:v>
      </x:c>
      <x:c r="S6" s="64" t="n">
        <x:f>(('Architectures'!$O$6-J6)*'Assumptions'!$C$23)/'Mission'!$C$19</x:f>
        <x:v>0.72</x:v>
      </x:c>
      <x:c r="T6" s="61" t="str">
        <x:f>IF(MIN(L6:S6)&gt;=1,"PASS","FAIL")</x:f>
        <x:v>FAIL</x:v>
      </x:c>
      <x:c r="U6" s="61" t="n">
        <x:v>1</x:v>
      </x:c>
    </x:row>
    <x:row r="7">
      <x:c r="A7" s="53" t="str">
        <x:v>T0</x:v>
      </x:c>
      <x:c r="B7" s="53" t="str">
        <x:v>F1</x:v>
      </x:c>
      <x:c r="C7" s="67" t="n">
        <x:v>0</x:v>
      </x:c>
      <x:c r="D7" s="67" t="n">
        <x:v>1</x:v>
      </x:c>
      <x:c r="E7" s="67" t="n">
        <x:v>0</x:v>
      </x:c>
      <x:c r="F7" s="67" t="n">
        <x:v>0</x:v>
      </x:c>
      <x:c r="G7" s="67" t="n">
        <x:v>0</x:v>
      </x:c>
      <x:c r="H7" s="67" t="n">
        <x:v>0</x:v>
      </x:c>
      <x:c r="I7" s="67" t="n">
        <x:v>0</x:v>
      </x:c>
      <x:c r="J7" s="67" t="n">
        <x:v>0</x:v>
      </x:c>
      <x:c r="K7" s="67" t="n">
        <x:v>0</x:v>
      </x:c>
      <x:c r="L7" s="69" t="n">
        <x:f>(('Architectures'!$D$6-C7)*'Assumptions'!$C$20)/'Mission'!$C$12</x:f>
        <x:v>0.6975664772149448</x:v>
      </x:c>
      <x:c r="M7" s="69" t="n">
        <x:f>('Mission'!$C$14*IF(K7=1,'Assumptions'!$C$9,'Assumptions'!$C$8)+'Architectures'!$E$6*(('Architectures'!$F$6-D7)/'Architectures'!$F$6)*'Architectures'!$G$6*'Assumptions'!$C$12*'Assumptions'!$C$16)/'Mission'!$C$14</x:f>
        <x:v>0.6937753531017531</x:v>
      </x:c>
      <x:c r="N7" s="69" t="n">
        <x:f>('Architectures'!$H$6*(('Architectures'!$I$6-E7)/'Architectures'!$I$6)*'Architectures'!$J$6*'Assumptions'!$C$15*'Assumptions'!$C$16)/'Mission'!$C$15</x:f>
        <x:v>0.5109301089008939</x:v>
      </x:c>
      <x:c r="O7" s="69" t="n">
        <x:f>(('Architectures'!$K$6-F7)*'Assumptions'!$C$17*'Assumptions'!$C$18)/'Mission'!$C$13</x:f>
        <x:v>0.894836088339782</x:v>
      </x:c>
      <x:c r="P7" s="69" t="n">
        <x:f>(('Architectures'!$L$6-G7)*'Assumptions'!$C$19)/'Mission'!$C$16</x:f>
        <x:v>0.768</x:v>
      </x:c>
      <x:c r="Q7" s="69" t="n">
        <x:f>(('Architectures'!$M$6-H7)*'Assumptions'!$C$21)/'Mission'!$C$17</x:f>
        <x:v>0.75</x:v>
      </x:c>
      <x:c r="R7" s="69" t="n">
        <x:f>(('Architectures'!$N$6-I7)*'Assumptions'!$C$22)/'Mission'!$C$18</x:f>
        <x:v>0.8307692307692308</x:v>
      </x:c>
      <x:c r="S7" s="69" t="n">
        <x:f>(('Architectures'!$O$6-J7)*'Assumptions'!$C$23)/'Mission'!$C$19</x:f>
        <x:v>0.72</x:v>
      </x:c>
      <x:c r="T7" s="53" t="str">
        <x:f>IF(MIN(L7:S7)&gt;=1,"PASS","FAIL")</x:f>
        <x:v>FAIL</x:v>
      </x:c>
      <x:c r="U7" s="53" t="n">
        <x:v>1</x:v>
      </x:c>
    </x:row>
    <x:row r="8">
      <x:c r="A8" s="61" t="str">
        <x:v>T0</x:v>
      </x:c>
      <x:c r="B8" s="61" t="str">
        <x:v>F2</x:v>
      </x:c>
      <x:c r="C8" s="62" t="n">
        <x:v>0</x:v>
      </x:c>
      <x:c r="D8" s="62" t="n">
        <x:v>0</x:v>
      </x:c>
      <x:c r="E8" s="62" t="n">
        <x:v>1</x:v>
      </x:c>
      <x:c r="F8" s="62" t="n">
        <x:v>0</x:v>
      </x:c>
      <x:c r="G8" s="62" t="n">
        <x:v>0</x:v>
      </x:c>
      <x:c r="H8" s="62" t="n">
        <x:v>0</x:v>
      </x:c>
      <x:c r="I8" s="62" t="n">
        <x:v>0</x:v>
      </x:c>
      <x:c r="J8" s="62" t="n">
        <x:v>0</x:v>
      </x:c>
      <x:c r="K8" s="62" t="n">
        <x:v>0</x:v>
      </x:c>
      <x:c r="L8" s="64" t="n">
        <x:f>(('Architectures'!$D$6-C8)*'Assumptions'!$C$20)/'Mission'!$C$12</x:f>
        <x:v>0.6975664772149448</x:v>
      </x:c>
      <x:c r="M8" s="64" t="n">
        <x:f>('Mission'!$C$14*IF(K8=1,'Assumptions'!$C$9,'Assumptions'!$C$8)+'Architectures'!$E$6*(('Architectures'!$F$6-D8)/'Architectures'!$F$6)*'Architectures'!$G$6*'Assumptions'!$C$12*'Assumptions'!$C$16)/'Mission'!$C$14</x:f>
        <x:v>0.7583671374690041</x:v>
      </x:c>
      <x:c r="N8" s="64" t="n">
        <x:f>('Architectures'!$H$6*(('Architectures'!$I$6-E8)/'Architectures'!$I$6)*'Architectures'!$J$6*'Assumptions'!$C$15*'Assumptions'!$C$16)/'Mission'!$C$15</x:f>
        <x:v>0.3831975816756704</x:v>
      </x:c>
      <x:c r="O8" s="64" t="n">
        <x:f>(('Architectures'!$K$6-F8)*'Assumptions'!$C$17*'Assumptions'!$C$18)/'Mission'!$C$13</x:f>
        <x:v>0.894836088339782</x:v>
      </x:c>
      <x:c r="P8" s="64" t="n">
        <x:f>(('Architectures'!$L$6-G8)*'Assumptions'!$C$19)/'Mission'!$C$16</x:f>
        <x:v>0.768</x:v>
      </x:c>
      <x:c r="Q8" s="64" t="n">
        <x:f>(('Architectures'!$M$6-H8)*'Assumptions'!$C$21)/'Mission'!$C$17</x:f>
        <x:v>0.75</x:v>
      </x:c>
      <x:c r="R8" s="64" t="n">
        <x:f>(('Architectures'!$N$6-I8)*'Assumptions'!$C$22)/'Mission'!$C$18</x:f>
        <x:v>0.8307692307692308</x:v>
      </x:c>
      <x:c r="S8" s="64" t="n">
        <x:f>(('Architectures'!$O$6-J8)*'Assumptions'!$C$23)/'Mission'!$C$19</x:f>
        <x:v>0.72</x:v>
      </x:c>
      <x:c r="T8" s="61" t="str">
        <x:f>IF(MIN(L8:S8)&gt;=1,"PASS","FAIL")</x:f>
        <x:v>FAIL</x:v>
      </x:c>
      <x:c r="U8" s="61" t="n">
        <x:v>1</x:v>
      </x:c>
    </x:row>
    <x:row r="9">
      <x:c r="A9" s="53" t="str">
        <x:v>T0</x:v>
      </x:c>
      <x:c r="B9" s="53" t="str">
        <x:v>F3</x:v>
      </x:c>
      <x:c r="C9" s="67" t="n">
        <x:v>0</x:v>
      </x:c>
      <x:c r="D9" s="67" t="n">
        <x:v>0</x:v>
      </x:c>
      <x:c r="E9" s="67" t="n">
        <x:v>0</x:v>
      </x:c>
      <x:c r="F9" s="67" t="n">
        <x:v>1</x:v>
      </x:c>
      <x:c r="G9" s="67" t="n">
        <x:v>0</x:v>
      </x:c>
      <x:c r="H9" s="67" t="n">
        <x:v>0</x:v>
      </x:c>
      <x:c r="I9" s="67" t="n">
        <x:v>0</x:v>
      </x:c>
      <x:c r="J9" s="67" t="n">
        <x:v>0</x:v>
      </x:c>
      <x:c r="K9" s="67" t="n">
        <x:v>0</x:v>
      </x:c>
      <x:c r="L9" s="69" t="n">
        <x:f>(('Architectures'!$D$6-C9)*'Assumptions'!$C$20)/'Mission'!$C$12</x:f>
        <x:v>0.6975664772149448</x:v>
      </x:c>
      <x:c r="M9" s="69" t="n">
        <x:f>('Mission'!$C$14*IF(K9=1,'Assumptions'!$C$9,'Assumptions'!$C$8)+'Architectures'!$E$6*(('Architectures'!$F$6-D9)/'Architectures'!$F$6)*'Architectures'!$G$6*'Assumptions'!$C$12*'Assumptions'!$C$16)/'Mission'!$C$14</x:f>
        <x:v>0.7583671374690041</x:v>
      </x:c>
      <x:c r="N9" s="69" t="n">
        <x:f>('Architectures'!$H$6*(('Architectures'!$I$6-E9)/'Architectures'!$I$6)*'Architectures'!$J$6*'Assumptions'!$C$15*'Assumptions'!$C$16)/'Mission'!$C$15</x:f>
        <x:v>0.5109301089008939</x:v>
      </x:c>
      <x:c r="O9" s="69" t="n">
        <x:f>(('Architectures'!$K$6-F9)*'Assumptions'!$C$17*'Assumptions'!$C$18)/'Mission'!$C$13</x:f>
        <x:v>0.5965573922265214</x:v>
      </x:c>
      <x:c r="P9" s="69" t="n">
        <x:f>(('Architectures'!$L$6-G9)*'Assumptions'!$C$19)/'Mission'!$C$16</x:f>
        <x:v>0.768</x:v>
      </x:c>
      <x:c r="Q9" s="69" t="n">
        <x:f>(('Architectures'!$M$6-H9)*'Assumptions'!$C$21)/'Mission'!$C$17</x:f>
        <x:v>0.75</x:v>
      </x:c>
      <x:c r="R9" s="69" t="n">
        <x:f>(('Architectures'!$N$6-I9)*'Assumptions'!$C$22)/'Mission'!$C$18</x:f>
        <x:v>0.8307692307692308</x:v>
      </x:c>
      <x:c r="S9" s="69" t="n">
        <x:f>(('Architectures'!$O$6-J9)*'Assumptions'!$C$23)/'Mission'!$C$19</x:f>
        <x:v>0.72</x:v>
      </x:c>
      <x:c r="T9" s="53" t="str">
        <x:f>IF(MIN(L9:S9)&gt;=1,"PASS","FAIL")</x:f>
        <x:v>FAIL</x:v>
      </x:c>
      <x:c r="U9" s="53" t="n">
        <x:v>1</x:v>
      </x:c>
    </x:row>
    <x:row r="10">
      <x:c r="A10" s="61" t="str">
        <x:v>T0</x:v>
      </x:c>
      <x:c r="B10" s="61" t="str">
        <x:v>F4</x:v>
      </x:c>
      <x:c r="C10" s="62" t="n">
        <x:v>0</x:v>
      </x:c>
      <x:c r="D10" s="62" t="n">
        <x:v>0</x:v>
      </x:c>
      <x:c r="E10" s="62" t="n">
        <x:v>0</x:v>
      </x:c>
      <x:c r="F10" s="62" t="n">
        <x:v>0</x:v>
      </x:c>
      <x:c r="G10" s="62" t="n">
        <x:v>1</x:v>
      </x:c>
      <x:c r="H10" s="62" t="n">
        <x:v>0</x:v>
      </x:c>
      <x:c r="I10" s="62" t="n">
        <x:v>0</x:v>
      </x:c>
      <x:c r="J10" s="62" t="n">
        <x:v>0</x:v>
      </x:c>
      <x:c r="K10" s="62" t="n">
        <x:v>0</x:v>
      </x:c>
      <x:c r="L10" s="64" t="n">
        <x:f>(('Architectures'!$D$6-C10)*'Assumptions'!$C$20)/'Mission'!$C$12</x:f>
        <x:v>0.6975664772149448</x:v>
      </x:c>
      <x:c r="M10" s="64" t="n">
        <x:f>('Mission'!$C$14*IF(K10=1,'Assumptions'!$C$9,'Assumptions'!$C$8)+'Architectures'!$E$6*(('Architectures'!$F$6-D10)/'Architectures'!$F$6)*'Architectures'!$G$6*'Assumptions'!$C$12*'Assumptions'!$C$16)/'Mission'!$C$14</x:f>
        <x:v>0.7583671374690041</x:v>
      </x:c>
      <x:c r="N10" s="64" t="n">
        <x:f>('Architectures'!$H$6*(('Architectures'!$I$6-E10)/'Architectures'!$I$6)*'Architectures'!$J$6*'Assumptions'!$C$15*'Assumptions'!$C$16)/'Mission'!$C$15</x:f>
        <x:v>0.5109301089008939</x:v>
      </x:c>
      <x:c r="O10" s="64" t="n">
        <x:f>(('Architectures'!$K$6-F10)*'Assumptions'!$C$17*'Assumptions'!$C$18)/'Mission'!$C$13</x:f>
        <x:v>0.894836088339782</x:v>
      </x:c>
      <x:c r="P10" s="64" t="n">
        <x:f>(('Architectures'!$L$6-G10)*'Assumptions'!$C$19)/'Mission'!$C$16</x:f>
        <x:v>0.5760000000000001</x:v>
      </x:c>
      <x:c r="Q10" s="64" t="n">
        <x:f>(('Architectures'!$M$6-H10)*'Assumptions'!$C$21)/'Mission'!$C$17</x:f>
        <x:v>0.75</x:v>
      </x:c>
      <x:c r="R10" s="64" t="n">
        <x:f>(('Architectures'!$N$6-I10)*'Assumptions'!$C$22)/'Mission'!$C$18</x:f>
        <x:v>0.8307692307692308</x:v>
      </x:c>
      <x:c r="S10" s="64" t="n">
        <x:f>(('Architectures'!$O$6-J10)*'Assumptions'!$C$23)/'Mission'!$C$19</x:f>
        <x:v>0.72</x:v>
      </x:c>
      <x:c r="T10" s="61" t="str">
        <x:f>IF(MIN(L10:S10)&gt;=1,"PASS","FAIL")</x:f>
        <x:v>FAIL</x:v>
      </x:c>
      <x:c r="U10" s="61" t="n">
        <x:v>1</x:v>
      </x:c>
    </x:row>
    <x:row r="11">
      <x:c r="A11" s="53" t="str">
        <x:v>T0</x:v>
      </x:c>
      <x:c r="B11" s="53" t="str">
        <x:v>F5</x:v>
      </x:c>
      <x:c r="C11" s="67" t="n">
        <x:v>5</x:v>
      </x:c>
      <x:c r="D11" s="67" t="n">
        <x:v>0</x:v>
      </x:c>
      <x:c r="E11" s="67" t="n">
        <x:v>0</x:v>
      </x:c>
      <x:c r="F11" s="67" t="n">
        <x:v>0</x:v>
      </x:c>
      <x:c r="G11" s="67" t="n">
        <x:v>0</x:v>
      </x:c>
      <x:c r="H11" s="67" t="n">
        <x:v>0</x:v>
      </x:c>
      <x:c r="I11" s="67" t="n">
        <x:v>0</x:v>
      </x:c>
      <x:c r="J11" s="67" t="n">
        <x:v>0</x:v>
      </x:c>
      <x:c r="K11" s="67" t="n">
        <x:v>0</x:v>
      </x:c>
      <x:c r="L11" s="69" t="n">
        <x:f>(('Architectures'!$D$6-C11)*'Assumptions'!$C$20)/'Mission'!$C$12</x:f>
        <x:v>0.5231748579112087</x:v>
      </x:c>
      <x:c r="M11" s="69" t="n">
        <x:f>('Mission'!$C$14*IF(K11=1,'Assumptions'!$C$9,'Assumptions'!$C$8)+'Architectures'!$E$6*(('Architectures'!$F$6-D11)/'Architectures'!$F$6)*'Architectures'!$G$6*'Assumptions'!$C$12*'Assumptions'!$C$16)/'Mission'!$C$14</x:f>
        <x:v>0.7583671374690041</x:v>
      </x:c>
      <x:c r="N11" s="69" t="n">
        <x:f>('Architectures'!$H$6*(('Architectures'!$I$6-E11)/'Architectures'!$I$6)*'Architectures'!$J$6*'Assumptions'!$C$15*'Assumptions'!$C$16)/'Mission'!$C$15</x:f>
        <x:v>0.5109301089008939</x:v>
      </x:c>
      <x:c r="O11" s="69" t="n">
        <x:f>(('Architectures'!$K$6-F11)*'Assumptions'!$C$17*'Assumptions'!$C$18)/'Mission'!$C$13</x:f>
        <x:v>0.894836088339782</x:v>
      </x:c>
      <x:c r="P11" s="69" t="n">
        <x:f>(('Architectures'!$L$6-G11)*'Assumptions'!$C$19)/'Mission'!$C$16</x:f>
        <x:v>0.768</x:v>
      </x:c>
      <x:c r="Q11" s="69" t="n">
        <x:f>(('Architectures'!$M$6-H11)*'Assumptions'!$C$21)/'Mission'!$C$17</x:f>
        <x:v>0.75</x:v>
      </x:c>
      <x:c r="R11" s="69" t="n">
        <x:f>(('Architectures'!$N$6-I11)*'Assumptions'!$C$22)/'Mission'!$C$18</x:f>
        <x:v>0.8307692307692308</x:v>
      </x:c>
      <x:c r="S11" s="69" t="n">
        <x:f>(('Architectures'!$O$6-J11)*'Assumptions'!$C$23)/'Mission'!$C$19</x:f>
        <x:v>0.72</x:v>
      </x:c>
      <x:c r="T11" s="53" t="str">
        <x:f>IF(MIN(L11:S11)&gt;=1,"PASS","FAIL")</x:f>
        <x:v>FAIL</x:v>
      </x:c>
      <x:c r="U11" s="53" t="n">
        <x:v>1</x:v>
      </x:c>
    </x:row>
    <x:row r="12">
      <x:c r="A12" s="61" t="str">
        <x:v>T0</x:v>
      </x:c>
      <x:c r="B12" s="61" t="str">
        <x:v>F6</x:v>
      </x:c>
      <x:c r="C12" s="62" t="n">
        <x:v>0</x:v>
      </x:c>
      <x:c r="D12" s="62" t="n">
        <x:v>0</x:v>
      </x:c>
      <x:c r="E12" s="62" t="n">
        <x:v>0</x:v>
      </x:c>
      <x:c r="F12" s="62" t="n">
        <x:v>0</x:v>
      </x:c>
      <x:c r="G12" s="62" t="n">
        <x:v>0</x:v>
      </x:c>
      <x:c r="H12" s="62" t="n">
        <x:v>2</x:v>
      </x:c>
      <x:c r="I12" s="62" t="n">
        <x:v>0</x:v>
      </x:c>
      <x:c r="J12" s="62" t="n">
        <x:v>0</x:v>
      </x:c>
      <x:c r="K12" s="62" t="n">
        <x:v>0</x:v>
      </x:c>
      <x:c r="L12" s="64" t="n">
        <x:f>(('Architectures'!$D$6-C12)*'Assumptions'!$C$20)/'Mission'!$C$12</x:f>
        <x:v>0.6975664772149448</x:v>
      </x:c>
      <x:c r="M12" s="64" t="n">
        <x:f>('Mission'!$C$14*IF(K12=1,'Assumptions'!$C$9,'Assumptions'!$C$8)+'Architectures'!$E$6*(('Architectures'!$F$6-D12)/'Architectures'!$F$6)*'Architectures'!$G$6*'Assumptions'!$C$12*'Assumptions'!$C$16)/'Mission'!$C$14</x:f>
        <x:v>0.7583671374690041</x:v>
      </x:c>
      <x:c r="N12" s="64" t="n">
        <x:f>('Architectures'!$H$6*(('Architectures'!$I$6-E12)/'Architectures'!$I$6)*'Architectures'!$J$6*'Assumptions'!$C$15*'Assumptions'!$C$16)/'Mission'!$C$15</x:f>
        <x:v>0.5109301089008939</x:v>
      </x:c>
      <x:c r="O12" s="64" t="n">
        <x:f>(('Architectures'!$K$6-F12)*'Assumptions'!$C$17*'Assumptions'!$C$18)/'Mission'!$C$13</x:f>
        <x:v>0.894836088339782</x:v>
      </x:c>
      <x:c r="P12" s="64" t="n">
        <x:f>(('Architectures'!$L$6-G12)*'Assumptions'!$C$19)/'Mission'!$C$16</x:f>
        <x:v>0.768</x:v>
      </x:c>
      <x:c r="Q12" s="64" t="n">
        <x:f>(('Architectures'!$M$6-H12)*'Assumptions'!$C$21)/'Mission'!$C$17</x:f>
        <x:v>0.5</x:v>
      </x:c>
      <x:c r="R12" s="64" t="n">
        <x:f>(('Architectures'!$N$6-I12)*'Assumptions'!$C$22)/'Mission'!$C$18</x:f>
        <x:v>0.8307692307692308</x:v>
      </x:c>
      <x:c r="S12" s="64" t="n">
        <x:f>(('Architectures'!$O$6-J12)*'Assumptions'!$C$23)/'Mission'!$C$19</x:f>
        <x:v>0.72</x:v>
      </x:c>
      <x:c r="T12" s="61" t="str">
        <x:f>IF(MIN(L12:S12)&gt;=1,"PASS","FAIL")</x:f>
        <x:v>FAIL</x:v>
      </x:c>
      <x:c r="U12" s="61" t="n">
        <x:v>1</x:v>
      </x:c>
    </x:row>
    <x:row r="13">
      <x:c r="A13" s="53" t="str">
        <x:v>T0</x:v>
      </x:c>
      <x:c r="B13" s="53" t="str">
        <x:v>F7</x:v>
      </x:c>
      <x:c r="C13" s="67" t="n">
        <x:v>0</x:v>
      </x:c>
      <x:c r="D13" s="67" t="n">
        <x:v>0</x:v>
      </x:c>
      <x:c r="E13" s="67" t="n">
        <x:v>0</x:v>
      </x:c>
      <x:c r="F13" s="67" t="n">
        <x:v>0</x:v>
      </x:c>
      <x:c r="G13" s="67" t="n">
        <x:v>0</x:v>
      </x:c>
      <x:c r="H13" s="67" t="n">
        <x:v>0</x:v>
      </x:c>
      <x:c r="I13" s="67" t="n">
        <x:v>1</x:v>
      </x:c>
      <x:c r="J13" s="67" t="n">
        <x:v>0</x:v>
      </x:c>
      <x:c r="K13" s="67" t="n">
        <x:v>0</x:v>
      </x:c>
      <x:c r="L13" s="69" t="n">
        <x:f>(('Architectures'!$D$6-C13)*'Assumptions'!$C$20)/'Mission'!$C$12</x:f>
        <x:v>0.6975664772149448</x:v>
      </x:c>
      <x:c r="M13" s="69" t="n">
        <x:f>('Mission'!$C$14*IF(K13=1,'Assumptions'!$C$9,'Assumptions'!$C$8)+'Architectures'!$E$6*(('Architectures'!$F$6-D13)/'Architectures'!$F$6)*'Architectures'!$G$6*'Assumptions'!$C$12*'Assumptions'!$C$16)/'Mission'!$C$14</x:f>
        <x:v>0.7583671374690041</x:v>
      </x:c>
      <x:c r="N13" s="69" t="n">
        <x:f>('Architectures'!$H$6*(('Architectures'!$I$6-E13)/'Architectures'!$I$6)*'Architectures'!$J$6*'Assumptions'!$C$15*'Assumptions'!$C$16)/'Mission'!$C$15</x:f>
        <x:v>0.5109301089008939</x:v>
      </x:c>
      <x:c r="O13" s="69" t="n">
        <x:f>(('Architectures'!$K$6-F13)*'Assumptions'!$C$17*'Assumptions'!$C$18)/'Mission'!$C$13</x:f>
        <x:v>0.894836088339782</x:v>
      </x:c>
      <x:c r="P13" s="69" t="n">
        <x:f>(('Architectures'!$L$6-G13)*'Assumptions'!$C$19)/'Mission'!$C$16</x:f>
        <x:v>0.768</x:v>
      </x:c>
      <x:c r="Q13" s="69" t="n">
        <x:f>(('Architectures'!$M$6-H13)*'Assumptions'!$C$21)/'Mission'!$C$17</x:f>
        <x:v>0.75</x:v>
      </x:c>
      <x:c r="R13" s="69" t="n">
        <x:f>(('Architectures'!$N$6-I13)*'Assumptions'!$C$22)/'Mission'!$C$18</x:f>
        <x:v>0.6923076923076923</x:v>
      </x:c>
      <x:c r="S13" s="69" t="n">
        <x:f>(('Architectures'!$O$6-J13)*'Assumptions'!$C$23)/'Mission'!$C$19</x:f>
        <x:v>0.72</x:v>
      </x:c>
      <x:c r="T13" s="53" t="str">
        <x:f>IF(MIN(L13:S13)&gt;=1,"PASS","FAIL")</x:f>
        <x:v>FAIL</x:v>
      </x:c>
      <x:c r="U13" s="53" t="n">
        <x:v>1</x:v>
      </x:c>
    </x:row>
    <x:row r="14">
      <x:c r="A14" s="61" t="str">
        <x:v>T0</x:v>
      </x:c>
      <x:c r="B14" s="61" t="str">
        <x:v>F8</x:v>
      </x:c>
      <x:c r="C14" s="62" t="n">
        <x:v>0</x:v>
      </x:c>
      <x:c r="D14" s="62" t="n">
        <x:v>0</x:v>
      </x:c>
      <x:c r="E14" s="62" t="n">
        <x:v>0</x:v>
      </x:c>
      <x:c r="F14" s="62" t="n">
        <x:v>0</x:v>
      </x:c>
      <x:c r="G14" s="62" t="n">
        <x:v>0</x:v>
      </x:c>
      <x:c r="H14" s="62" t="n">
        <x:v>0</x:v>
      </x:c>
      <x:c r="I14" s="62" t="n">
        <x:v>0</x:v>
      </x:c>
      <x:c r="J14" s="62" t="n">
        <x:v>1</x:v>
      </x:c>
      <x:c r="K14" s="62" t="n">
        <x:v>0</x:v>
      </x:c>
      <x:c r="L14" s="64" t="n">
        <x:f>(('Architectures'!$D$6-C14)*'Assumptions'!$C$20)/'Mission'!$C$12</x:f>
        <x:v>0.6975664772149448</x:v>
      </x:c>
      <x:c r="M14" s="64" t="n">
        <x:f>('Mission'!$C$14*IF(K14=1,'Assumptions'!$C$9,'Assumptions'!$C$8)+'Architectures'!$E$6*(('Architectures'!$F$6-D14)/'Architectures'!$F$6)*'Architectures'!$G$6*'Assumptions'!$C$12*'Assumptions'!$C$16)/'Mission'!$C$14</x:f>
        <x:v>0.7583671374690041</x:v>
      </x:c>
      <x:c r="N14" s="64" t="n">
        <x:f>('Architectures'!$H$6*(('Architectures'!$I$6-E14)/'Architectures'!$I$6)*'Architectures'!$J$6*'Assumptions'!$C$15*'Assumptions'!$C$16)/'Mission'!$C$15</x:f>
        <x:v>0.5109301089008939</x:v>
      </x:c>
      <x:c r="O14" s="64" t="n">
        <x:f>(('Architectures'!$K$6-F14)*'Assumptions'!$C$17*'Assumptions'!$C$18)/'Mission'!$C$13</x:f>
        <x:v>0.894836088339782</x:v>
      </x:c>
      <x:c r="P14" s="64" t="n">
        <x:f>(('Architectures'!$L$6-G14)*'Assumptions'!$C$19)/'Mission'!$C$16</x:f>
        <x:v>0.768</x:v>
      </x:c>
      <x:c r="Q14" s="64" t="n">
        <x:f>(('Architectures'!$M$6-H14)*'Assumptions'!$C$21)/'Mission'!$C$17</x:f>
        <x:v>0.75</x:v>
      </x:c>
      <x:c r="R14" s="64" t="n">
        <x:f>(('Architectures'!$N$6-I14)*'Assumptions'!$C$22)/'Mission'!$C$18</x:f>
        <x:v>0.8307692307692308</x:v>
      </x:c>
      <x:c r="S14" s="64" t="n">
        <x:f>(('Architectures'!$O$6-J14)*'Assumptions'!$C$23)/'Mission'!$C$19</x:f>
        <x:v>0.54</x:v>
      </x:c>
      <x:c r="T14" s="61" t="str">
        <x:f>IF(MIN(L14:S14)&gt;=1,"PASS","FAIL")</x:f>
        <x:v>FAIL</x:v>
      </x:c>
      <x:c r="U14" s="61" t="n">
        <x:v>1</x:v>
      </x:c>
    </x:row>
    <x:row r="15">
      <x:c r="A15" s="53" t="str">
        <x:v>T0</x:v>
      </x:c>
      <x:c r="B15" s="53" t="str">
        <x:v>F9</x:v>
      </x:c>
      <x:c r="C15" s="67" t="n">
        <x:v>0</x:v>
      </x:c>
      <x:c r="D15" s="67" t="n">
        <x:v>0</x:v>
      </x:c>
      <x:c r="E15" s="67" t="n">
        <x:v>0</x:v>
      </x:c>
      <x:c r="F15" s="67" t="n">
        <x:v>0</x:v>
      </x:c>
      <x:c r="G15" s="67" t="n">
        <x:v>0</x:v>
      </x:c>
      <x:c r="H15" s="67" t="n">
        <x:v>0</x:v>
      </x:c>
      <x:c r="I15" s="67" t="n">
        <x:v>0</x:v>
      </x:c>
      <x:c r="J15" s="67" t="n">
        <x:v>0</x:v>
      </x:c>
      <x:c r="K15" s="67" t="n">
        <x:v>1</x:v>
      </x:c>
      <x:c r="L15" s="69" t="n">
        <x:f>(('Architectures'!$D$6-C15)*'Assumptions'!$C$20)/'Mission'!$C$12</x:f>
        <x:v>0.6975664772149448</x:v>
      </x:c>
      <x:c r="M15" s="69" t="n">
        <x:f>('Mission'!$C$14*IF(K15=1,'Assumptions'!$C$9,'Assumptions'!$C$8)+'Architectures'!$E$6*(('Architectures'!$F$6-D15)/'Architectures'!$F$6)*'Architectures'!$G$6*'Assumptions'!$C$12*'Assumptions'!$C$16)/'Mission'!$C$14</x:f>
        <x:v>0.408367137469004</x:v>
      </x:c>
      <x:c r="N15" s="69" t="n">
        <x:f>('Architectures'!$H$6*(('Architectures'!$I$6-E15)/'Architectures'!$I$6)*'Architectures'!$J$6*'Assumptions'!$C$15*'Assumptions'!$C$16)/'Mission'!$C$15</x:f>
        <x:v>0.5109301089008939</x:v>
      </x:c>
      <x:c r="O15" s="69" t="n">
        <x:f>(('Architectures'!$K$6-F15)*'Assumptions'!$C$17*'Assumptions'!$C$18)/'Mission'!$C$13</x:f>
        <x:v>0.894836088339782</x:v>
      </x:c>
      <x:c r="P15" s="69" t="n">
        <x:f>(('Architectures'!$L$6-G15)*'Assumptions'!$C$19)/'Mission'!$C$16</x:f>
        <x:v>0.768</x:v>
      </x:c>
      <x:c r="Q15" s="69" t="n">
        <x:f>(('Architectures'!$M$6-H15)*'Assumptions'!$C$21)/'Mission'!$C$17</x:f>
        <x:v>0.75</x:v>
      </x:c>
      <x:c r="R15" s="69" t="n">
        <x:f>(('Architectures'!$N$6-I15)*'Assumptions'!$C$22)/'Mission'!$C$18</x:f>
        <x:v>0.8307692307692308</x:v>
      </x:c>
      <x:c r="S15" s="69" t="n">
        <x:f>(('Architectures'!$O$6-J15)*'Assumptions'!$C$23)/'Mission'!$C$19</x:f>
        <x:v>0.72</x:v>
      </x:c>
      <x:c r="T15" s="53" t="str">
        <x:f>IF(MIN(L15:S15)&gt;=1,"PASS","FAIL")</x:f>
        <x:v>FAIL</x:v>
      </x:c>
      <x:c r="U15" s="53" t="n">
        <x:v>1</x:v>
      </x:c>
    </x:row>
    <x:row r="16">
      <x:c r="A16" s="61" t="str">
        <x:v>T0</x:v>
      </x:c>
      <x:c r="B16" s="61" t="str">
        <x:v>F10</x:v>
      </x:c>
      <x:c r="C16" s="62" t="n">
        <x:v>0</x:v>
      </x:c>
      <x:c r="D16" s="62" t="n">
        <x:v>1</x:v>
      </x:c>
      <x:c r="E16" s="62" t="n">
        <x:v>1</x:v>
      </x:c>
      <x:c r="F16" s="62" t="n">
        <x:v>1</x:v>
      </x:c>
      <x:c r="G16" s="62" t="n">
        <x:v>1</x:v>
      </x:c>
      <x:c r="H16" s="62" t="n">
        <x:v>0</x:v>
      </x:c>
      <x:c r="I16" s="62" t="n">
        <x:v>0</x:v>
      </x:c>
      <x:c r="J16" s="62" t="n">
        <x:v>0</x:v>
      </x:c>
      <x:c r="K16" s="62" t="n">
        <x:v>1</x:v>
      </x:c>
      <x:c r="L16" s="64" t="n">
        <x:f>(('Architectures'!$D$6-C16)*'Assumptions'!$C$20)/'Mission'!$C$12</x:f>
        <x:v>0.6975664772149448</x:v>
      </x:c>
      <x:c r="M16" s="64" t="n">
        <x:f>('Mission'!$C$14*IF(K16=1,'Assumptions'!$C$9,'Assumptions'!$C$8)+'Architectures'!$E$6*(('Architectures'!$F$6-D16)/'Architectures'!$F$6)*'Architectures'!$G$6*'Assumptions'!$C$12*'Assumptions'!$C$16)/'Mission'!$C$14</x:f>
        <x:v>0.34377535310175306</x:v>
      </x:c>
      <x:c r="N16" s="64" t="n">
        <x:f>('Architectures'!$H$6*(('Architectures'!$I$6-E16)/'Architectures'!$I$6)*'Architectures'!$J$6*'Assumptions'!$C$15*'Assumptions'!$C$16)/'Mission'!$C$15</x:f>
        <x:v>0.3831975816756704</x:v>
      </x:c>
      <x:c r="O16" s="64" t="n">
        <x:f>(('Architectures'!$K$6-F16)*'Assumptions'!$C$17*'Assumptions'!$C$18)/'Mission'!$C$13</x:f>
        <x:v>0.5965573922265214</x:v>
      </x:c>
      <x:c r="P16" s="64" t="n">
        <x:f>(('Architectures'!$L$6-G16)*'Assumptions'!$C$19)/'Mission'!$C$16</x:f>
        <x:v>0.5760000000000001</x:v>
      </x:c>
      <x:c r="Q16" s="64" t="n">
        <x:f>(('Architectures'!$M$6-H16)*'Assumptions'!$C$21)/'Mission'!$C$17</x:f>
        <x:v>0.75</x:v>
      </x:c>
      <x:c r="R16" s="64" t="n">
        <x:f>(('Architectures'!$N$6-I16)*'Assumptions'!$C$22)/'Mission'!$C$18</x:f>
        <x:v>0.8307692307692308</x:v>
      </x:c>
      <x:c r="S16" s="64" t="n">
        <x:f>(('Architectures'!$O$6-J16)*'Assumptions'!$C$23)/'Mission'!$C$19</x:f>
        <x:v>0.72</x:v>
      </x:c>
      <x:c r="T16" s="61" t="str">
        <x:f>IF(MIN(L16:S16)&gt;=1,"PASS","FAIL")</x:f>
        <x:v>FAIL</x:v>
      </x:c>
      <x:c r="U16" s="61" t="n">
        <x:v>0</x:v>
      </x:c>
    </x:row>
    <x:row r="17">
      <x:c r="A17" s="53" t="str">
        <x:v>I1</x:v>
      </x:c>
      <x:c r="B17" s="53" t="str">
        <x:v>F0</x:v>
      </x:c>
      <x:c r="C17" s="67" t="n">
        <x:v>0</x:v>
      </x:c>
      <x:c r="D17" s="67" t="n">
        <x:v>0</x:v>
      </x:c>
      <x:c r="E17" s="67" t="n">
        <x:v>0</x:v>
      </x:c>
      <x:c r="F17" s="67" t="n">
        <x:v>0</x:v>
      </x:c>
      <x:c r="G17" s="67" t="n">
        <x:v>0</x:v>
      </x:c>
      <x:c r="H17" s="67" t="n">
        <x:v>0</x:v>
      </x:c>
      <x:c r="I17" s="67" t="n">
        <x:v>0</x:v>
      </x:c>
      <x:c r="J17" s="67" t="n">
        <x:v>0</x:v>
      </x:c>
      <x:c r="K17" s="67" t="n">
        <x:v>0</x:v>
      </x:c>
      <x:c r="L17" s="69" t="n">
        <x:f>(('Architectures'!$D$7-C17)*'Assumptions'!$C$20)/'Mission'!$C$12</x:f>
        <x:v>1.01147139196167</x:v>
      </x:c>
      <x:c r="M17" s="69" t="n">
        <x:f>('Mission'!$C$14*IF(K17=1,'Assumptions'!$C$9,'Assumptions'!$C$8)+'Architectures'!$E$7*(('Architectures'!$F$7-D17)/'Architectures'!$F$7)*'Architectures'!$G$7*'Assumptions'!$C$12*'Assumptions'!$C$16)/'Mission'!$C$14</x:f>
        <x:v>1.0167342749380082</x:v>
      </x:c>
      <x:c r="N17" s="69" t="n">
        <x:f>('Architectures'!$H$7*(('Architectures'!$I$7-E17)/'Architectures'!$I$7)*'Architectures'!$J$7*'Assumptions'!$C$15*'Assumptions'!$C$16)/'Mission'!$C$15</x:f>
        <x:v>1.0218602178017877</x:v>
      </x:c>
      <x:c r="O17" s="69" t="n">
        <x:f>(('Architectures'!$K$7-F17)*'Assumptions'!$C$17*'Assumptions'!$C$18)/'Mission'!$C$13</x:f>
        <x:v>1.1931147844530428</x:v>
      </x:c>
      <x:c r="P17" s="69" t="n">
        <x:f>(('Architectures'!$L$7-G17)*'Assumptions'!$C$19)/'Mission'!$C$16</x:f>
        <x:v>1.1520000000000001</x:v>
      </x:c>
      <x:c r="Q17" s="69" t="n">
        <x:f>(('Architectures'!$M$7-H17)*'Assumptions'!$C$21)/'Mission'!$C$17</x:f>
        <x:v>1.125</x:v>
      </x:c>
      <x:c r="R17" s="69" t="n">
        <x:f>(('Architectures'!$N$7-I17)*'Assumptions'!$C$22)/'Mission'!$C$18</x:f>
        <x:v>1.1076923076923078</x:v>
      </x:c>
      <x:c r="S17" s="69" t="n">
        <x:f>(('Architectures'!$O$7-J17)*'Assumptions'!$C$23)/'Mission'!$C$19</x:f>
        <x:v>1.08</x:v>
      </x:c>
      <x:c r="T17" s="53" t="str">
        <x:f>IF(MIN(L17:S17)&gt;=1,"PASS","FAIL")</x:f>
        <x:v>PASS</x:v>
      </x:c>
      <x:c r="U17" s="53" t="n">
        <x:v>1</x:v>
      </x:c>
    </x:row>
    <x:row r="18">
      <x:c r="A18" s="61" t="str">
        <x:v>I1</x:v>
      </x:c>
      <x:c r="B18" s="61" t="str">
        <x:v>F1</x:v>
      </x:c>
      <x:c r="C18" s="62" t="n">
        <x:v>0</x:v>
      </x:c>
      <x:c r="D18" s="62" t="n">
        <x:v>1</x:v>
      </x:c>
      <x:c r="E18" s="62" t="n">
        <x:v>0</x:v>
      </x:c>
      <x:c r="F18" s="62" t="n">
        <x:v>0</x:v>
      </x:c>
      <x:c r="G18" s="62" t="n">
        <x:v>0</x:v>
      </x:c>
      <x:c r="H18" s="62" t="n">
        <x:v>0</x:v>
      </x:c>
      <x:c r="I18" s="62" t="n">
        <x:v>0</x:v>
      </x:c>
      <x:c r="J18" s="62" t="n">
        <x:v>0</x:v>
      </x:c>
      <x:c r="K18" s="62" t="n">
        <x:v>0</x:v>
      </x:c>
      <x:c r="L18" s="64" t="n">
        <x:f>(('Architectures'!$D$7-C18)*'Assumptions'!$C$20)/'Mission'!$C$12</x:f>
        <x:v>1.01147139196167</x:v>
      </x:c>
      <x:c r="M18" s="64" t="n">
        <x:f>('Mission'!$C$14*IF(K18=1,'Assumptions'!$C$9,'Assumptions'!$C$8)+'Architectures'!$E$7*(('Architectures'!$F$7-D18)/'Architectures'!$F$7)*'Architectures'!$G$7*'Assumptions'!$C$12*'Assumptions'!$C$16)/'Mission'!$C$14</x:f>
        <x:v>0.9133874199504066</x:v>
      </x:c>
      <x:c r="N18" s="64" t="n">
        <x:f>('Architectures'!$H$7*(('Architectures'!$I$7-E18)/'Architectures'!$I$7)*'Architectures'!$J$7*'Assumptions'!$C$15*'Assumptions'!$C$16)/'Mission'!$C$15</x:f>
        <x:v>1.0218602178017877</x:v>
      </x:c>
      <x:c r="O18" s="64" t="n">
        <x:f>(('Architectures'!$K$7-F18)*'Assumptions'!$C$17*'Assumptions'!$C$18)/'Mission'!$C$13</x:f>
        <x:v>1.1931147844530428</x:v>
      </x:c>
      <x:c r="P18" s="64" t="n">
        <x:f>(('Architectures'!$L$7-G18)*'Assumptions'!$C$19)/'Mission'!$C$16</x:f>
        <x:v>1.1520000000000001</x:v>
      </x:c>
      <x:c r="Q18" s="64" t="n">
        <x:f>(('Architectures'!$M$7-H18)*'Assumptions'!$C$21)/'Mission'!$C$17</x:f>
        <x:v>1.125</x:v>
      </x:c>
      <x:c r="R18" s="64" t="n">
        <x:f>(('Architectures'!$N$7-I18)*'Assumptions'!$C$22)/'Mission'!$C$18</x:f>
        <x:v>1.1076923076923078</x:v>
      </x:c>
      <x:c r="S18" s="64" t="n">
        <x:f>(('Architectures'!$O$7-J18)*'Assumptions'!$C$23)/'Mission'!$C$19</x:f>
        <x:v>1.08</x:v>
      </x:c>
      <x:c r="T18" s="61" t="str">
        <x:f>IF(MIN(L18:S18)&gt;=1,"PASS","FAIL")</x:f>
        <x:v>FAIL</x:v>
      </x:c>
      <x:c r="U18" s="61" t="n">
        <x:v>1</x:v>
      </x:c>
    </x:row>
    <x:row r="19">
      <x:c r="A19" s="53" t="str">
        <x:v>I1</x:v>
      </x:c>
      <x:c r="B19" s="53" t="str">
        <x:v>F2</x:v>
      </x:c>
      <x:c r="C19" s="67" t="n">
        <x:v>0</x:v>
      </x:c>
      <x:c r="D19" s="67" t="n">
        <x:v>0</x:v>
      </x:c>
      <x:c r="E19" s="67" t="n">
        <x:v>1</x:v>
      </x:c>
      <x:c r="F19" s="67" t="n">
        <x:v>0</x:v>
      </x:c>
      <x:c r="G19" s="67" t="n">
        <x:v>0</x:v>
      </x:c>
      <x:c r="H19" s="67" t="n">
        <x:v>0</x:v>
      </x:c>
      <x:c r="I19" s="67" t="n">
        <x:v>0</x:v>
      </x:c>
      <x:c r="J19" s="67" t="n">
        <x:v>0</x:v>
      </x:c>
      <x:c r="K19" s="67" t="n">
        <x:v>0</x:v>
      </x:c>
      <x:c r="L19" s="69" t="n">
        <x:f>(('Architectures'!$D$7-C19)*'Assumptions'!$C$20)/'Mission'!$C$12</x:f>
        <x:v>1.01147139196167</x:v>
      </x:c>
      <x:c r="M19" s="69" t="n">
        <x:f>('Mission'!$C$14*IF(K19=1,'Assumptions'!$C$9,'Assumptions'!$C$8)+'Architectures'!$E$7*(('Architectures'!$F$7-D19)/'Architectures'!$F$7)*'Architectures'!$G$7*'Assumptions'!$C$12*'Assumptions'!$C$16)/'Mission'!$C$14</x:f>
        <x:v>1.0167342749380082</x:v>
      </x:c>
      <x:c r="N19" s="69" t="n">
        <x:f>('Architectures'!$H$7*(('Architectures'!$I$7-E19)/'Architectures'!$I$7)*'Architectures'!$J$7*'Assumptions'!$C$15*'Assumptions'!$C$16)/'Mission'!$C$15</x:f>
        <x:v>0.8174881742414304</x:v>
      </x:c>
      <x:c r="O19" s="69" t="n">
        <x:f>(('Architectures'!$K$7-F19)*'Assumptions'!$C$17*'Assumptions'!$C$18)/'Mission'!$C$13</x:f>
        <x:v>1.1931147844530428</x:v>
      </x:c>
      <x:c r="P19" s="69" t="n">
        <x:f>(('Architectures'!$L$7-G19)*'Assumptions'!$C$19)/'Mission'!$C$16</x:f>
        <x:v>1.1520000000000001</x:v>
      </x:c>
      <x:c r="Q19" s="69" t="n">
        <x:f>(('Architectures'!$M$7-H19)*'Assumptions'!$C$21)/'Mission'!$C$17</x:f>
        <x:v>1.125</x:v>
      </x:c>
      <x:c r="R19" s="69" t="n">
        <x:f>(('Architectures'!$N$7-I19)*'Assumptions'!$C$22)/'Mission'!$C$18</x:f>
        <x:v>1.1076923076923078</x:v>
      </x:c>
      <x:c r="S19" s="69" t="n">
        <x:f>(('Architectures'!$O$7-J19)*'Assumptions'!$C$23)/'Mission'!$C$19</x:f>
        <x:v>1.08</x:v>
      </x:c>
      <x:c r="T19" s="53" t="str">
        <x:f>IF(MIN(L19:S19)&gt;=1,"PASS","FAIL")</x:f>
        <x:v>FAIL</x:v>
      </x:c>
      <x:c r="U19" s="53" t="n">
        <x:v>1</x:v>
      </x:c>
    </x:row>
    <x:row r="20">
      <x:c r="A20" s="61" t="str">
        <x:v>I1</x:v>
      </x:c>
      <x:c r="B20" s="61" t="str">
        <x:v>F3</x:v>
      </x:c>
      <x:c r="C20" s="62" t="n">
        <x:v>0</x:v>
      </x:c>
      <x:c r="D20" s="62" t="n">
        <x:v>0</x:v>
      </x:c>
      <x:c r="E20" s="62" t="n">
        <x:v>0</x:v>
      </x:c>
      <x:c r="F20" s="62" t="n">
        <x:v>1</x:v>
      </x:c>
      <x:c r="G20" s="62" t="n">
        <x:v>0</x:v>
      </x:c>
      <x:c r="H20" s="62" t="n">
        <x:v>0</x:v>
      </x:c>
      <x:c r="I20" s="62" t="n">
        <x:v>0</x:v>
      </x:c>
      <x:c r="J20" s="62" t="n">
        <x:v>0</x:v>
      </x:c>
      <x:c r="K20" s="62" t="n">
        <x:v>0</x:v>
      </x:c>
      <x:c r="L20" s="64" t="n">
        <x:f>(('Architectures'!$D$7-C20)*'Assumptions'!$C$20)/'Mission'!$C$12</x:f>
        <x:v>1.01147139196167</x:v>
      </x:c>
      <x:c r="M20" s="64" t="n">
        <x:f>('Mission'!$C$14*IF(K20=1,'Assumptions'!$C$9,'Assumptions'!$C$8)+'Architectures'!$E$7*(('Architectures'!$F$7-D20)/'Architectures'!$F$7)*'Architectures'!$G$7*'Assumptions'!$C$12*'Assumptions'!$C$16)/'Mission'!$C$14</x:f>
        <x:v>1.0167342749380082</x:v>
      </x:c>
      <x:c r="N20" s="64" t="n">
        <x:f>('Architectures'!$H$7*(('Architectures'!$I$7-E20)/'Architectures'!$I$7)*'Architectures'!$J$7*'Assumptions'!$C$15*'Assumptions'!$C$16)/'Mission'!$C$15</x:f>
        <x:v>1.0218602178017877</x:v>
      </x:c>
      <x:c r="O20" s="64" t="n">
        <x:f>(('Architectures'!$K$7-F20)*'Assumptions'!$C$17*'Assumptions'!$C$18)/'Mission'!$C$13</x:f>
        <x:v>0.894836088339782</x:v>
      </x:c>
      <x:c r="P20" s="64" t="n">
        <x:f>(('Architectures'!$L$7-G20)*'Assumptions'!$C$19)/'Mission'!$C$16</x:f>
        <x:v>1.1520000000000001</x:v>
      </x:c>
      <x:c r="Q20" s="64" t="n">
        <x:f>(('Architectures'!$M$7-H20)*'Assumptions'!$C$21)/'Mission'!$C$17</x:f>
        <x:v>1.125</x:v>
      </x:c>
      <x:c r="R20" s="64" t="n">
        <x:f>(('Architectures'!$N$7-I20)*'Assumptions'!$C$22)/'Mission'!$C$18</x:f>
        <x:v>1.1076923076923078</x:v>
      </x:c>
      <x:c r="S20" s="64" t="n">
        <x:f>(('Architectures'!$O$7-J20)*'Assumptions'!$C$23)/'Mission'!$C$19</x:f>
        <x:v>1.08</x:v>
      </x:c>
      <x:c r="T20" s="61" t="str">
        <x:f>IF(MIN(L20:S20)&gt;=1,"PASS","FAIL")</x:f>
        <x:v>FAIL</x:v>
      </x:c>
      <x:c r="U20" s="61" t="n">
        <x:v>1</x:v>
      </x:c>
    </x:row>
    <x:row r="21">
      <x:c r="A21" s="53" t="str">
        <x:v>I1</x:v>
      </x:c>
      <x:c r="B21" s="53" t="str">
        <x:v>F4</x:v>
      </x:c>
      <x:c r="C21" s="67" t="n">
        <x:v>0</x:v>
      </x:c>
      <x:c r="D21" s="67" t="n">
        <x:v>0</x:v>
      </x:c>
      <x:c r="E21" s="67" t="n">
        <x:v>0</x:v>
      </x:c>
      <x:c r="F21" s="67" t="n">
        <x:v>0</x:v>
      </x:c>
      <x:c r="G21" s="67" t="n">
        <x:v>1</x:v>
      </x:c>
      <x:c r="H21" s="67" t="n">
        <x:v>0</x:v>
      </x:c>
      <x:c r="I21" s="67" t="n">
        <x:v>0</x:v>
      </x:c>
      <x:c r="J21" s="67" t="n">
        <x:v>0</x:v>
      </x:c>
      <x:c r="K21" s="67" t="n">
        <x:v>0</x:v>
      </x:c>
      <x:c r="L21" s="69" t="n">
        <x:f>(('Architectures'!$D$7-C21)*'Assumptions'!$C$20)/'Mission'!$C$12</x:f>
        <x:v>1.01147139196167</x:v>
      </x:c>
      <x:c r="M21" s="69" t="n">
        <x:f>('Mission'!$C$14*IF(K21=1,'Assumptions'!$C$9,'Assumptions'!$C$8)+'Architectures'!$E$7*(('Architectures'!$F$7-D21)/'Architectures'!$F$7)*'Architectures'!$G$7*'Assumptions'!$C$12*'Assumptions'!$C$16)/'Mission'!$C$14</x:f>
        <x:v>1.0167342749380082</x:v>
      </x:c>
      <x:c r="N21" s="69" t="n">
        <x:f>('Architectures'!$H$7*(('Architectures'!$I$7-E21)/'Architectures'!$I$7)*'Architectures'!$J$7*'Assumptions'!$C$15*'Assumptions'!$C$16)/'Mission'!$C$15</x:f>
        <x:v>1.0218602178017877</x:v>
      </x:c>
      <x:c r="O21" s="69" t="n">
        <x:f>(('Architectures'!$K$7-F21)*'Assumptions'!$C$17*'Assumptions'!$C$18)/'Mission'!$C$13</x:f>
        <x:v>1.1931147844530428</x:v>
      </x:c>
      <x:c r="P21" s="69" t="n">
        <x:f>(('Architectures'!$L$7-G21)*'Assumptions'!$C$19)/'Mission'!$C$16</x:f>
        <x:v>0.9599999999999999</x:v>
      </x:c>
      <x:c r="Q21" s="69" t="n">
        <x:f>(('Architectures'!$M$7-H21)*'Assumptions'!$C$21)/'Mission'!$C$17</x:f>
        <x:v>1.125</x:v>
      </x:c>
      <x:c r="R21" s="69" t="n">
        <x:f>(('Architectures'!$N$7-I21)*'Assumptions'!$C$22)/'Mission'!$C$18</x:f>
        <x:v>1.1076923076923078</x:v>
      </x:c>
      <x:c r="S21" s="69" t="n">
        <x:f>(('Architectures'!$O$7-J21)*'Assumptions'!$C$23)/'Mission'!$C$19</x:f>
        <x:v>1.08</x:v>
      </x:c>
      <x:c r="T21" s="53" t="str">
        <x:f>IF(MIN(L21:S21)&gt;=1,"PASS","FAIL")</x:f>
        <x:v>FAIL</x:v>
      </x:c>
      <x:c r="U21" s="53" t="n">
        <x:v>1</x:v>
      </x:c>
    </x:row>
    <x:row r="22">
      <x:c r="A22" s="61" t="str">
        <x:v>I1</x:v>
      </x:c>
      <x:c r="B22" s="61" t="str">
        <x:v>F5</x:v>
      </x:c>
      <x:c r="C22" s="62" t="n">
        <x:v>5</x:v>
      </x:c>
      <x:c r="D22" s="62" t="n">
        <x:v>0</x:v>
      </x:c>
      <x:c r="E22" s="62" t="n">
        <x:v>0</x:v>
      </x:c>
      <x:c r="F22" s="62" t="n">
        <x:v>0</x:v>
      </x:c>
      <x:c r="G22" s="62" t="n">
        <x:v>0</x:v>
      </x:c>
      <x:c r="H22" s="62" t="n">
        <x:v>0</x:v>
      </x:c>
      <x:c r="I22" s="62" t="n">
        <x:v>0</x:v>
      </x:c>
      <x:c r="J22" s="62" t="n">
        <x:v>0</x:v>
      </x:c>
      <x:c r="K22" s="62" t="n">
        <x:v>0</x:v>
      </x:c>
      <x:c r="L22" s="64" t="n">
        <x:f>(('Architectures'!$D$7-C22)*'Assumptions'!$C$20)/'Mission'!$C$12</x:f>
        <x:v>0.8370797726579338</x:v>
      </x:c>
      <x:c r="M22" s="64" t="n">
        <x:f>('Mission'!$C$14*IF(K22=1,'Assumptions'!$C$9,'Assumptions'!$C$8)+'Architectures'!$E$7*(('Architectures'!$F$7-D22)/'Architectures'!$F$7)*'Architectures'!$G$7*'Assumptions'!$C$12*'Assumptions'!$C$16)/'Mission'!$C$14</x:f>
        <x:v>1.0167342749380082</x:v>
      </x:c>
      <x:c r="N22" s="64" t="n">
        <x:f>('Architectures'!$H$7*(('Architectures'!$I$7-E22)/'Architectures'!$I$7)*'Architectures'!$J$7*'Assumptions'!$C$15*'Assumptions'!$C$16)/'Mission'!$C$15</x:f>
        <x:v>1.0218602178017877</x:v>
      </x:c>
      <x:c r="O22" s="64" t="n">
        <x:f>(('Architectures'!$K$7-F22)*'Assumptions'!$C$17*'Assumptions'!$C$18)/'Mission'!$C$13</x:f>
        <x:v>1.1931147844530428</x:v>
      </x:c>
      <x:c r="P22" s="64" t="n">
        <x:f>(('Architectures'!$L$7-G22)*'Assumptions'!$C$19)/'Mission'!$C$16</x:f>
        <x:v>1.1520000000000001</x:v>
      </x:c>
      <x:c r="Q22" s="64" t="n">
        <x:f>(('Architectures'!$M$7-H22)*'Assumptions'!$C$21)/'Mission'!$C$17</x:f>
        <x:v>1.125</x:v>
      </x:c>
      <x:c r="R22" s="64" t="n">
        <x:f>(('Architectures'!$N$7-I22)*'Assumptions'!$C$22)/'Mission'!$C$18</x:f>
        <x:v>1.1076923076923078</x:v>
      </x:c>
      <x:c r="S22" s="64" t="n">
        <x:f>(('Architectures'!$O$7-J22)*'Assumptions'!$C$23)/'Mission'!$C$19</x:f>
        <x:v>1.08</x:v>
      </x:c>
      <x:c r="T22" s="61" t="str">
        <x:f>IF(MIN(L22:S22)&gt;=1,"PASS","FAIL")</x:f>
        <x:v>FAIL</x:v>
      </x:c>
      <x:c r="U22" s="61" t="n">
        <x:v>1</x:v>
      </x:c>
    </x:row>
    <x:row r="23">
      <x:c r="A23" s="53" t="str">
        <x:v>I1</x:v>
      </x:c>
      <x:c r="B23" s="53" t="str">
        <x:v>F6</x:v>
      </x:c>
      <x:c r="C23" s="67" t="n">
        <x:v>0</x:v>
      </x:c>
      <x:c r="D23" s="67" t="n">
        <x:v>0</x:v>
      </x:c>
      <x:c r="E23" s="67" t="n">
        <x:v>0</x:v>
      </x:c>
      <x:c r="F23" s="67" t="n">
        <x:v>0</x:v>
      </x:c>
      <x:c r="G23" s="67" t="n">
        <x:v>0</x:v>
      </x:c>
      <x:c r="H23" s="67" t="n">
        <x:v>2</x:v>
      </x:c>
      <x:c r="I23" s="67" t="n">
        <x:v>0</x:v>
      </x:c>
      <x:c r="J23" s="67" t="n">
        <x:v>0</x:v>
      </x:c>
      <x:c r="K23" s="67" t="n">
        <x:v>0</x:v>
      </x:c>
      <x:c r="L23" s="69" t="n">
        <x:f>(('Architectures'!$D$7-C23)*'Assumptions'!$C$20)/'Mission'!$C$12</x:f>
        <x:v>1.01147139196167</x:v>
      </x:c>
      <x:c r="M23" s="69" t="n">
        <x:f>('Mission'!$C$14*IF(K23=1,'Assumptions'!$C$9,'Assumptions'!$C$8)+'Architectures'!$E$7*(('Architectures'!$F$7-D23)/'Architectures'!$F$7)*'Architectures'!$G$7*'Assumptions'!$C$12*'Assumptions'!$C$16)/'Mission'!$C$14</x:f>
        <x:v>1.0167342749380082</x:v>
      </x:c>
      <x:c r="N23" s="69" t="n">
        <x:f>('Architectures'!$H$7*(('Architectures'!$I$7-E23)/'Architectures'!$I$7)*'Architectures'!$J$7*'Assumptions'!$C$15*'Assumptions'!$C$16)/'Mission'!$C$15</x:f>
        <x:v>1.0218602178017877</x:v>
      </x:c>
      <x:c r="O23" s="69" t="n">
        <x:f>(('Architectures'!$K$7-F23)*'Assumptions'!$C$17*'Assumptions'!$C$18)/'Mission'!$C$13</x:f>
        <x:v>1.1931147844530428</x:v>
      </x:c>
      <x:c r="P23" s="69" t="n">
        <x:f>(('Architectures'!$L$7-G23)*'Assumptions'!$C$19)/'Mission'!$C$16</x:f>
        <x:v>1.1520000000000001</x:v>
      </x:c>
      <x:c r="Q23" s="69" t="n">
        <x:f>(('Architectures'!$M$7-H23)*'Assumptions'!$C$21)/'Mission'!$C$17</x:f>
        <x:v>0.875</x:v>
      </x:c>
      <x:c r="R23" s="69" t="n">
        <x:f>(('Architectures'!$N$7-I23)*'Assumptions'!$C$22)/'Mission'!$C$18</x:f>
        <x:v>1.1076923076923078</x:v>
      </x:c>
      <x:c r="S23" s="69" t="n">
        <x:f>(('Architectures'!$O$7-J23)*'Assumptions'!$C$23)/'Mission'!$C$19</x:f>
        <x:v>1.08</x:v>
      </x:c>
      <x:c r="T23" s="53" t="str">
        <x:f>IF(MIN(L23:S23)&gt;=1,"PASS","FAIL")</x:f>
        <x:v>FAIL</x:v>
      </x:c>
      <x:c r="U23" s="53" t="n">
        <x:v>1</x:v>
      </x:c>
    </x:row>
    <x:row r="24">
      <x:c r="A24" s="61" t="str">
        <x:v>I1</x:v>
      </x:c>
      <x:c r="B24" s="61" t="str">
        <x:v>F7</x:v>
      </x:c>
      <x:c r="C24" s="62" t="n">
        <x:v>0</x:v>
      </x:c>
      <x:c r="D24" s="62" t="n">
        <x:v>0</x:v>
      </x:c>
      <x:c r="E24" s="62" t="n">
        <x:v>0</x:v>
      </x:c>
      <x:c r="F24" s="62" t="n">
        <x:v>0</x:v>
      </x:c>
      <x:c r="G24" s="62" t="n">
        <x:v>0</x:v>
      </x:c>
      <x:c r="H24" s="62" t="n">
        <x:v>0</x:v>
      </x:c>
      <x:c r="I24" s="62" t="n">
        <x:v>1</x:v>
      </x:c>
      <x:c r="J24" s="62" t="n">
        <x:v>0</x:v>
      </x:c>
      <x:c r="K24" s="62" t="n">
        <x:v>0</x:v>
      </x:c>
      <x:c r="L24" s="64" t="n">
        <x:f>(('Architectures'!$D$7-C24)*'Assumptions'!$C$20)/'Mission'!$C$12</x:f>
        <x:v>1.01147139196167</x:v>
      </x:c>
      <x:c r="M24" s="64" t="n">
        <x:f>('Mission'!$C$14*IF(K24=1,'Assumptions'!$C$9,'Assumptions'!$C$8)+'Architectures'!$E$7*(('Architectures'!$F$7-D24)/'Architectures'!$F$7)*'Architectures'!$G$7*'Assumptions'!$C$12*'Assumptions'!$C$16)/'Mission'!$C$14</x:f>
        <x:v>1.0167342749380082</x:v>
      </x:c>
      <x:c r="N24" s="64" t="n">
        <x:f>('Architectures'!$H$7*(('Architectures'!$I$7-E24)/'Architectures'!$I$7)*'Architectures'!$J$7*'Assumptions'!$C$15*'Assumptions'!$C$16)/'Mission'!$C$15</x:f>
        <x:v>1.0218602178017877</x:v>
      </x:c>
      <x:c r="O24" s="64" t="n">
        <x:f>(('Architectures'!$K$7-F24)*'Assumptions'!$C$17*'Assumptions'!$C$18)/'Mission'!$C$13</x:f>
        <x:v>1.1931147844530428</x:v>
      </x:c>
      <x:c r="P24" s="64" t="n">
        <x:f>(('Architectures'!$L$7-G24)*'Assumptions'!$C$19)/'Mission'!$C$16</x:f>
        <x:v>1.1520000000000001</x:v>
      </x:c>
      <x:c r="Q24" s="64" t="n">
        <x:f>(('Architectures'!$M$7-H24)*'Assumptions'!$C$21)/'Mission'!$C$17</x:f>
        <x:v>1.125</x:v>
      </x:c>
      <x:c r="R24" s="64" t="n">
        <x:f>(('Architectures'!$N$7-I24)*'Assumptions'!$C$22)/'Mission'!$C$18</x:f>
        <x:v>0.9692307692307692</x:v>
      </x:c>
      <x:c r="S24" s="64" t="n">
        <x:f>(('Architectures'!$O$7-J24)*'Assumptions'!$C$23)/'Mission'!$C$19</x:f>
        <x:v>1.08</x:v>
      </x:c>
      <x:c r="T24" s="61" t="str">
        <x:f>IF(MIN(L24:S24)&gt;=1,"PASS","FAIL")</x:f>
        <x:v>FAIL</x:v>
      </x:c>
      <x:c r="U24" s="61" t="n">
        <x:v>1</x:v>
      </x:c>
    </x:row>
    <x:row r="25">
      <x:c r="A25" s="53" t="str">
        <x:v>I1</x:v>
      </x:c>
      <x:c r="B25" s="53" t="str">
        <x:v>F8</x:v>
      </x:c>
      <x:c r="C25" s="67" t="n">
        <x:v>0</x:v>
      </x:c>
      <x:c r="D25" s="67" t="n">
        <x:v>0</x:v>
      </x:c>
      <x:c r="E25" s="67" t="n">
        <x:v>0</x:v>
      </x:c>
      <x:c r="F25" s="67" t="n">
        <x:v>0</x:v>
      </x:c>
      <x:c r="G25" s="67" t="n">
        <x:v>0</x:v>
      </x:c>
      <x:c r="H25" s="67" t="n">
        <x:v>0</x:v>
      </x:c>
      <x:c r="I25" s="67" t="n">
        <x:v>0</x:v>
      </x:c>
      <x:c r="J25" s="67" t="n">
        <x:v>1</x:v>
      </x:c>
      <x:c r="K25" s="67" t="n">
        <x:v>0</x:v>
      </x:c>
      <x:c r="L25" s="69" t="n">
        <x:f>(('Architectures'!$D$7-C25)*'Assumptions'!$C$20)/'Mission'!$C$12</x:f>
        <x:v>1.01147139196167</x:v>
      </x:c>
      <x:c r="M25" s="69" t="n">
        <x:f>('Mission'!$C$14*IF(K25=1,'Assumptions'!$C$9,'Assumptions'!$C$8)+'Architectures'!$E$7*(('Architectures'!$F$7-D25)/'Architectures'!$F$7)*'Architectures'!$G$7*'Assumptions'!$C$12*'Assumptions'!$C$16)/'Mission'!$C$14</x:f>
        <x:v>1.0167342749380082</x:v>
      </x:c>
      <x:c r="N25" s="69" t="n">
        <x:f>('Architectures'!$H$7*(('Architectures'!$I$7-E25)/'Architectures'!$I$7)*'Architectures'!$J$7*'Assumptions'!$C$15*'Assumptions'!$C$16)/'Mission'!$C$15</x:f>
        <x:v>1.0218602178017877</x:v>
      </x:c>
      <x:c r="O25" s="69" t="n">
        <x:f>(('Architectures'!$K$7-F25)*'Assumptions'!$C$17*'Assumptions'!$C$18)/'Mission'!$C$13</x:f>
        <x:v>1.1931147844530428</x:v>
      </x:c>
      <x:c r="P25" s="69" t="n">
        <x:f>(('Architectures'!$L$7-G25)*'Assumptions'!$C$19)/'Mission'!$C$16</x:f>
        <x:v>1.1520000000000001</x:v>
      </x:c>
      <x:c r="Q25" s="69" t="n">
        <x:f>(('Architectures'!$M$7-H25)*'Assumptions'!$C$21)/'Mission'!$C$17</x:f>
        <x:v>1.125</x:v>
      </x:c>
      <x:c r="R25" s="69" t="n">
        <x:f>(('Architectures'!$N$7-I25)*'Assumptions'!$C$22)/'Mission'!$C$18</x:f>
        <x:v>1.1076923076923078</x:v>
      </x:c>
      <x:c r="S25" s="69" t="n">
        <x:f>(('Architectures'!$O$7-J25)*'Assumptions'!$C$23)/'Mission'!$C$19</x:f>
        <x:v>0.9</x:v>
      </x:c>
      <x:c r="T25" s="53" t="str">
        <x:f>IF(MIN(L25:S25)&gt;=1,"PASS","FAIL")</x:f>
        <x:v>FAIL</x:v>
      </x:c>
      <x:c r="U25" s="53" t="n">
        <x:v>1</x:v>
      </x:c>
    </x:row>
    <x:row r="26">
      <x:c r="A26" s="61" t="str">
        <x:v>I1</x:v>
      </x:c>
      <x:c r="B26" s="61" t="str">
        <x:v>F9</x:v>
      </x:c>
      <x:c r="C26" s="62" t="n">
        <x:v>0</x:v>
      </x:c>
      <x:c r="D26" s="62" t="n">
        <x:v>0</x:v>
      </x:c>
      <x:c r="E26" s="62" t="n">
        <x:v>0</x:v>
      </x:c>
      <x:c r="F26" s="62" t="n">
        <x:v>0</x:v>
      </x:c>
      <x:c r="G26" s="62" t="n">
        <x:v>0</x:v>
      </x:c>
      <x:c r="H26" s="62" t="n">
        <x:v>0</x:v>
      </x:c>
      <x:c r="I26" s="62" t="n">
        <x:v>0</x:v>
      </x:c>
      <x:c r="J26" s="62" t="n">
        <x:v>0</x:v>
      </x:c>
      <x:c r="K26" s="62" t="n">
        <x:v>1</x:v>
      </x:c>
      <x:c r="L26" s="64" t="n">
        <x:f>(('Architectures'!$D$7-C26)*'Assumptions'!$C$20)/'Mission'!$C$12</x:f>
        <x:v>1.01147139196167</x:v>
      </x:c>
      <x:c r="M26" s="64" t="n">
        <x:f>('Mission'!$C$14*IF(K26=1,'Assumptions'!$C$9,'Assumptions'!$C$8)+'Architectures'!$E$7*(('Architectures'!$F$7-D26)/'Architectures'!$F$7)*'Architectures'!$G$7*'Assumptions'!$C$12*'Assumptions'!$C$16)/'Mission'!$C$14</x:f>
        <x:v>0.6667342749380081</x:v>
      </x:c>
      <x:c r="N26" s="64" t="n">
        <x:f>('Architectures'!$H$7*(('Architectures'!$I$7-E26)/'Architectures'!$I$7)*'Architectures'!$J$7*'Assumptions'!$C$15*'Assumptions'!$C$16)/'Mission'!$C$15</x:f>
        <x:v>1.0218602178017877</x:v>
      </x:c>
      <x:c r="O26" s="64" t="n">
        <x:f>(('Architectures'!$K$7-F26)*'Assumptions'!$C$17*'Assumptions'!$C$18)/'Mission'!$C$13</x:f>
        <x:v>1.1931147844530428</x:v>
      </x:c>
      <x:c r="P26" s="64" t="n">
        <x:f>(('Architectures'!$L$7-G26)*'Assumptions'!$C$19)/'Mission'!$C$16</x:f>
        <x:v>1.1520000000000001</x:v>
      </x:c>
      <x:c r="Q26" s="64" t="n">
        <x:f>(('Architectures'!$M$7-H26)*'Assumptions'!$C$21)/'Mission'!$C$17</x:f>
        <x:v>1.125</x:v>
      </x:c>
      <x:c r="R26" s="64" t="n">
        <x:f>(('Architectures'!$N$7-I26)*'Assumptions'!$C$22)/'Mission'!$C$18</x:f>
        <x:v>1.1076923076923078</x:v>
      </x:c>
      <x:c r="S26" s="64" t="n">
        <x:f>(('Architectures'!$O$7-J26)*'Assumptions'!$C$23)/'Mission'!$C$19</x:f>
        <x:v>1.08</x:v>
      </x:c>
      <x:c r="T26" s="61" t="str">
        <x:f>IF(MIN(L26:S26)&gt;=1,"PASS","FAIL")</x:f>
        <x:v>FAIL</x:v>
      </x:c>
      <x:c r="U26" s="61" t="n">
        <x:v>1</x:v>
      </x:c>
    </x:row>
    <x:row r="27">
      <x:c r="A27" s="53" t="str">
        <x:v>I1</x:v>
      </x:c>
      <x:c r="B27" s="53" t="str">
        <x:v>F10</x:v>
      </x:c>
      <x:c r="C27" s="67" t="n">
        <x:v>0</x:v>
      </x:c>
      <x:c r="D27" s="67" t="n">
        <x:v>1</x:v>
      </x:c>
      <x:c r="E27" s="67" t="n">
        <x:v>1</x:v>
      </x:c>
      <x:c r="F27" s="67" t="n">
        <x:v>1</x:v>
      </x:c>
      <x:c r="G27" s="67" t="n">
        <x:v>1</x:v>
      </x:c>
      <x:c r="H27" s="67" t="n">
        <x:v>0</x:v>
      </x:c>
      <x:c r="I27" s="67" t="n">
        <x:v>0</x:v>
      </x:c>
      <x:c r="J27" s="67" t="n">
        <x:v>0</x:v>
      </x:c>
      <x:c r="K27" s="67" t="n">
        <x:v>1</x:v>
      </x:c>
      <x:c r="L27" s="69" t="n">
        <x:f>(('Architectures'!$D$7-C27)*'Assumptions'!$C$20)/'Mission'!$C$12</x:f>
        <x:v>1.01147139196167</x:v>
      </x:c>
      <x:c r="M27" s="69" t="n">
        <x:f>('Mission'!$C$14*IF(K27=1,'Assumptions'!$C$9,'Assumptions'!$C$8)+'Architectures'!$E$7*(('Architectures'!$F$7-D27)/'Architectures'!$F$7)*'Architectures'!$G$7*'Assumptions'!$C$12*'Assumptions'!$C$16)/'Mission'!$C$14</x:f>
        <x:v>0.5633874199504065</x:v>
      </x:c>
      <x:c r="N27" s="69" t="n">
        <x:f>('Architectures'!$H$7*(('Architectures'!$I$7-E27)/'Architectures'!$I$7)*'Architectures'!$J$7*'Assumptions'!$C$15*'Assumptions'!$C$16)/'Mission'!$C$15</x:f>
        <x:v>0.8174881742414304</x:v>
      </x:c>
      <x:c r="O27" s="69" t="n">
        <x:f>(('Architectures'!$K$7-F27)*'Assumptions'!$C$17*'Assumptions'!$C$18)/'Mission'!$C$13</x:f>
        <x:v>0.894836088339782</x:v>
      </x:c>
      <x:c r="P27" s="69" t="n">
        <x:f>(('Architectures'!$L$7-G27)*'Assumptions'!$C$19)/'Mission'!$C$16</x:f>
        <x:v>0.9599999999999999</x:v>
      </x:c>
      <x:c r="Q27" s="69" t="n">
        <x:f>(('Architectures'!$M$7-H27)*'Assumptions'!$C$21)/'Mission'!$C$17</x:f>
        <x:v>1.125</x:v>
      </x:c>
      <x:c r="R27" s="69" t="n">
        <x:f>(('Architectures'!$N$7-I27)*'Assumptions'!$C$22)/'Mission'!$C$18</x:f>
        <x:v>1.1076923076923078</x:v>
      </x:c>
      <x:c r="S27" s="69" t="n">
        <x:f>(('Architectures'!$O$7-J27)*'Assumptions'!$C$23)/'Mission'!$C$19</x:f>
        <x:v>1.08</x:v>
      </x:c>
      <x:c r="T27" s="53" t="str">
        <x:f>IF(MIN(L27:S27)&gt;=1,"PASS","FAIL")</x:f>
        <x:v>FAIL</x:v>
      </x:c>
      <x:c r="U27" s="53" t="n">
        <x:v>0</x:v>
      </x:c>
    </x:row>
    <x:row r="28">
      <x:c r="A28" s="61" t="str">
        <x:v>A2</x:v>
      </x:c>
      <x:c r="B28" s="61" t="str">
        <x:v>F0</x:v>
      </x:c>
      <x:c r="C28" s="62" t="n">
        <x:v>0</x:v>
      </x:c>
      <x:c r="D28" s="62" t="n">
        <x:v>0</x:v>
      </x:c>
      <x:c r="E28" s="62" t="n">
        <x:v>0</x:v>
      </x:c>
      <x:c r="F28" s="62" t="n">
        <x:v>0</x:v>
      </x:c>
      <x:c r="G28" s="62" t="n">
        <x:v>0</x:v>
      </x:c>
      <x:c r="H28" s="62" t="n">
        <x:v>0</x:v>
      </x:c>
      <x:c r="I28" s="62" t="n">
        <x:v>0</x:v>
      </x:c>
      <x:c r="J28" s="62" t="n">
        <x:v>0</x:v>
      </x:c>
      <x:c r="K28" s="62" t="n">
        <x:v>0</x:v>
      </x:c>
      <x:c r="L28" s="64" t="n">
        <x:f>(('Architectures'!$D$8-C28)*'Assumptions'!$C$20)/'Mission'!$C$12</x:f>
        <x:v>1.1858630112654063</x:v>
      </x:c>
      <x:c r="M28" s="64" t="n">
        <x:f>('Mission'!$C$14*IF(K28=1,'Assumptions'!$C$9,'Assumptions'!$C$8)+'Architectures'!$E$8*(('Architectures'!$F$8-D28)/'Architectures'!$F$8)*'Architectures'!$G$8*'Assumptions'!$C$12*'Assumptions'!$C$16)/'Mission'!$C$14</x:f>
        <x:v>1.1459178436725102</x:v>
      </x:c>
      <x:c r="N28" s="64" t="n">
        <x:f>('Architectures'!$H$8*(('Architectures'!$I$8-E28)/'Architectures'!$I$8)*'Architectures'!$J$8*'Assumptions'!$C$15*'Assumptions'!$C$16)/'Mission'!$C$15</x:f>
        <x:v>1.2773252722522348</x:v>
      </x:c>
      <x:c r="O28" s="64" t="n">
        <x:f>(('Architectures'!$K$8-F28)*'Assumptions'!$C$17*'Assumptions'!$C$18)/'Mission'!$C$13</x:f>
        <x:v>1.4913934805663034</x:v>
      </x:c>
      <x:c r="P28" s="64" t="n">
        <x:f>(('Architectures'!$L$8-G28)*'Assumptions'!$C$19)/'Mission'!$C$16</x:f>
        <x:v>1.344</x:v>
      </x:c>
      <x:c r="Q28" s="64" t="n">
        <x:f>(('Architectures'!$M$8-H28)*'Assumptions'!$C$21)/'Mission'!$C$17</x:f>
        <x:v>1.25</x:v>
      </x:c>
      <x:c r="R28" s="64" t="n">
        <x:f>(('Architectures'!$N$8-I28)*'Assumptions'!$C$22)/'Mission'!$C$18</x:f>
        <x:v>1.2461538461538462</x:v>
      </x:c>
      <x:c r="S28" s="64" t="n">
        <x:f>(('Architectures'!$O$8-J28)*'Assumptions'!$C$23)/'Mission'!$C$19</x:f>
        <x:v>1.26</x:v>
      </x:c>
      <x:c r="T28" s="61" t="str">
        <x:f>IF(MIN(L28:S28)&gt;=1,"PASS","FAIL")</x:f>
        <x:v>PASS</x:v>
      </x:c>
      <x:c r="U28" s="61" t="n">
        <x:v>1</x:v>
      </x:c>
    </x:row>
    <x:row r="29">
      <x:c r="A29" s="53" t="str">
        <x:v>A2</x:v>
      </x:c>
      <x:c r="B29" s="53" t="str">
        <x:v>F1</x:v>
      </x:c>
      <x:c r="C29" s="67" t="n">
        <x:v>0</x:v>
      </x:c>
      <x:c r="D29" s="67" t="n">
        <x:v>1</x:v>
      </x:c>
      <x:c r="E29" s="67" t="n">
        <x:v>0</x:v>
      </x:c>
      <x:c r="F29" s="67" t="n">
        <x:v>0</x:v>
      </x:c>
      <x:c r="G29" s="67" t="n">
        <x:v>0</x:v>
      </x:c>
      <x:c r="H29" s="67" t="n">
        <x:v>0</x:v>
      </x:c>
      <x:c r="I29" s="67" t="n">
        <x:v>0</x:v>
      </x:c>
      <x:c r="J29" s="67" t="n">
        <x:v>0</x:v>
      </x:c>
      <x:c r="K29" s="67" t="n">
        <x:v>0</x:v>
      </x:c>
      <x:c r="L29" s="69" t="n">
        <x:f>(('Architectures'!$D$8-C29)*'Assumptions'!$C$20)/'Mission'!$C$12</x:f>
        <x:v>1.1858630112654063</x:v>
      </x:c>
      <x:c r="M29" s="69" t="n">
        <x:f>('Mission'!$C$14*IF(K29=1,'Assumptions'!$C$9,'Assumptions'!$C$8)+'Architectures'!$E$8*(('Architectures'!$F$8-D29)/'Architectures'!$F$8)*'Architectures'!$G$8*'Assumptions'!$C$12*'Assumptions'!$C$16)/'Mission'!$C$14</x:f>
        <x:v>1.0167342749380082</x:v>
      </x:c>
      <x:c r="N29" s="69" t="n">
        <x:f>('Architectures'!$H$8*(('Architectures'!$I$8-E29)/'Architectures'!$I$8)*'Architectures'!$J$8*'Assumptions'!$C$15*'Assumptions'!$C$16)/'Mission'!$C$15</x:f>
        <x:v>1.2773252722522348</x:v>
      </x:c>
      <x:c r="O29" s="69" t="n">
        <x:f>(('Architectures'!$K$8-F29)*'Assumptions'!$C$17*'Assumptions'!$C$18)/'Mission'!$C$13</x:f>
        <x:v>1.4913934805663034</x:v>
      </x:c>
      <x:c r="P29" s="69" t="n">
        <x:f>(('Architectures'!$L$8-G29)*'Assumptions'!$C$19)/'Mission'!$C$16</x:f>
        <x:v>1.344</x:v>
      </x:c>
      <x:c r="Q29" s="69" t="n">
        <x:f>(('Architectures'!$M$8-H29)*'Assumptions'!$C$21)/'Mission'!$C$17</x:f>
        <x:v>1.25</x:v>
      </x:c>
      <x:c r="R29" s="69" t="n">
        <x:f>(('Architectures'!$N$8-I29)*'Assumptions'!$C$22)/'Mission'!$C$18</x:f>
        <x:v>1.2461538461538462</x:v>
      </x:c>
      <x:c r="S29" s="69" t="n">
        <x:f>(('Architectures'!$O$8-J29)*'Assumptions'!$C$23)/'Mission'!$C$19</x:f>
        <x:v>1.26</x:v>
      </x:c>
      <x:c r="T29" s="53" t="str">
        <x:f>IF(MIN(L29:S29)&gt;=1,"PASS","FAIL")</x:f>
        <x:v>PASS</x:v>
      </x:c>
      <x:c r="U29" s="53" t="n">
        <x:v>1</x:v>
      </x:c>
    </x:row>
    <x:row r="30">
      <x:c r="A30" s="61" t="str">
        <x:v>A2</x:v>
      </x:c>
      <x:c r="B30" s="61" t="str">
        <x:v>F2</x:v>
      </x:c>
      <x:c r="C30" s="62" t="n">
        <x:v>0</x:v>
      </x:c>
      <x:c r="D30" s="62" t="n">
        <x:v>0</x:v>
      </x:c>
      <x:c r="E30" s="62" t="n">
        <x:v>1</x:v>
      </x:c>
      <x:c r="F30" s="62" t="n">
        <x:v>0</x:v>
      </x:c>
      <x:c r="G30" s="62" t="n">
        <x:v>0</x:v>
      </x:c>
      <x:c r="H30" s="62" t="n">
        <x:v>0</x:v>
      </x:c>
      <x:c r="I30" s="62" t="n">
        <x:v>0</x:v>
      </x:c>
      <x:c r="J30" s="62" t="n">
        <x:v>0</x:v>
      </x:c>
      <x:c r="K30" s="62" t="n">
        <x:v>0</x:v>
      </x:c>
      <x:c r="L30" s="64" t="n">
        <x:f>(('Architectures'!$D$8-C30)*'Assumptions'!$C$20)/'Mission'!$C$12</x:f>
        <x:v>1.1858630112654063</x:v>
      </x:c>
      <x:c r="M30" s="64" t="n">
        <x:f>('Mission'!$C$14*IF(K30=1,'Assumptions'!$C$9,'Assumptions'!$C$8)+'Architectures'!$E$8*(('Architectures'!$F$8-D30)/'Architectures'!$F$8)*'Architectures'!$G$8*'Assumptions'!$C$12*'Assumptions'!$C$16)/'Mission'!$C$14</x:f>
        <x:v>1.1459178436725102</x:v>
      </x:c>
      <x:c r="N30" s="64" t="n">
        <x:f>('Architectures'!$H$8*(('Architectures'!$I$8-E30)/'Architectures'!$I$8)*'Architectures'!$J$8*'Assumptions'!$C$15*'Assumptions'!$C$16)/'Mission'!$C$15</x:f>
        <x:v>1.0218602178017877</x:v>
      </x:c>
      <x:c r="O30" s="64" t="n">
        <x:f>(('Architectures'!$K$8-F30)*'Assumptions'!$C$17*'Assumptions'!$C$18)/'Mission'!$C$13</x:f>
        <x:v>1.4913934805663034</x:v>
      </x:c>
      <x:c r="P30" s="64" t="n">
        <x:f>(('Architectures'!$L$8-G30)*'Assumptions'!$C$19)/'Mission'!$C$16</x:f>
        <x:v>1.344</x:v>
      </x:c>
      <x:c r="Q30" s="64" t="n">
        <x:f>(('Architectures'!$M$8-H30)*'Assumptions'!$C$21)/'Mission'!$C$17</x:f>
        <x:v>1.25</x:v>
      </x:c>
      <x:c r="R30" s="64" t="n">
        <x:f>(('Architectures'!$N$8-I30)*'Assumptions'!$C$22)/'Mission'!$C$18</x:f>
        <x:v>1.2461538461538462</x:v>
      </x:c>
      <x:c r="S30" s="64" t="n">
        <x:f>(('Architectures'!$O$8-J30)*'Assumptions'!$C$23)/'Mission'!$C$19</x:f>
        <x:v>1.26</x:v>
      </x:c>
      <x:c r="T30" s="61" t="str">
        <x:f>IF(MIN(L30:S30)&gt;=1,"PASS","FAIL")</x:f>
        <x:v>PASS</x:v>
      </x:c>
      <x:c r="U30" s="61" t="n">
        <x:v>1</x:v>
      </x:c>
    </x:row>
    <x:row r="31">
      <x:c r="A31" s="53" t="str">
        <x:v>A2</x:v>
      </x:c>
      <x:c r="B31" s="53" t="str">
        <x:v>F3</x:v>
      </x:c>
      <x:c r="C31" s="67" t="n">
        <x:v>0</x:v>
      </x:c>
      <x:c r="D31" s="67" t="n">
        <x:v>0</x:v>
      </x:c>
      <x:c r="E31" s="67" t="n">
        <x:v>0</x:v>
      </x:c>
      <x:c r="F31" s="67" t="n">
        <x:v>1</x:v>
      </x:c>
      <x:c r="G31" s="67" t="n">
        <x:v>0</x:v>
      </x:c>
      <x:c r="H31" s="67" t="n">
        <x:v>0</x:v>
      </x:c>
      <x:c r="I31" s="67" t="n">
        <x:v>0</x:v>
      </x:c>
      <x:c r="J31" s="67" t="n">
        <x:v>0</x:v>
      </x:c>
      <x:c r="K31" s="67" t="n">
        <x:v>0</x:v>
      </x:c>
      <x:c r="L31" s="69" t="n">
        <x:f>(('Architectures'!$D$8-C31)*'Assumptions'!$C$20)/'Mission'!$C$12</x:f>
        <x:v>1.1858630112654063</x:v>
      </x:c>
      <x:c r="M31" s="69" t="n">
        <x:f>('Mission'!$C$14*IF(K31=1,'Assumptions'!$C$9,'Assumptions'!$C$8)+'Architectures'!$E$8*(('Architectures'!$F$8-D31)/'Architectures'!$F$8)*'Architectures'!$G$8*'Assumptions'!$C$12*'Assumptions'!$C$16)/'Mission'!$C$14</x:f>
        <x:v>1.1459178436725102</x:v>
      </x:c>
      <x:c r="N31" s="69" t="n">
        <x:f>('Architectures'!$H$8*(('Architectures'!$I$8-E31)/'Architectures'!$I$8)*'Architectures'!$J$8*'Assumptions'!$C$15*'Assumptions'!$C$16)/'Mission'!$C$15</x:f>
        <x:v>1.2773252722522348</x:v>
      </x:c>
      <x:c r="O31" s="69" t="n">
        <x:f>(('Architectures'!$K$8-F31)*'Assumptions'!$C$17*'Assumptions'!$C$18)/'Mission'!$C$13</x:f>
        <x:v>1.1931147844530428</x:v>
      </x:c>
      <x:c r="P31" s="69" t="n">
        <x:f>(('Architectures'!$L$8-G31)*'Assumptions'!$C$19)/'Mission'!$C$16</x:f>
        <x:v>1.344</x:v>
      </x:c>
      <x:c r="Q31" s="69" t="n">
        <x:f>(('Architectures'!$M$8-H31)*'Assumptions'!$C$21)/'Mission'!$C$17</x:f>
        <x:v>1.25</x:v>
      </x:c>
      <x:c r="R31" s="69" t="n">
        <x:f>(('Architectures'!$N$8-I31)*'Assumptions'!$C$22)/'Mission'!$C$18</x:f>
        <x:v>1.2461538461538462</x:v>
      </x:c>
      <x:c r="S31" s="69" t="n">
        <x:f>(('Architectures'!$O$8-J31)*'Assumptions'!$C$23)/'Mission'!$C$19</x:f>
        <x:v>1.26</x:v>
      </x:c>
      <x:c r="T31" s="53" t="str">
        <x:f>IF(MIN(L31:S31)&gt;=1,"PASS","FAIL")</x:f>
        <x:v>PASS</x:v>
      </x:c>
      <x:c r="U31" s="53" t="n">
        <x:v>1</x:v>
      </x:c>
    </x:row>
    <x:row r="32">
      <x:c r="A32" s="61" t="str">
        <x:v>A2</x:v>
      </x:c>
      <x:c r="B32" s="61" t="str">
        <x:v>F4</x:v>
      </x:c>
      <x:c r="C32" s="62" t="n">
        <x:v>0</x:v>
      </x:c>
      <x:c r="D32" s="62" t="n">
        <x:v>0</x:v>
      </x:c>
      <x:c r="E32" s="62" t="n">
        <x:v>0</x:v>
      </x:c>
      <x:c r="F32" s="62" t="n">
        <x:v>0</x:v>
      </x:c>
      <x:c r="G32" s="62" t="n">
        <x:v>1</x:v>
      </x:c>
      <x:c r="H32" s="62" t="n">
        <x:v>0</x:v>
      </x:c>
      <x:c r="I32" s="62" t="n">
        <x:v>0</x:v>
      </x:c>
      <x:c r="J32" s="62" t="n">
        <x:v>0</x:v>
      </x:c>
      <x:c r="K32" s="62" t="n">
        <x:v>0</x:v>
      </x:c>
      <x:c r="L32" s="64" t="n">
        <x:f>(('Architectures'!$D$8-C32)*'Assumptions'!$C$20)/'Mission'!$C$12</x:f>
        <x:v>1.1858630112654063</x:v>
      </x:c>
      <x:c r="M32" s="64" t="n">
        <x:f>('Mission'!$C$14*IF(K32=1,'Assumptions'!$C$9,'Assumptions'!$C$8)+'Architectures'!$E$8*(('Architectures'!$F$8-D32)/'Architectures'!$F$8)*'Architectures'!$G$8*'Assumptions'!$C$12*'Assumptions'!$C$16)/'Mission'!$C$14</x:f>
        <x:v>1.1459178436725102</x:v>
      </x:c>
      <x:c r="N32" s="64" t="n">
        <x:f>('Architectures'!$H$8*(('Architectures'!$I$8-E32)/'Architectures'!$I$8)*'Architectures'!$J$8*'Assumptions'!$C$15*'Assumptions'!$C$16)/'Mission'!$C$15</x:f>
        <x:v>1.2773252722522348</x:v>
      </x:c>
      <x:c r="O32" s="64" t="n">
        <x:f>(('Architectures'!$K$8-F32)*'Assumptions'!$C$17*'Assumptions'!$C$18)/'Mission'!$C$13</x:f>
        <x:v>1.4913934805663034</x:v>
      </x:c>
      <x:c r="P32" s="64" t="n">
        <x:f>(('Architectures'!$L$8-G32)*'Assumptions'!$C$19)/'Mission'!$C$16</x:f>
        <x:v>1.1520000000000001</x:v>
      </x:c>
      <x:c r="Q32" s="64" t="n">
        <x:f>(('Architectures'!$M$8-H32)*'Assumptions'!$C$21)/'Mission'!$C$17</x:f>
        <x:v>1.25</x:v>
      </x:c>
      <x:c r="R32" s="64" t="n">
        <x:f>(('Architectures'!$N$8-I32)*'Assumptions'!$C$22)/'Mission'!$C$18</x:f>
        <x:v>1.2461538461538462</x:v>
      </x:c>
      <x:c r="S32" s="64" t="n">
        <x:f>(('Architectures'!$O$8-J32)*'Assumptions'!$C$23)/'Mission'!$C$19</x:f>
        <x:v>1.26</x:v>
      </x:c>
      <x:c r="T32" s="61" t="str">
        <x:f>IF(MIN(L32:S32)&gt;=1,"PASS","FAIL")</x:f>
        <x:v>PASS</x:v>
      </x:c>
      <x:c r="U32" s="61" t="n">
        <x:v>1</x:v>
      </x:c>
    </x:row>
    <x:row r="33">
      <x:c r="A33" s="53" t="str">
        <x:v>A2</x:v>
      </x:c>
      <x:c r="B33" s="53" t="str">
        <x:v>F5</x:v>
      </x:c>
      <x:c r="C33" s="67" t="n">
        <x:v>5</x:v>
      </x:c>
      <x:c r="D33" s="67" t="n">
        <x:v>0</x:v>
      </x:c>
      <x:c r="E33" s="67" t="n">
        <x:v>0</x:v>
      </x:c>
      <x:c r="F33" s="67" t="n">
        <x:v>0</x:v>
      </x:c>
      <x:c r="G33" s="67" t="n">
        <x:v>0</x:v>
      </x:c>
      <x:c r="H33" s="67" t="n">
        <x:v>0</x:v>
      </x:c>
      <x:c r="I33" s="67" t="n">
        <x:v>0</x:v>
      </x:c>
      <x:c r="J33" s="67" t="n">
        <x:v>0</x:v>
      </x:c>
      <x:c r="K33" s="67" t="n">
        <x:v>0</x:v>
      </x:c>
      <x:c r="L33" s="69" t="n">
        <x:f>(('Architectures'!$D$8-C33)*'Assumptions'!$C$20)/'Mission'!$C$12</x:f>
        <x:v>1.01147139196167</x:v>
      </x:c>
      <x:c r="M33" s="69" t="n">
        <x:f>('Mission'!$C$14*IF(K33=1,'Assumptions'!$C$9,'Assumptions'!$C$8)+'Architectures'!$E$8*(('Architectures'!$F$8-D33)/'Architectures'!$F$8)*'Architectures'!$G$8*'Assumptions'!$C$12*'Assumptions'!$C$16)/'Mission'!$C$14</x:f>
        <x:v>1.1459178436725102</x:v>
      </x:c>
      <x:c r="N33" s="69" t="n">
        <x:f>('Architectures'!$H$8*(('Architectures'!$I$8-E33)/'Architectures'!$I$8)*'Architectures'!$J$8*'Assumptions'!$C$15*'Assumptions'!$C$16)/'Mission'!$C$15</x:f>
        <x:v>1.2773252722522348</x:v>
      </x:c>
      <x:c r="O33" s="69" t="n">
        <x:f>(('Architectures'!$K$8-F33)*'Assumptions'!$C$17*'Assumptions'!$C$18)/'Mission'!$C$13</x:f>
        <x:v>1.4913934805663034</x:v>
      </x:c>
      <x:c r="P33" s="69" t="n">
        <x:f>(('Architectures'!$L$8-G33)*'Assumptions'!$C$19)/'Mission'!$C$16</x:f>
        <x:v>1.344</x:v>
      </x:c>
      <x:c r="Q33" s="69" t="n">
        <x:f>(('Architectures'!$M$8-H33)*'Assumptions'!$C$21)/'Mission'!$C$17</x:f>
        <x:v>1.25</x:v>
      </x:c>
      <x:c r="R33" s="69" t="n">
        <x:f>(('Architectures'!$N$8-I33)*'Assumptions'!$C$22)/'Mission'!$C$18</x:f>
        <x:v>1.2461538461538462</x:v>
      </x:c>
      <x:c r="S33" s="69" t="n">
        <x:f>(('Architectures'!$O$8-J33)*'Assumptions'!$C$23)/'Mission'!$C$19</x:f>
        <x:v>1.26</x:v>
      </x:c>
      <x:c r="T33" s="53" t="str">
        <x:f>IF(MIN(L33:S33)&gt;=1,"PASS","FAIL")</x:f>
        <x:v>PASS</x:v>
      </x:c>
      <x:c r="U33" s="53" t="n">
        <x:v>1</x:v>
      </x:c>
    </x:row>
    <x:row r="34">
      <x:c r="A34" s="61" t="str">
        <x:v>A2</x:v>
      </x:c>
      <x:c r="B34" s="61" t="str">
        <x:v>F6</x:v>
      </x:c>
      <x:c r="C34" s="62" t="n">
        <x:v>0</x:v>
      </x:c>
      <x:c r="D34" s="62" t="n">
        <x:v>0</x:v>
      </x:c>
      <x:c r="E34" s="62" t="n">
        <x:v>0</x:v>
      </x:c>
      <x:c r="F34" s="62" t="n">
        <x:v>0</x:v>
      </x:c>
      <x:c r="G34" s="62" t="n">
        <x:v>0</x:v>
      </x:c>
      <x:c r="H34" s="62" t="n">
        <x:v>2</x:v>
      </x:c>
      <x:c r="I34" s="62" t="n">
        <x:v>0</x:v>
      </x:c>
      <x:c r="J34" s="62" t="n">
        <x:v>0</x:v>
      </x:c>
      <x:c r="K34" s="62" t="n">
        <x:v>0</x:v>
      </x:c>
      <x:c r="L34" s="64" t="n">
        <x:f>(('Architectures'!$D$8-C34)*'Assumptions'!$C$20)/'Mission'!$C$12</x:f>
        <x:v>1.1858630112654063</x:v>
      </x:c>
      <x:c r="M34" s="64" t="n">
        <x:f>('Mission'!$C$14*IF(K34=1,'Assumptions'!$C$9,'Assumptions'!$C$8)+'Architectures'!$E$8*(('Architectures'!$F$8-D34)/'Architectures'!$F$8)*'Architectures'!$G$8*'Assumptions'!$C$12*'Assumptions'!$C$16)/'Mission'!$C$14</x:f>
        <x:v>1.1459178436725102</x:v>
      </x:c>
      <x:c r="N34" s="64" t="n">
        <x:f>('Architectures'!$H$8*(('Architectures'!$I$8-E34)/'Architectures'!$I$8)*'Architectures'!$J$8*'Assumptions'!$C$15*'Assumptions'!$C$16)/'Mission'!$C$15</x:f>
        <x:v>1.2773252722522348</x:v>
      </x:c>
      <x:c r="O34" s="64" t="n">
        <x:f>(('Architectures'!$K$8-F34)*'Assumptions'!$C$17*'Assumptions'!$C$18)/'Mission'!$C$13</x:f>
        <x:v>1.4913934805663034</x:v>
      </x:c>
      <x:c r="P34" s="64" t="n">
        <x:f>(('Architectures'!$L$8-G34)*'Assumptions'!$C$19)/'Mission'!$C$16</x:f>
        <x:v>1.344</x:v>
      </x:c>
      <x:c r="Q34" s="64" t="n">
        <x:f>(('Architectures'!$M$8-H34)*'Assumptions'!$C$21)/'Mission'!$C$17</x:f>
        <x:v>1</x:v>
      </x:c>
      <x:c r="R34" s="64" t="n">
        <x:f>(('Architectures'!$N$8-I34)*'Assumptions'!$C$22)/'Mission'!$C$18</x:f>
        <x:v>1.2461538461538462</x:v>
      </x:c>
      <x:c r="S34" s="64" t="n">
        <x:f>(('Architectures'!$O$8-J34)*'Assumptions'!$C$23)/'Mission'!$C$19</x:f>
        <x:v>1.26</x:v>
      </x:c>
      <x:c r="T34" s="61" t="str">
        <x:f>IF(MIN(L34:S34)&gt;=1,"PASS","FAIL")</x:f>
        <x:v>PASS</x:v>
      </x:c>
      <x:c r="U34" s="61" t="n">
        <x:v>1</x:v>
      </x:c>
    </x:row>
    <x:row r="35">
      <x:c r="A35" s="53" t="str">
        <x:v>A2</x:v>
      </x:c>
      <x:c r="B35" s="53" t="str">
        <x:v>F7</x:v>
      </x:c>
      <x:c r="C35" s="67" t="n">
        <x:v>0</x:v>
      </x:c>
      <x:c r="D35" s="67" t="n">
        <x:v>0</x:v>
      </x:c>
      <x:c r="E35" s="67" t="n">
        <x:v>0</x:v>
      </x:c>
      <x:c r="F35" s="67" t="n">
        <x:v>0</x:v>
      </x:c>
      <x:c r="G35" s="67" t="n">
        <x:v>0</x:v>
      </x:c>
      <x:c r="H35" s="67" t="n">
        <x:v>0</x:v>
      </x:c>
      <x:c r="I35" s="67" t="n">
        <x:v>1</x:v>
      </x:c>
      <x:c r="J35" s="67" t="n">
        <x:v>0</x:v>
      </x:c>
      <x:c r="K35" s="67" t="n">
        <x:v>0</x:v>
      </x:c>
      <x:c r="L35" s="69" t="n">
        <x:f>(('Architectures'!$D$8-C35)*'Assumptions'!$C$20)/'Mission'!$C$12</x:f>
        <x:v>1.1858630112654063</x:v>
      </x:c>
      <x:c r="M35" s="69" t="n">
        <x:f>('Mission'!$C$14*IF(K35=1,'Assumptions'!$C$9,'Assumptions'!$C$8)+'Architectures'!$E$8*(('Architectures'!$F$8-D35)/'Architectures'!$F$8)*'Architectures'!$G$8*'Assumptions'!$C$12*'Assumptions'!$C$16)/'Mission'!$C$14</x:f>
        <x:v>1.1459178436725102</x:v>
      </x:c>
      <x:c r="N35" s="69" t="n">
        <x:f>('Architectures'!$H$8*(('Architectures'!$I$8-E35)/'Architectures'!$I$8)*'Architectures'!$J$8*'Assumptions'!$C$15*'Assumptions'!$C$16)/'Mission'!$C$15</x:f>
        <x:v>1.2773252722522348</x:v>
      </x:c>
      <x:c r="O35" s="69" t="n">
        <x:f>(('Architectures'!$K$8-F35)*'Assumptions'!$C$17*'Assumptions'!$C$18)/'Mission'!$C$13</x:f>
        <x:v>1.4913934805663034</x:v>
      </x:c>
      <x:c r="P35" s="69" t="n">
        <x:f>(('Architectures'!$L$8-G35)*'Assumptions'!$C$19)/'Mission'!$C$16</x:f>
        <x:v>1.344</x:v>
      </x:c>
      <x:c r="Q35" s="69" t="n">
        <x:f>(('Architectures'!$M$8-H35)*'Assumptions'!$C$21)/'Mission'!$C$17</x:f>
        <x:v>1.25</x:v>
      </x:c>
      <x:c r="R35" s="69" t="n">
        <x:f>(('Architectures'!$N$8-I35)*'Assumptions'!$C$22)/'Mission'!$C$18</x:f>
        <x:v>1.1076923076923078</x:v>
      </x:c>
      <x:c r="S35" s="69" t="n">
        <x:f>(('Architectures'!$O$8-J35)*'Assumptions'!$C$23)/'Mission'!$C$19</x:f>
        <x:v>1.26</x:v>
      </x:c>
      <x:c r="T35" s="53" t="str">
        <x:f>IF(MIN(L35:S35)&gt;=1,"PASS","FAIL")</x:f>
        <x:v>PASS</x:v>
      </x:c>
      <x:c r="U35" s="53" t="n">
        <x:v>1</x:v>
      </x:c>
    </x:row>
    <x:row r="36">
      <x:c r="A36" s="61" t="str">
        <x:v>A2</x:v>
      </x:c>
      <x:c r="B36" s="61" t="str">
        <x:v>F8</x:v>
      </x:c>
      <x:c r="C36" s="62" t="n">
        <x:v>0</x:v>
      </x:c>
      <x:c r="D36" s="62" t="n">
        <x:v>0</x:v>
      </x:c>
      <x:c r="E36" s="62" t="n">
        <x:v>0</x:v>
      </x:c>
      <x:c r="F36" s="62" t="n">
        <x:v>0</x:v>
      </x:c>
      <x:c r="G36" s="62" t="n">
        <x:v>0</x:v>
      </x:c>
      <x:c r="H36" s="62" t="n">
        <x:v>0</x:v>
      </x:c>
      <x:c r="I36" s="62" t="n">
        <x:v>0</x:v>
      </x:c>
      <x:c r="J36" s="62" t="n">
        <x:v>1</x:v>
      </x:c>
      <x:c r="K36" s="62" t="n">
        <x:v>0</x:v>
      </x:c>
      <x:c r="L36" s="64" t="n">
        <x:f>(('Architectures'!$D$8-C36)*'Assumptions'!$C$20)/'Mission'!$C$12</x:f>
        <x:v>1.1858630112654063</x:v>
      </x:c>
      <x:c r="M36" s="64" t="n">
        <x:f>('Mission'!$C$14*IF(K36=1,'Assumptions'!$C$9,'Assumptions'!$C$8)+'Architectures'!$E$8*(('Architectures'!$F$8-D36)/'Architectures'!$F$8)*'Architectures'!$G$8*'Assumptions'!$C$12*'Assumptions'!$C$16)/'Mission'!$C$14</x:f>
        <x:v>1.1459178436725102</x:v>
      </x:c>
      <x:c r="N36" s="64" t="n">
        <x:f>('Architectures'!$H$8*(('Architectures'!$I$8-E36)/'Architectures'!$I$8)*'Architectures'!$J$8*'Assumptions'!$C$15*'Assumptions'!$C$16)/'Mission'!$C$15</x:f>
        <x:v>1.2773252722522348</x:v>
      </x:c>
      <x:c r="O36" s="64" t="n">
        <x:f>(('Architectures'!$K$8-F36)*'Assumptions'!$C$17*'Assumptions'!$C$18)/'Mission'!$C$13</x:f>
        <x:v>1.4913934805663034</x:v>
      </x:c>
      <x:c r="P36" s="64" t="n">
        <x:f>(('Architectures'!$L$8-G36)*'Assumptions'!$C$19)/'Mission'!$C$16</x:f>
        <x:v>1.344</x:v>
      </x:c>
      <x:c r="Q36" s="64" t="n">
        <x:f>(('Architectures'!$M$8-H36)*'Assumptions'!$C$21)/'Mission'!$C$17</x:f>
        <x:v>1.25</x:v>
      </x:c>
      <x:c r="R36" s="64" t="n">
        <x:f>(('Architectures'!$N$8-I36)*'Assumptions'!$C$22)/'Mission'!$C$18</x:f>
        <x:v>1.2461538461538462</x:v>
      </x:c>
      <x:c r="S36" s="64" t="n">
        <x:f>(('Architectures'!$O$8-J36)*'Assumptions'!$C$23)/'Mission'!$C$19</x:f>
        <x:v>1.08</x:v>
      </x:c>
      <x:c r="T36" s="61" t="str">
        <x:f>IF(MIN(L36:S36)&gt;=1,"PASS","FAIL")</x:f>
        <x:v>PASS</x:v>
      </x:c>
      <x:c r="U36" s="61" t="n">
        <x:v>1</x:v>
      </x:c>
    </x:row>
    <x:row r="37">
      <x:c r="A37" s="53" t="str">
        <x:v>A2</x:v>
      </x:c>
      <x:c r="B37" s="53" t="str">
        <x:v>F9</x:v>
      </x:c>
      <x:c r="C37" s="67" t="n">
        <x:v>0</x:v>
      </x:c>
      <x:c r="D37" s="67" t="n">
        <x:v>0</x:v>
      </x:c>
      <x:c r="E37" s="67" t="n">
        <x:v>0</x:v>
      </x:c>
      <x:c r="F37" s="67" t="n">
        <x:v>0</x:v>
      </x:c>
      <x:c r="G37" s="67" t="n">
        <x:v>0</x:v>
      </x:c>
      <x:c r="H37" s="67" t="n">
        <x:v>0</x:v>
      </x:c>
      <x:c r="I37" s="67" t="n">
        <x:v>0</x:v>
      </x:c>
      <x:c r="J37" s="67" t="n">
        <x:v>0</x:v>
      </x:c>
      <x:c r="K37" s="67" t="n">
        <x:v>1</x:v>
      </x:c>
      <x:c r="L37" s="69" t="n">
        <x:f>(('Architectures'!$D$8-C37)*'Assumptions'!$C$20)/'Mission'!$C$12</x:f>
        <x:v>1.1858630112654063</x:v>
      </x:c>
      <x:c r="M37" s="69" t="n">
        <x:f>('Mission'!$C$14*IF(K37=1,'Assumptions'!$C$9,'Assumptions'!$C$8)+'Architectures'!$E$8*(('Architectures'!$F$8-D37)/'Architectures'!$F$8)*'Architectures'!$G$8*'Assumptions'!$C$12*'Assumptions'!$C$16)/'Mission'!$C$14</x:f>
        <x:v>0.7959178436725101</x:v>
      </x:c>
      <x:c r="N37" s="69" t="n">
        <x:f>('Architectures'!$H$8*(('Architectures'!$I$8-E37)/'Architectures'!$I$8)*'Architectures'!$J$8*'Assumptions'!$C$15*'Assumptions'!$C$16)/'Mission'!$C$15</x:f>
        <x:v>1.2773252722522348</x:v>
      </x:c>
      <x:c r="O37" s="69" t="n">
        <x:f>(('Architectures'!$K$8-F37)*'Assumptions'!$C$17*'Assumptions'!$C$18)/'Mission'!$C$13</x:f>
        <x:v>1.4913934805663034</x:v>
      </x:c>
      <x:c r="P37" s="69" t="n">
        <x:f>(('Architectures'!$L$8-G37)*'Assumptions'!$C$19)/'Mission'!$C$16</x:f>
        <x:v>1.344</x:v>
      </x:c>
      <x:c r="Q37" s="69" t="n">
        <x:f>(('Architectures'!$M$8-H37)*'Assumptions'!$C$21)/'Mission'!$C$17</x:f>
        <x:v>1.25</x:v>
      </x:c>
      <x:c r="R37" s="69" t="n">
        <x:f>(('Architectures'!$N$8-I37)*'Assumptions'!$C$22)/'Mission'!$C$18</x:f>
        <x:v>1.2461538461538462</x:v>
      </x:c>
      <x:c r="S37" s="69" t="n">
        <x:f>(('Architectures'!$O$8-J37)*'Assumptions'!$C$23)/'Mission'!$C$19</x:f>
        <x:v>1.26</x:v>
      </x:c>
      <x:c r="T37" s="53" t="str">
        <x:f>IF(MIN(L37:S37)&gt;=1,"PASS","FAIL")</x:f>
        <x:v>FAIL</x:v>
      </x:c>
      <x:c r="U37" s="53" t="n">
        <x:v>1</x:v>
      </x:c>
    </x:row>
    <x:row r="38">
      <x:c r="A38" s="61" t="str">
        <x:v>A2</x:v>
      </x:c>
      <x:c r="B38" s="61" t="str">
        <x:v>F10</x:v>
      </x:c>
      <x:c r="C38" s="62" t="n">
        <x:v>0</x:v>
      </x:c>
      <x:c r="D38" s="62" t="n">
        <x:v>1</x:v>
      </x:c>
      <x:c r="E38" s="62" t="n">
        <x:v>1</x:v>
      </x:c>
      <x:c r="F38" s="62" t="n">
        <x:v>1</x:v>
      </x:c>
      <x:c r="G38" s="62" t="n">
        <x:v>1</x:v>
      </x:c>
      <x:c r="H38" s="62" t="n">
        <x:v>0</x:v>
      </x:c>
      <x:c r="I38" s="62" t="n">
        <x:v>0</x:v>
      </x:c>
      <x:c r="J38" s="62" t="n">
        <x:v>0</x:v>
      </x:c>
      <x:c r="K38" s="62" t="n">
        <x:v>1</x:v>
      </x:c>
      <x:c r="L38" s="64" t="n">
        <x:f>(('Architectures'!$D$8-C38)*'Assumptions'!$C$20)/'Mission'!$C$12</x:f>
        <x:v>1.1858630112654063</x:v>
      </x:c>
      <x:c r="M38" s="64" t="n">
        <x:f>('Mission'!$C$14*IF(K38=1,'Assumptions'!$C$9,'Assumptions'!$C$8)+'Architectures'!$E$8*(('Architectures'!$F$8-D38)/'Architectures'!$F$8)*'Architectures'!$G$8*'Assumptions'!$C$12*'Assumptions'!$C$16)/'Mission'!$C$14</x:f>
        <x:v>0.6667342749380081</x:v>
      </x:c>
      <x:c r="N38" s="64" t="n">
        <x:f>('Architectures'!$H$8*(('Architectures'!$I$8-E38)/'Architectures'!$I$8)*'Architectures'!$J$8*'Assumptions'!$C$15*'Assumptions'!$C$16)/'Mission'!$C$15</x:f>
        <x:v>1.0218602178017877</x:v>
      </x:c>
      <x:c r="O38" s="64" t="n">
        <x:f>(('Architectures'!$K$8-F38)*'Assumptions'!$C$17*'Assumptions'!$C$18)/'Mission'!$C$13</x:f>
        <x:v>1.1931147844530428</x:v>
      </x:c>
      <x:c r="P38" s="64" t="n">
        <x:f>(('Architectures'!$L$8-G38)*'Assumptions'!$C$19)/'Mission'!$C$16</x:f>
        <x:v>1.1520000000000001</x:v>
      </x:c>
      <x:c r="Q38" s="64" t="n">
        <x:f>(('Architectures'!$M$8-H38)*'Assumptions'!$C$21)/'Mission'!$C$17</x:f>
        <x:v>1.25</x:v>
      </x:c>
      <x:c r="R38" s="64" t="n">
        <x:f>(('Architectures'!$N$8-I38)*'Assumptions'!$C$22)/'Mission'!$C$18</x:f>
        <x:v>1.2461538461538462</x:v>
      </x:c>
      <x:c r="S38" s="64" t="n">
        <x:f>(('Architectures'!$O$8-J38)*'Assumptions'!$C$23)/'Mission'!$C$19</x:f>
        <x:v>1.26</x:v>
      </x:c>
      <x:c r="T38" s="61" t="str">
        <x:f>IF(MIN(L38:S38)&gt;=1,"PASS","FAIL")</x:f>
        <x:v>FAIL</x:v>
      </x:c>
      <x:c r="U38" s="61" t="n">
        <x:v>0</x:v>
      </x:c>
    </x:row>
    <x:row r="39">
      <x:c r="A39" s="53" t="str">
        <x:v>S3</x:v>
      </x:c>
      <x:c r="B39" s="53" t="str">
        <x:v>F0</x:v>
      </x:c>
      <x:c r="C39" s="67" t="n">
        <x:v>0</x:v>
      </x:c>
      <x:c r="D39" s="67" t="n">
        <x:v>0</x:v>
      </x:c>
      <x:c r="E39" s="67" t="n">
        <x:v>0</x:v>
      </x:c>
      <x:c r="F39" s="67" t="n">
        <x:v>0</x:v>
      </x:c>
      <x:c r="G39" s="67" t="n">
        <x:v>0</x:v>
      </x:c>
      <x:c r="H39" s="67" t="n">
        <x:v>0</x:v>
      </x:c>
      <x:c r="I39" s="67" t="n">
        <x:v>0</x:v>
      </x:c>
      <x:c r="J39" s="67" t="n">
        <x:v>0</x:v>
      </x:c>
      <x:c r="K39" s="67" t="n">
        <x:v>0</x:v>
      </x:c>
      <x:c r="L39" s="69" t="n">
        <x:f>(('Architectures'!$D$9-C39)*'Assumptions'!$C$20)/'Mission'!$C$12</x:f>
        <x:v>1.2207413351261533</x:v>
      </x:c>
      <x:c r="M39" s="69" t="n">
        <x:f>('Mission'!$C$14*IF(K39=1,'Assumptions'!$C$9,'Assumptions'!$C$8)+'Architectures'!$E$9*(('Architectures'!$F$9-D39)/'Architectures'!$F$9)*'Architectures'!$G$9*'Assumptions'!$C$12*'Assumptions'!$C$16)/'Mission'!$C$14</x:f>
        <x:v>1.3719890889578885</x:v>
      </x:c>
      <x:c r="N39" s="69" t="n">
        <x:f>('Architectures'!$H$9*(('Architectures'!$I$9-E39)/'Architectures'!$I$9)*'Architectures'!$J$9*'Assumptions'!$C$15*'Assumptions'!$C$16)/'Mission'!$C$15</x:f>
        <x:v>1.3284182831423244</x:v>
      </x:c>
      <x:c r="O39" s="69" t="n">
        <x:f>(('Architectures'!$K$9-F39)*'Assumptions'!$C$17*'Assumptions'!$C$18)/'Mission'!$C$13</x:f>
        <x:v>1.789672176679564</x:v>
      </x:c>
      <x:c r="P39" s="69" t="n">
        <x:f>(('Architectures'!$L$9-G39)*'Assumptions'!$C$19)/'Mission'!$C$16</x:f>
        <x:v>1.344</x:v>
      </x:c>
      <x:c r="Q39" s="69" t="n">
        <x:f>(('Architectures'!$M$9-H39)*'Assumptions'!$C$21)/'Mission'!$C$17</x:f>
        <x:v>1.25</x:v>
      </x:c>
      <x:c r="R39" s="69" t="n">
        <x:f>(('Architectures'!$N$9-I39)*'Assumptions'!$C$22)/'Mission'!$C$18</x:f>
        <x:v>1.2461538461538462</x:v>
      </x:c>
      <x:c r="S39" s="69" t="n">
        <x:f>(('Architectures'!$O$9-J39)*'Assumptions'!$C$23)/'Mission'!$C$19</x:f>
        <x:v>1.44</x:v>
      </x:c>
      <x:c r="T39" s="53" t="str">
        <x:f>IF(MIN(L39:S39)&gt;=1,"PASS","FAIL")</x:f>
        <x:v>PASS</x:v>
      </x:c>
      <x:c r="U39" s="53" t="n">
        <x:v>1</x:v>
      </x:c>
    </x:row>
    <x:row r="40">
      <x:c r="A40" s="61" t="str">
        <x:v>S3</x:v>
      </x:c>
      <x:c r="B40" s="61" t="str">
        <x:v>F1</x:v>
      </x:c>
      <x:c r="C40" s="62" t="n">
        <x:v>0</x:v>
      </x:c>
      <x:c r="D40" s="62" t="n">
        <x:v>1</x:v>
      </x:c>
      <x:c r="E40" s="62" t="n">
        <x:v>0</x:v>
      </x:c>
      <x:c r="F40" s="62" t="n">
        <x:v>0</x:v>
      </x:c>
      <x:c r="G40" s="62" t="n">
        <x:v>0</x:v>
      </x:c>
      <x:c r="H40" s="62" t="n">
        <x:v>0</x:v>
      </x:c>
      <x:c r="I40" s="62" t="n">
        <x:v>0</x:v>
      </x:c>
      <x:c r="J40" s="62" t="n">
        <x:v>0</x:v>
      </x:c>
      <x:c r="K40" s="62" t="n">
        <x:v>0</x:v>
      </x:c>
      <x:c r="L40" s="64" t="n">
        <x:f>(('Architectures'!$D$9-C40)*'Assumptions'!$C$20)/'Mission'!$C$12</x:f>
        <x:v>1.2207413351261533</x:v>
      </x:c>
      <x:c r="M40" s="64" t="n">
        <x:f>('Mission'!$C$14*IF(K40=1,'Assumptions'!$C$9,'Assumptions'!$C$8)+'Architectures'!$E$9*(('Architectures'!$F$9-D40)/'Architectures'!$F$9)*'Architectures'!$G$9*'Assumptions'!$C$12*'Assumptions'!$C$16)/'Mission'!$C$14</x:f>
        <x:v>1.226657574131574</x:v>
      </x:c>
      <x:c r="N40" s="64" t="n">
        <x:f>('Architectures'!$H$9*(('Architectures'!$I$9-E40)/'Architectures'!$I$9)*'Architectures'!$J$9*'Assumptions'!$C$15*'Assumptions'!$C$16)/'Mission'!$C$15</x:f>
        <x:v>1.3284182831423244</x:v>
      </x:c>
      <x:c r="O40" s="64" t="n">
        <x:f>(('Architectures'!$K$9-F40)*'Assumptions'!$C$17*'Assumptions'!$C$18)/'Mission'!$C$13</x:f>
        <x:v>1.789672176679564</x:v>
      </x:c>
      <x:c r="P40" s="64" t="n">
        <x:f>(('Architectures'!$L$9-G40)*'Assumptions'!$C$19)/'Mission'!$C$16</x:f>
        <x:v>1.344</x:v>
      </x:c>
      <x:c r="Q40" s="64" t="n">
        <x:f>(('Architectures'!$M$9-H40)*'Assumptions'!$C$21)/'Mission'!$C$17</x:f>
        <x:v>1.25</x:v>
      </x:c>
      <x:c r="R40" s="64" t="n">
        <x:f>(('Architectures'!$N$9-I40)*'Assumptions'!$C$22)/'Mission'!$C$18</x:f>
        <x:v>1.2461538461538462</x:v>
      </x:c>
      <x:c r="S40" s="64" t="n">
        <x:f>(('Architectures'!$O$9-J40)*'Assumptions'!$C$23)/'Mission'!$C$19</x:f>
        <x:v>1.44</x:v>
      </x:c>
      <x:c r="T40" s="61" t="str">
        <x:f>IF(MIN(L40:S40)&gt;=1,"PASS","FAIL")</x:f>
        <x:v>PASS</x:v>
      </x:c>
      <x:c r="U40" s="61" t="n">
        <x:v>1</x:v>
      </x:c>
    </x:row>
    <x:row r="41">
      <x:c r="A41" s="53" t="str">
        <x:v>S3</x:v>
      </x:c>
      <x:c r="B41" s="53" t="str">
        <x:v>F2</x:v>
      </x:c>
      <x:c r="C41" s="67" t="n">
        <x:v>0</x:v>
      </x:c>
      <x:c r="D41" s="67" t="n">
        <x:v>0</x:v>
      </x:c>
      <x:c r="E41" s="67" t="n">
        <x:v>1</x:v>
      </x:c>
      <x:c r="F41" s="67" t="n">
        <x:v>0</x:v>
      </x:c>
      <x:c r="G41" s="67" t="n">
        <x:v>0</x:v>
      </x:c>
      <x:c r="H41" s="67" t="n">
        <x:v>0</x:v>
      </x:c>
      <x:c r="I41" s="67" t="n">
        <x:v>0</x:v>
      </x:c>
      <x:c r="J41" s="67" t="n">
        <x:v>0</x:v>
      </x:c>
      <x:c r="K41" s="67" t="n">
        <x:v>0</x:v>
      </x:c>
      <x:c r="L41" s="69" t="n">
        <x:f>(('Architectures'!$D$9-C41)*'Assumptions'!$C$20)/'Mission'!$C$12</x:f>
        <x:v>1.2207413351261533</x:v>
      </x:c>
      <x:c r="M41" s="69" t="n">
        <x:f>('Mission'!$C$14*IF(K41=1,'Assumptions'!$C$9,'Assumptions'!$C$8)+'Architectures'!$E$9*(('Architectures'!$F$9-D41)/'Architectures'!$F$9)*'Architectures'!$G$9*'Assumptions'!$C$12*'Assumptions'!$C$16)/'Mission'!$C$14</x:f>
        <x:v>1.3719890889578885</x:v>
      </x:c>
      <x:c r="N41" s="69" t="n">
        <x:f>('Architectures'!$H$9*(('Architectures'!$I$9-E41)/'Architectures'!$I$9)*'Architectures'!$J$9*'Assumptions'!$C$15*'Assumptions'!$C$16)/'Mission'!$C$15</x:f>
        <x:v>1.0627346265138595</x:v>
      </x:c>
      <x:c r="O41" s="69" t="n">
        <x:f>(('Architectures'!$K$9-F41)*'Assumptions'!$C$17*'Assumptions'!$C$18)/'Mission'!$C$13</x:f>
        <x:v>1.789672176679564</x:v>
      </x:c>
      <x:c r="P41" s="69" t="n">
        <x:f>(('Architectures'!$L$9-G41)*'Assumptions'!$C$19)/'Mission'!$C$16</x:f>
        <x:v>1.344</x:v>
      </x:c>
      <x:c r="Q41" s="69" t="n">
        <x:f>(('Architectures'!$M$9-H41)*'Assumptions'!$C$21)/'Mission'!$C$17</x:f>
        <x:v>1.25</x:v>
      </x:c>
      <x:c r="R41" s="69" t="n">
        <x:f>(('Architectures'!$N$9-I41)*'Assumptions'!$C$22)/'Mission'!$C$18</x:f>
        <x:v>1.2461538461538462</x:v>
      </x:c>
      <x:c r="S41" s="69" t="n">
        <x:f>(('Architectures'!$O$9-J41)*'Assumptions'!$C$23)/'Mission'!$C$19</x:f>
        <x:v>1.44</x:v>
      </x:c>
      <x:c r="T41" s="53" t="str">
        <x:f>IF(MIN(L41:S41)&gt;=1,"PASS","FAIL")</x:f>
        <x:v>PASS</x:v>
      </x:c>
      <x:c r="U41" s="53" t="n">
        <x:v>1</x:v>
      </x:c>
    </x:row>
    <x:row r="42">
      <x:c r="A42" s="61" t="str">
        <x:v>S3</x:v>
      </x:c>
      <x:c r="B42" s="61" t="str">
        <x:v>F3</x:v>
      </x:c>
      <x:c r="C42" s="62" t="n">
        <x:v>0</x:v>
      </x:c>
      <x:c r="D42" s="62" t="n">
        <x:v>0</x:v>
      </x:c>
      <x:c r="E42" s="62" t="n">
        <x:v>0</x:v>
      </x:c>
      <x:c r="F42" s="62" t="n">
        <x:v>1</x:v>
      </x:c>
      <x:c r="G42" s="62" t="n">
        <x:v>0</x:v>
      </x:c>
      <x:c r="H42" s="62" t="n">
        <x:v>0</x:v>
      </x:c>
      <x:c r="I42" s="62" t="n">
        <x:v>0</x:v>
      </x:c>
      <x:c r="J42" s="62" t="n">
        <x:v>0</x:v>
      </x:c>
      <x:c r="K42" s="62" t="n">
        <x:v>0</x:v>
      </x:c>
      <x:c r="L42" s="64" t="n">
        <x:f>(('Architectures'!$D$9-C42)*'Assumptions'!$C$20)/'Mission'!$C$12</x:f>
        <x:v>1.2207413351261533</x:v>
      </x:c>
      <x:c r="M42" s="64" t="n">
        <x:f>('Mission'!$C$14*IF(K42=1,'Assumptions'!$C$9,'Assumptions'!$C$8)+'Architectures'!$E$9*(('Architectures'!$F$9-D42)/'Architectures'!$F$9)*'Architectures'!$G$9*'Assumptions'!$C$12*'Assumptions'!$C$16)/'Mission'!$C$14</x:f>
        <x:v>1.3719890889578885</x:v>
      </x:c>
      <x:c r="N42" s="64" t="n">
        <x:f>('Architectures'!$H$9*(('Architectures'!$I$9-E42)/'Architectures'!$I$9)*'Architectures'!$J$9*'Assumptions'!$C$15*'Assumptions'!$C$16)/'Mission'!$C$15</x:f>
        <x:v>1.3284182831423244</x:v>
      </x:c>
      <x:c r="O42" s="64" t="n">
        <x:f>(('Architectures'!$K$9-F42)*'Assumptions'!$C$17*'Assumptions'!$C$18)/'Mission'!$C$13</x:f>
        <x:v>1.4913934805663034</x:v>
      </x:c>
      <x:c r="P42" s="64" t="n">
        <x:f>(('Architectures'!$L$9-G42)*'Assumptions'!$C$19)/'Mission'!$C$16</x:f>
        <x:v>1.344</x:v>
      </x:c>
      <x:c r="Q42" s="64" t="n">
        <x:f>(('Architectures'!$M$9-H42)*'Assumptions'!$C$21)/'Mission'!$C$17</x:f>
        <x:v>1.25</x:v>
      </x:c>
      <x:c r="R42" s="64" t="n">
        <x:f>(('Architectures'!$N$9-I42)*'Assumptions'!$C$22)/'Mission'!$C$18</x:f>
        <x:v>1.2461538461538462</x:v>
      </x:c>
      <x:c r="S42" s="64" t="n">
        <x:f>(('Architectures'!$O$9-J42)*'Assumptions'!$C$23)/'Mission'!$C$19</x:f>
        <x:v>1.44</x:v>
      </x:c>
      <x:c r="T42" s="61" t="str">
        <x:f>IF(MIN(L42:S42)&gt;=1,"PASS","FAIL")</x:f>
        <x:v>PASS</x:v>
      </x:c>
      <x:c r="U42" s="61" t="n">
        <x:v>1</x:v>
      </x:c>
    </x:row>
    <x:row r="43">
      <x:c r="A43" s="53" t="str">
        <x:v>S3</x:v>
      </x:c>
      <x:c r="B43" s="53" t="str">
        <x:v>F4</x:v>
      </x:c>
      <x:c r="C43" s="67" t="n">
        <x:v>0</x:v>
      </x:c>
      <x:c r="D43" s="67" t="n">
        <x:v>0</x:v>
      </x:c>
      <x:c r="E43" s="67" t="n">
        <x:v>0</x:v>
      </x:c>
      <x:c r="F43" s="67" t="n">
        <x:v>0</x:v>
      </x:c>
      <x:c r="G43" s="67" t="n">
        <x:v>1</x:v>
      </x:c>
      <x:c r="H43" s="67" t="n">
        <x:v>0</x:v>
      </x:c>
      <x:c r="I43" s="67" t="n">
        <x:v>0</x:v>
      </x:c>
      <x:c r="J43" s="67" t="n">
        <x:v>0</x:v>
      </x:c>
      <x:c r="K43" s="67" t="n">
        <x:v>0</x:v>
      </x:c>
      <x:c r="L43" s="69" t="n">
        <x:f>(('Architectures'!$D$9-C43)*'Assumptions'!$C$20)/'Mission'!$C$12</x:f>
        <x:v>1.2207413351261533</x:v>
      </x:c>
      <x:c r="M43" s="69" t="n">
        <x:f>('Mission'!$C$14*IF(K43=1,'Assumptions'!$C$9,'Assumptions'!$C$8)+'Architectures'!$E$9*(('Architectures'!$F$9-D43)/'Architectures'!$F$9)*'Architectures'!$G$9*'Assumptions'!$C$12*'Assumptions'!$C$16)/'Mission'!$C$14</x:f>
        <x:v>1.3719890889578885</x:v>
      </x:c>
      <x:c r="N43" s="69" t="n">
        <x:f>('Architectures'!$H$9*(('Architectures'!$I$9-E43)/'Architectures'!$I$9)*'Architectures'!$J$9*'Assumptions'!$C$15*'Assumptions'!$C$16)/'Mission'!$C$15</x:f>
        <x:v>1.3284182831423244</x:v>
      </x:c>
      <x:c r="O43" s="69" t="n">
        <x:f>(('Architectures'!$K$9-F43)*'Assumptions'!$C$17*'Assumptions'!$C$18)/'Mission'!$C$13</x:f>
        <x:v>1.789672176679564</x:v>
      </x:c>
      <x:c r="P43" s="69" t="n">
        <x:f>(('Architectures'!$L$9-G43)*'Assumptions'!$C$19)/'Mission'!$C$16</x:f>
        <x:v>1.1520000000000001</x:v>
      </x:c>
      <x:c r="Q43" s="69" t="n">
        <x:f>(('Architectures'!$M$9-H43)*'Assumptions'!$C$21)/'Mission'!$C$17</x:f>
        <x:v>1.25</x:v>
      </x:c>
      <x:c r="R43" s="69" t="n">
        <x:f>(('Architectures'!$N$9-I43)*'Assumptions'!$C$22)/'Mission'!$C$18</x:f>
        <x:v>1.2461538461538462</x:v>
      </x:c>
      <x:c r="S43" s="69" t="n">
        <x:f>(('Architectures'!$O$9-J43)*'Assumptions'!$C$23)/'Mission'!$C$19</x:f>
        <x:v>1.44</x:v>
      </x:c>
      <x:c r="T43" s="53" t="str">
        <x:f>IF(MIN(L43:S43)&gt;=1,"PASS","FAIL")</x:f>
        <x:v>PASS</x:v>
      </x:c>
      <x:c r="U43" s="53" t="n">
        <x:v>1</x:v>
      </x:c>
    </x:row>
    <x:row r="44">
      <x:c r="A44" s="61" t="str">
        <x:v>S3</x:v>
      </x:c>
      <x:c r="B44" s="61" t="str">
        <x:v>F5</x:v>
      </x:c>
      <x:c r="C44" s="62" t="n">
        <x:v>5</x:v>
      </x:c>
      <x:c r="D44" s="62" t="n">
        <x:v>0</x:v>
      </x:c>
      <x:c r="E44" s="62" t="n">
        <x:v>0</x:v>
      </x:c>
      <x:c r="F44" s="62" t="n">
        <x:v>0</x:v>
      </x:c>
      <x:c r="G44" s="62" t="n">
        <x:v>0</x:v>
      </x:c>
      <x:c r="H44" s="62" t="n">
        <x:v>0</x:v>
      </x:c>
      <x:c r="I44" s="62" t="n">
        <x:v>0</x:v>
      </x:c>
      <x:c r="J44" s="62" t="n">
        <x:v>0</x:v>
      </x:c>
      <x:c r="K44" s="62" t="n">
        <x:v>0</x:v>
      </x:c>
      <x:c r="L44" s="64" t="n">
        <x:f>(('Architectures'!$D$9-C44)*'Assumptions'!$C$20)/'Mission'!$C$12</x:f>
        <x:v>1.0463497158224173</x:v>
      </x:c>
      <x:c r="M44" s="64" t="n">
        <x:f>('Mission'!$C$14*IF(K44=1,'Assumptions'!$C$9,'Assumptions'!$C$8)+'Architectures'!$E$9*(('Architectures'!$F$9-D44)/'Architectures'!$F$9)*'Architectures'!$G$9*'Assumptions'!$C$12*'Assumptions'!$C$16)/'Mission'!$C$14</x:f>
        <x:v>1.3719890889578885</x:v>
      </x:c>
      <x:c r="N44" s="64" t="n">
        <x:f>('Architectures'!$H$9*(('Architectures'!$I$9-E44)/'Architectures'!$I$9)*'Architectures'!$J$9*'Assumptions'!$C$15*'Assumptions'!$C$16)/'Mission'!$C$15</x:f>
        <x:v>1.3284182831423244</x:v>
      </x:c>
      <x:c r="O44" s="64" t="n">
        <x:f>(('Architectures'!$K$9-F44)*'Assumptions'!$C$17*'Assumptions'!$C$18)/'Mission'!$C$13</x:f>
        <x:v>1.789672176679564</x:v>
      </x:c>
      <x:c r="P44" s="64" t="n">
        <x:f>(('Architectures'!$L$9-G44)*'Assumptions'!$C$19)/'Mission'!$C$16</x:f>
        <x:v>1.344</x:v>
      </x:c>
      <x:c r="Q44" s="64" t="n">
        <x:f>(('Architectures'!$M$9-H44)*'Assumptions'!$C$21)/'Mission'!$C$17</x:f>
        <x:v>1.25</x:v>
      </x:c>
      <x:c r="R44" s="64" t="n">
        <x:f>(('Architectures'!$N$9-I44)*'Assumptions'!$C$22)/'Mission'!$C$18</x:f>
        <x:v>1.2461538461538462</x:v>
      </x:c>
      <x:c r="S44" s="64" t="n">
        <x:f>(('Architectures'!$O$9-J44)*'Assumptions'!$C$23)/'Mission'!$C$19</x:f>
        <x:v>1.44</x:v>
      </x:c>
      <x:c r="T44" s="61" t="str">
        <x:f>IF(MIN(L44:S44)&gt;=1,"PASS","FAIL")</x:f>
        <x:v>PASS</x:v>
      </x:c>
      <x:c r="U44" s="61" t="n">
        <x:v>1</x:v>
      </x:c>
    </x:row>
    <x:row r="45">
      <x:c r="A45" s="53" t="str">
        <x:v>S3</x:v>
      </x:c>
      <x:c r="B45" s="53" t="str">
        <x:v>F6</x:v>
      </x:c>
      <x:c r="C45" s="67" t="n">
        <x:v>0</x:v>
      </x:c>
      <x:c r="D45" s="67" t="n">
        <x:v>0</x:v>
      </x:c>
      <x:c r="E45" s="67" t="n">
        <x:v>0</x:v>
      </x:c>
      <x:c r="F45" s="67" t="n">
        <x:v>0</x:v>
      </x:c>
      <x:c r="G45" s="67" t="n">
        <x:v>0</x:v>
      </x:c>
      <x:c r="H45" s="67" t="n">
        <x:v>2</x:v>
      </x:c>
      <x:c r="I45" s="67" t="n">
        <x:v>0</x:v>
      </x:c>
      <x:c r="J45" s="67" t="n">
        <x:v>0</x:v>
      </x:c>
      <x:c r="K45" s="67" t="n">
        <x:v>0</x:v>
      </x:c>
      <x:c r="L45" s="69" t="n">
        <x:f>(('Architectures'!$D$9-C45)*'Assumptions'!$C$20)/'Mission'!$C$12</x:f>
        <x:v>1.2207413351261533</x:v>
      </x:c>
      <x:c r="M45" s="69" t="n">
        <x:f>('Mission'!$C$14*IF(K45=1,'Assumptions'!$C$9,'Assumptions'!$C$8)+'Architectures'!$E$9*(('Architectures'!$F$9-D45)/'Architectures'!$F$9)*'Architectures'!$G$9*'Assumptions'!$C$12*'Assumptions'!$C$16)/'Mission'!$C$14</x:f>
        <x:v>1.3719890889578885</x:v>
      </x:c>
      <x:c r="N45" s="69" t="n">
        <x:f>('Architectures'!$H$9*(('Architectures'!$I$9-E45)/'Architectures'!$I$9)*'Architectures'!$J$9*'Assumptions'!$C$15*'Assumptions'!$C$16)/'Mission'!$C$15</x:f>
        <x:v>1.3284182831423244</x:v>
      </x:c>
      <x:c r="O45" s="69" t="n">
        <x:f>(('Architectures'!$K$9-F45)*'Assumptions'!$C$17*'Assumptions'!$C$18)/'Mission'!$C$13</x:f>
        <x:v>1.789672176679564</x:v>
      </x:c>
      <x:c r="P45" s="69" t="n">
        <x:f>(('Architectures'!$L$9-G45)*'Assumptions'!$C$19)/'Mission'!$C$16</x:f>
        <x:v>1.344</x:v>
      </x:c>
      <x:c r="Q45" s="69" t="n">
        <x:f>(('Architectures'!$M$9-H45)*'Assumptions'!$C$21)/'Mission'!$C$17</x:f>
        <x:v>1</x:v>
      </x:c>
      <x:c r="R45" s="69" t="n">
        <x:f>(('Architectures'!$N$9-I45)*'Assumptions'!$C$22)/'Mission'!$C$18</x:f>
        <x:v>1.2461538461538462</x:v>
      </x:c>
      <x:c r="S45" s="69" t="n">
        <x:f>(('Architectures'!$O$9-J45)*'Assumptions'!$C$23)/'Mission'!$C$19</x:f>
        <x:v>1.44</x:v>
      </x:c>
      <x:c r="T45" s="53" t="str">
        <x:f>IF(MIN(L45:S45)&gt;=1,"PASS","FAIL")</x:f>
        <x:v>PASS</x:v>
      </x:c>
      <x:c r="U45" s="53" t="n">
        <x:v>1</x:v>
      </x:c>
    </x:row>
    <x:row r="46">
      <x:c r="A46" s="61" t="str">
        <x:v>S3</x:v>
      </x:c>
      <x:c r="B46" s="61" t="str">
        <x:v>F7</x:v>
      </x:c>
      <x:c r="C46" s="62" t="n">
        <x:v>0</x:v>
      </x:c>
      <x:c r="D46" s="62" t="n">
        <x:v>0</x:v>
      </x:c>
      <x:c r="E46" s="62" t="n">
        <x:v>0</x:v>
      </x:c>
      <x:c r="F46" s="62" t="n">
        <x:v>0</x:v>
      </x:c>
      <x:c r="G46" s="62" t="n">
        <x:v>0</x:v>
      </x:c>
      <x:c r="H46" s="62" t="n">
        <x:v>0</x:v>
      </x:c>
      <x:c r="I46" s="62" t="n">
        <x:v>1</x:v>
      </x:c>
      <x:c r="J46" s="62" t="n">
        <x:v>0</x:v>
      </x:c>
      <x:c r="K46" s="62" t="n">
        <x:v>0</x:v>
      </x:c>
      <x:c r="L46" s="64" t="n">
        <x:f>(('Architectures'!$D$9-C46)*'Assumptions'!$C$20)/'Mission'!$C$12</x:f>
        <x:v>1.2207413351261533</x:v>
      </x:c>
      <x:c r="M46" s="64" t="n">
        <x:f>('Mission'!$C$14*IF(K46=1,'Assumptions'!$C$9,'Assumptions'!$C$8)+'Architectures'!$E$9*(('Architectures'!$F$9-D46)/'Architectures'!$F$9)*'Architectures'!$G$9*'Assumptions'!$C$12*'Assumptions'!$C$16)/'Mission'!$C$14</x:f>
        <x:v>1.3719890889578885</x:v>
      </x:c>
      <x:c r="N46" s="64" t="n">
        <x:f>('Architectures'!$H$9*(('Architectures'!$I$9-E46)/'Architectures'!$I$9)*'Architectures'!$J$9*'Assumptions'!$C$15*'Assumptions'!$C$16)/'Mission'!$C$15</x:f>
        <x:v>1.3284182831423244</x:v>
      </x:c>
      <x:c r="O46" s="64" t="n">
        <x:f>(('Architectures'!$K$9-F46)*'Assumptions'!$C$17*'Assumptions'!$C$18)/'Mission'!$C$13</x:f>
        <x:v>1.789672176679564</x:v>
      </x:c>
      <x:c r="P46" s="64" t="n">
        <x:f>(('Architectures'!$L$9-G46)*'Assumptions'!$C$19)/'Mission'!$C$16</x:f>
        <x:v>1.344</x:v>
      </x:c>
      <x:c r="Q46" s="64" t="n">
        <x:f>(('Architectures'!$M$9-H46)*'Assumptions'!$C$21)/'Mission'!$C$17</x:f>
        <x:v>1.25</x:v>
      </x:c>
      <x:c r="R46" s="64" t="n">
        <x:f>(('Architectures'!$N$9-I46)*'Assumptions'!$C$22)/'Mission'!$C$18</x:f>
        <x:v>1.1076923076923078</x:v>
      </x:c>
      <x:c r="S46" s="64" t="n">
        <x:f>(('Architectures'!$O$9-J46)*'Assumptions'!$C$23)/'Mission'!$C$19</x:f>
        <x:v>1.44</x:v>
      </x:c>
      <x:c r="T46" s="61" t="str">
        <x:f>IF(MIN(L46:S46)&gt;=1,"PASS","FAIL")</x:f>
        <x:v>PASS</x:v>
      </x:c>
      <x:c r="U46" s="61" t="n">
        <x:v>1</x:v>
      </x:c>
    </x:row>
    <x:row r="47">
      <x:c r="A47" s="53" t="str">
        <x:v>S3</x:v>
      </x:c>
      <x:c r="B47" s="53" t="str">
        <x:v>F8</x:v>
      </x:c>
      <x:c r="C47" s="67" t="n">
        <x:v>0</x:v>
      </x:c>
      <x:c r="D47" s="67" t="n">
        <x:v>0</x:v>
      </x:c>
      <x:c r="E47" s="67" t="n">
        <x:v>0</x:v>
      </x:c>
      <x:c r="F47" s="67" t="n">
        <x:v>0</x:v>
      </x:c>
      <x:c r="G47" s="67" t="n">
        <x:v>0</x:v>
      </x:c>
      <x:c r="H47" s="67" t="n">
        <x:v>0</x:v>
      </x:c>
      <x:c r="I47" s="67" t="n">
        <x:v>0</x:v>
      </x:c>
      <x:c r="J47" s="67" t="n">
        <x:v>1</x:v>
      </x:c>
      <x:c r="K47" s="67" t="n">
        <x:v>0</x:v>
      </x:c>
      <x:c r="L47" s="69" t="n">
        <x:f>(('Architectures'!$D$9-C47)*'Assumptions'!$C$20)/'Mission'!$C$12</x:f>
        <x:v>1.2207413351261533</x:v>
      </x:c>
      <x:c r="M47" s="69" t="n">
        <x:f>('Mission'!$C$14*IF(K47=1,'Assumptions'!$C$9,'Assumptions'!$C$8)+'Architectures'!$E$9*(('Architectures'!$F$9-D47)/'Architectures'!$F$9)*'Architectures'!$G$9*'Assumptions'!$C$12*'Assumptions'!$C$16)/'Mission'!$C$14</x:f>
        <x:v>1.3719890889578885</x:v>
      </x:c>
      <x:c r="N47" s="69" t="n">
        <x:f>('Architectures'!$H$9*(('Architectures'!$I$9-E47)/'Architectures'!$I$9)*'Architectures'!$J$9*'Assumptions'!$C$15*'Assumptions'!$C$16)/'Mission'!$C$15</x:f>
        <x:v>1.3284182831423244</x:v>
      </x:c>
      <x:c r="O47" s="69" t="n">
        <x:f>(('Architectures'!$K$9-F47)*'Assumptions'!$C$17*'Assumptions'!$C$18)/'Mission'!$C$13</x:f>
        <x:v>1.789672176679564</x:v>
      </x:c>
      <x:c r="P47" s="69" t="n">
        <x:f>(('Architectures'!$L$9-G47)*'Assumptions'!$C$19)/'Mission'!$C$16</x:f>
        <x:v>1.344</x:v>
      </x:c>
      <x:c r="Q47" s="69" t="n">
        <x:f>(('Architectures'!$M$9-H47)*'Assumptions'!$C$21)/'Mission'!$C$17</x:f>
        <x:v>1.25</x:v>
      </x:c>
      <x:c r="R47" s="69" t="n">
        <x:f>(('Architectures'!$N$9-I47)*'Assumptions'!$C$22)/'Mission'!$C$18</x:f>
        <x:v>1.2461538461538462</x:v>
      </x:c>
      <x:c r="S47" s="69" t="n">
        <x:f>(('Architectures'!$O$9-J47)*'Assumptions'!$C$23)/'Mission'!$C$19</x:f>
        <x:v>1.26</x:v>
      </x:c>
      <x:c r="T47" s="53" t="str">
        <x:f>IF(MIN(L47:S47)&gt;=1,"PASS","FAIL")</x:f>
        <x:v>PASS</x:v>
      </x:c>
      <x:c r="U47" s="53" t="n">
        <x:v>1</x:v>
      </x:c>
    </x:row>
    <x:row r="48">
      <x:c r="A48" s="61" t="str">
        <x:v>S3</x:v>
      </x:c>
      <x:c r="B48" s="61" t="str">
        <x:v>F9</x:v>
      </x:c>
      <x:c r="C48" s="62" t="n">
        <x:v>0</x:v>
      </x:c>
      <x:c r="D48" s="62" t="n">
        <x:v>0</x:v>
      </x:c>
      <x:c r="E48" s="62" t="n">
        <x:v>0</x:v>
      </x:c>
      <x:c r="F48" s="62" t="n">
        <x:v>0</x:v>
      </x:c>
      <x:c r="G48" s="62" t="n">
        <x:v>0</x:v>
      </x:c>
      <x:c r="H48" s="62" t="n">
        <x:v>0</x:v>
      </x:c>
      <x:c r="I48" s="62" t="n">
        <x:v>0</x:v>
      </x:c>
      <x:c r="J48" s="62" t="n">
        <x:v>0</x:v>
      </x:c>
      <x:c r="K48" s="62" t="n">
        <x:v>1</x:v>
      </x:c>
      <x:c r="L48" s="64" t="n">
        <x:f>(('Architectures'!$D$9-C48)*'Assumptions'!$C$20)/'Mission'!$C$12</x:f>
        <x:v>1.2207413351261533</x:v>
      </x:c>
      <x:c r="M48" s="64" t="n">
        <x:f>('Mission'!$C$14*IF(K48=1,'Assumptions'!$C$9,'Assumptions'!$C$8)+'Architectures'!$E$9*(('Architectures'!$F$9-D48)/'Architectures'!$F$9)*'Architectures'!$G$9*'Assumptions'!$C$12*'Assumptions'!$C$16)/'Mission'!$C$14</x:f>
        <x:v>1.0219890889578886</x:v>
      </x:c>
      <x:c r="N48" s="64" t="n">
        <x:f>('Architectures'!$H$9*(('Architectures'!$I$9-E48)/'Architectures'!$I$9)*'Architectures'!$J$9*'Assumptions'!$C$15*'Assumptions'!$C$16)/'Mission'!$C$15</x:f>
        <x:v>1.3284182831423244</x:v>
      </x:c>
      <x:c r="O48" s="64" t="n">
        <x:f>(('Architectures'!$K$9-F48)*'Assumptions'!$C$17*'Assumptions'!$C$18)/'Mission'!$C$13</x:f>
        <x:v>1.789672176679564</x:v>
      </x:c>
      <x:c r="P48" s="64" t="n">
        <x:f>(('Architectures'!$L$9-G48)*'Assumptions'!$C$19)/'Mission'!$C$16</x:f>
        <x:v>1.344</x:v>
      </x:c>
      <x:c r="Q48" s="64" t="n">
        <x:f>(('Architectures'!$M$9-H48)*'Assumptions'!$C$21)/'Mission'!$C$17</x:f>
        <x:v>1.25</x:v>
      </x:c>
      <x:c r="R48" s="64" t="n">
        <x:f>(('Architectures'!$N$9-I48)*'Assumptions'!$C$22)/'Mission'!$C$18</x:f>
        <x:v>1.2461538461538462</x:v>
      </x:c>
      <x:c r="S48" s="64" t="n">
        <x:f>(('Architectures'!$O$9-J48)*'Assumptions'!$C$23)/'Mission'!$C$19</x:f>
        <x:v>1.44</x:v>
      </x:c>
      <x:c r="T48" s="61" t="str">
        <x:f>IF(MIN(L48:S48)&gt;=1,"PASS","FAIL")</x:f>
        <x:v>PASS</x:v>
      </x:c>
      <x:c r="U48" s="61" t="n">
        <x:v>1</x:v>
      </x:c>
    </x:row>
    <x:row r="49">
      <x:c r="A49" s="53" t="str">
        <x:v>S3</x:v>
      </x:c>
      <x:c r="B49" s="53" t="str">
        <x:v>F10</x:v>
      </x:c>
      <x:c r="C49" s="67" t="n">
        <x:v>0</x:v>
      </x:c>
      <x:c r="D49" s="67" t="n">
        <x:v>1</x:v>
      </x:c>
      <x:c r="E49" s="67" t="n">
        <x:v>1</x:v>
      </x:c>
      <x:c r="F49" s="67" t="n">
        <x:v>1</x:v>
      </x:c>
      <x:c r="G49" s="67" t="n">
        <x:v>1</x:v>
      </x:c>
      <x:c r="H49" s="67" t="n">
        <x:v>0</x:v>
      </x:c>
      <x:c r="I49" s="67" t="n">
        <x:v>0</x:v>
      </x:c>
      <x:c r="J49" s="67" t="n">
        <x:v>0</x:v>
      </x:c>
      <x:c r="K49" s="67" t="n">
        <x:v>1</x:v>
      </x:c>
      <x:c r="L49" s="69" t="n">
        <x:f>(('Architectures'!$D$9-C49)*'Assumptions'!$C$20)/'Mission'!$C$12</x:f>
        <x:v>1.2207413351261533</x:v>
      </x:c>
      <x:c r="M49" s="69" t="n">
        <x:f>('Mission'!$C$14*IF(K49=1,'Assumptions'!$C$9,'Assumptions'!$C$8)+'Architectures'!$E$9*(('Architectures'!$F$9-D49)/'Architectures'!$F$9)*'Architectures'!$G$9*'Assumptions'!$C$12*'Assumptions'!$C$16)/'Mission'!$C$14</x:f>
        <x:v>0.8766575741315739</x:v>
      </x:c>
      <x:c r="N49" s="69" t="n">
        <x:f>('Architectures'!$H$9*(('Architectures'!$I$9-E49)/'Architectures'!$I$9)*'Architectures'!$J$9*'Assumptions'!$C$15*'Assumptions'!$C$16)/'Mission'!$C$15</x:f>
        <x:v>1.0627346265138595</x:v>
      </x:c>
      <x:c r="O49" s="69" t="n">
        <x:f>(('Architectures'!$K$9-F49)*'Assumptions'!$C$17*'Assumptions'!$C$18)/'Mission'!$C$13</x:f>
        <x:v>1.4913934805663034</x:v>
      </x:c>
      <x:c r="P49" s="69" t="n">
        <x:f>(('Architectures'!$L$9-G49)*'Assumptions'!$C$19)/'Mission'!$C$16</x:f>
        <x:v>1.1520000000000001</x:v>
      </x:c>
      <x:c r="Q49" s="69" t="n">
        <x:f>(('Architectures'!$M$9-H49)*'Assumptions'!$C$21)/'Mission'!$C$17</x:f>
        <x:v>1.25</x:v>
      </x:c>
      <x:c r="R49" s="69" t="n">
        <x:f>(('Architectures'!$N$9-I49)*'Assumptions'!$C$22)/'Mission'!$C$18</x:f>
        <x:v>1.2461538461538462</x:v>
      </x:c>
      <x:c r="S49" s="69" t="n">
        <x:f>(('Architectures'!$O$9-J49)*'Assumptions'!$C$23)/'Mission'!$C$19</x:f>
        <x:v>1.44</x:v>
      </x:c>
      <x:c r="T49" s="53" t="str">
        <x:f>IF(MIN(L49:S49)&gt;=1,"PASS","FAIL")</x:f>
        <x:v>FAIL</x:v>
      </x:c>
      <x:c r="U49" s="53" t="n">
        <x:v>0</x:v>
      </x:c>
    </x:row>
  </x:sheetData>
  <x:mergeCells>
    <x:mergeCell ref="A1:U1"/>
    <x:mergeCell ref="A2:U2"/>
  </x:mergeCells>
  <x:conditionalFormatting sqref="T6:T49">
    <x:cfRule type="containsText" dxfId="4" priority="1" operator="containsText" text="FAIL"/>
    <x:cfRule type="containsText" dxfId="5" priority="2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8.890000343322754" hidden="0" customWidth="1"/>
    <x:col min="3" max="3" width="6.110000133514404" hidden="0" customWidth="1"/>
    <x:col min="4" max="4" width="10.5600004196167" hidden="0" customWidth="1"/>
    <x:col min="5" max="5" width="12.779999732971191" hidden="0" customWidth="1"/>
    <x:col min="6" max="6" width="11.109999656677246" hidden="0" customWidth="1"/>
    <x:col min="7" max="7" width="8.890000343322754" hidden="0" customWidth="1"/>
    <x:col min="8" max="8" width="11.670000076293945" hidden="0" customWidth="1"/>
    <x:col min="9" max="9" width="10" hidden="0" customWidth="1"/>
    <x:col min="10" max="10" width="10" hidden="0" customWidth="1"/>
    <x:col min="11" max="11" width="8.329999923706055" hidden="0" customWidth="1"/>
    <x:col min="12" max="12" width="2" hidden="0" customWidth="1"/>
    <x:col min="13" max="13" width="8.890000343322754" hidden="0" customWidth="1"/>
    <x:col min="14" max="14" width="8.890000343322754" hidden="0" customWidth="1"/>
    <x:col min="15" max="15" width="8.890000343322754" hidden="0" customWidth="1"/>
    <x:col min="16" max="16" width="8.890000343322754" hidden="0" customWidth="1"/>
    <x:col min="17" max="17" width="8.890000343322754" hidden="0" customWidth="1"/>
    <x:col min="18" max="18" width="8.890000343322754" hidden="0" customWidth="1"/>
    <x:col min="19" max="19" width="8.890000343322754" hidden="0" customWidth="1"/>
    <x:col min="20" max="20" width="8.890000343322754" hidden="0" customWidth="1"/>
    <x:col min="21" max="21" width="8.890000343322754" hidden="0" customWidth="1"/>
  </x:cols>
  <x:sheetData>
    <x:row r="1">
      <x:c r="A1" s="74" t="str">
        <x:v>Service clock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>
      <x:c r="A2" s="75" t="str">
        <x:v>Generated six-hour observations compare A2 base, A2 isolated, S3 isolated, and S3 compound operation.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</x:row>
    <x:row r="5">
      <x:c r="A5" s="15" t="str">
        <x:v>Architecture</x:v>
      </x:c>
      <x:c r="B5" s="16" t="str">
        <x:v>Mode</x:v>
      </x:c>
      <x:c r="C5" s="16" t="str">
        <x:v>Hour</x:v>
      </x:c>
      <x:c r="D5" s="16" t="str">
        <x:v>Local people</x:v>
      </x:c>
      <x:c r="E5" s="16" t="str">
        <x:v>Households verified</x:v>
      </x:c>
      <x:c r="F5" s="16" t="str">
        <x:v>Vertical complete</x:v>
      </x:c>
      <x:c r="G5" s="16" t="str">
        <x:v>Route share</x:v>
      </x:c>
      <x:c r="H5" s="16" t="str">
        <x:v>Eligible movement</x:v>
      </x:c>
      <x:c r="I5" s="16" t="str">
        <x:v>Collected</x:v>
      </x:c>
      <x:c r="J5" s="16" t="str">
        <x:v>Admitted</x:v>
      </x:c>
      <x:c r="K5" s="17" t="str">
        <x:v>Closure</x:v>
      </x:c>
    </x:row>
    <x:row r="6">
      <x:c r="A6" s="61" t="str">
        <x:v>A2</x:v>
      </x:c>
      <x:c r="B6" s="61" t="str">
        <x:v>base</x:v>
      </x:c>
      <x:c r="C6" s="62" t="n">
        <x:v>0</x:v>
      </x:c>
      <x:c r="D6" s="65" t="n">
        <x:v>0</x:v>
      </x:c>
      <x:c r="E6" s="65" t="n">
        <x:v>7134.034219894263</x:v>
      </x:c>
      <x:c r="F6" s="65" t="n">
        <x:v>0</x:v>
      </x:c>
      <x:c r="G6" s="64" t="n">
        <x:v>0</x:v>
      </x:c>
      <x:c r="H6" s="65" t="n">
        <x:v>0</x:v>
      </x:c>
      <x:c r="I6" s="65" t="n">
        <x:v>0</x:v>
      </x:c>
      <x:c r="J6" s="65" t="n">
        <x:v>0</x:v>
      </x:c>
      <x:c r="K6" s="64" t="n">
        <x:v>0</x:v>
      </x:c>
    </x:row>
    <x:row r="7">
      <x:c r="A7" s="53" t="str">
        <x:v>A2</x:v>
      </x:c>
      <x:c r="B7" s="53" t="str">
        <x:v>base</x:v>
      </x:c>
      <x:c r="C7" s="67" t="n">
        <x:v>6</x:v>
      </x:c>
      <x:c r="D7" s="70" t="n">
        <x:v>5666.666666666666</x:v>
      </x:c>
      <x:c r="E7" s="70" t="n">
        <x:v>8670.034219894264</x:v>
      </x:c>
      <x:c r="F7" s="70" t="n">
        <x:v>160</x:v>
      </x:c>
      <x:c r="G7" s="69" t="n">
        <x:v>0.168</x:v>
      </x:c>
      <x:c r="H7" s="70" t="n">
        <x:v>641.6765226711844</x:v>
      </x:c>
      <x:c r="I7" s="70" t="n">
        <x:v>641.6765226711844</x:v>
      </x:c>
      <x:c r="J7" s="70" t="n">
        <x:v>0</x:v>
      </x:c>
      <x:c r="K7" s="69" t="n">
        <x:v>0.16210499548895546</x:v>
      </x:c>
    </x:row>
    <x:row r="8">
      <x:c r="A8" s="61" t="str">
        <x:v>A2</x:v>
      </x:c>
      <x:c r="B8" s="61" t="str">
        <x:v>base</x:v>
      </x:c>
      <x:c r="C8" s="62" t="n">
        <x:v>12</x:v>
      </x:c>
      <x:c r="D8" s="65" t="n">
        <x:v>11333.333333333332</x:v>
      </x:c>
      <x:c r="E8" s="65" t="n">
        <x:v>10206.034219894264</x:v>
      </x:c>
      <x:c r="F8" s="65" t="n">
        <x:v>320</x:v>
      </x:c>
      <x:c r="G8" s="64" t="n">
        <x:v>0.336</x:v>
      </x:c>
      <x:c r="H8" s="65" t="n">
        <x:v>1510.714348383445</x:v>
      </x:c>
      <x:c r="I8" s="65" t="n">
        <x:v>1510.714348383445</x:v>
      </x:c>
      <x:c r="J8" s="65" t="n">
        <x:v>1041.6</x:v>
      </x:c>
      <x:c r="K8" s="64" t="n">
        <x:v>0.35400679626637493</x:v>
      </x:c>
    </x:row>
    <x:row r="9">
      <x:c r="A9" s="53" t="str">
        <x:v>A2</x:v>
      </x:c>
      <x:c r="B9" s="53" t="str">
        <x:v>base</x:v>
      </x:c>
      <x:c r="C9" s="67" t="n">
        <x:v>18</x:v>
      </x:c>
      <x:c r="D9" s="70" t="n">
        <x:v>17000</x:v>
      </x:c>
      <x:c r="E9" s="70" t="n">
        <x:v>11742.034219894264</x:v>
      </x:c>
      <x:c r="F9" s="70" t="n">
        <x:v>480</x:v>
      </x:c>
      <x:c r="G9" s="69" t="n">
        <x:v>0.504</x:v>
      </x:c>
      <x:c r="H9" s="70" t="n">
        <x:v>2607.1134771367815</x:v>
      </x:c>
      <x:c r="I9" s="70" t="n">
        <x:v>2607.1134771367815</x:v>
      </x:c>
      <x:c r="J9" s="70" t="n">
        <x:v>2083.2</x:v>
      </x:c>
      <x:c r="K9" s="69" t="n">
        <x:v>0.5459085970437945</x:v>
      </x:c>
    </x:row>
    <x:row r="10">
      <x:c r="A10" s="61" t="str">
        <x:v>A2</x:v>
      </x:c>
      <x:c r="B10" s="61" t="str">
        <x:v>base</x:v>
      </x:c>
      <x:c r="C10" s="62" t="n">
        <x:v>24</x:v>
      </x:c>
      <x:c r="D10" s="65" t="n">
        <x:v>22666.666666666664</x:v>
      </x:c>
      <x:c r="E10" s="65" t="n">
        <x:v>13278.034219894264</x:v>
      </x:c>
      <x:c r="F10" s="65" t="n">
        <x:v>640</x:v>
      </x:c>
      <x:c r="G10" s="64" t="n">
        <x:v>0.672</x:v>
      </x:c>
      <x:c r="H10" s="65" t="n">
        <x:v>3738.8655592924338</x:v>
      </x:c>
      <x:c r="I10" s="65" t="n">
        <x:v>3124.7999999999997</x:v>
      </x:c>
      <x:c r="J10" s="65" t="n">
        <x:v>3124.7999999999997</x:v>
      </x:c>
      <x:c r="K10" s="64" t="n">
        <x:v>0.7378103978212138</x:v>
      </x:c>
    </x:row>
    <x:row r="11">
      <x:c r="A11" s="53" t="str">
        <x:v>A2</x:v>
      </x:c>
      <x:c r="B11" s="53" t="str">
        <x:v>base</x:v>
      </x:c>
      <x:c r="C11" s="67" t="n">
        <x:v>30</x:v>
      </x:c>
      <x:c r="D11" s="70" t="n">
        <x:v>28333.333333333336</x:v>
      </x:c>
      <x:c r="E11" s="70" t="n">
        <x:v>14268.068439788525</x:v>
      </x:c>
      <x:c r="F11" s="70" t="n">
        <x:v>800</x:v>
      </x:c>
      <x:c r="G11" s="69" t="n">
        <x:v>0.84</x:v>
      </x:c>
      <x:c r="H11" s="70" t="n">
        <x:v>4785.985694093134</x:v>
      </x:c>
      <x:c r="I11" s="70" t="n">
        <x:v>4166.4</x:v>
      </x:c>
      <x:c r="J11" s="70" t="n">
        <x:v>3124.7999999999997</x:v>
      </x:c>
      <x:c r="K11" s="69" t="n">
        <x:v>0.8999153933101695</x:v>
      </x:c>
    </x:row>
    <x:row r="12">
      <x:c r="A12" s="61" t="str">
        <x:v>A2</x:v>
      </x:c>
      <x:c r="B12" s="61" t="str">
        <x:v>base</x:v>
      </x:c>
      <x:c r="C12" s="62" t="n">
        <x:v>36</x:v>
      </x:c>
      <x:c r="D12" s="65" t="n">
        <x:v>28671.1025447361</x:v>
      </x:c>
      <x:c r="E12" s="65" t="n">
        <x:v>14268.068439788525</x:v>
      </x:c>
      <x:c r="F12" s="65" t="n">
        <x:v>960</x:v>
      </x:c>
      <x:c r="G12" s="64" t="n">
        <x:v>1</x:v>
      </x:c>
      <x:c r="H12" s="65" t="n">
        <x:v>5831.415998893722</x:v>
      </x:c>
      <x:c r="I12" s="65" t="n">
        <x:v>5208</x:v>
      </x:c>
      <x:c r="J12" s="65" t="n">
        <x:v>4166.4</x:v>
      </x:c>
      <x:c r="K12" s="64" t="n">
        <x:v>0.9393746826852369</x:v>
      </x:c>
    </x:row>
    <x:row r="13">
      <x:c r="A13" s="53" t="str">
        <x:v>A2</x:v>
      </x:c>
      <x:c r="B13" s="53" t="str">
        <x:v>base</x:v>
      </x:c>
      <x:c r="C13" s="67" t="n">
        <x:v>42</x:v>
      </x:c>
      <x:c r="D13" s="70" t="n">
        <x:v>28671.1025447361</x:v>
      </x:c>
      <x:c r="E13" s="70" t="n">
        <x:v>14268.068439788525</x:v>
      </x:c>
      <x:c r="F13" s="70" t="n">
        <x:v>1120</x:v>
      </x:c>
      <x:c r="G13" s="69" t="n">
        <x:v>1</x:v>
      </x:c>
      <x:c r="H13" s="70" t="n">
        <x:v>5965.229981009904</x:v>
      </x:c>
      <x:c r="I13" s="70" t="n">
        <x:v>5965.229981009904</x:v>
      </x:c>
      <x:c r="J13" s="70" t="n">
        <x:v>5208</x:v>
      </x:c>
      <x:c r="K13" s="69" t="n">
        <x:v>0.9691714879737011</x:v>
      </x:c>
    </x:row>
    <x:row r="14">
      <x:c r="A14" s="61" t="str">
        <x:v>A2</x:v>
      </x:c>
      <x:c r="B14" s="61" t="str">
        <x:v>base</x:v>
      </x:c>
      <x:c r="C14" s="62" t="n">
        <x:v>48</x:v>
      </x:c>
      <x:c r="D14" s="65" t="n">
        <x:v>28671.1025447361</x:v>
      </x:c>
      <x:c r="E14" s="65" t="n">
        <x:v>14268.068439788525</x:v>
      </x:c>
      <x:c r="F14" s="65" t="n">
        <x:v>1280</x:v>
      </x:c>
      <x:c r="G14" s="64" t="n">
        <x:v>1</x:v>
      </x:c>
      <x:c r="H14" s="65" t="n">
        <x:v>6099.043963126085</x:v>
      </x:c>
      <x:c r="I14" s="65" t="n">
        <x:v>6099.043963126085</x:v>
      </x:c>
      <x:c r="J14" s="65" t="n">
        <x:v>6099.043963126085</x:v>
      </x:c>
      <x:c r="K14" s="64" t="n">
        <x:v>0.9946613722601154</x:v>
      </x:c>
    </x:row>
    <x:row r="15">
      <x:c r="A15" s="53" t="str">
        <x:v>A2</x:v>
      </x:c>
      <x:c r="B15" s="53" t="str">
        <x:v>base</x:v>
      </x:c>
      <x:c r="C15" s="67" t="n">
        <x:v>54</x:v>
      </x:c>
      <x:c r="D15" s="70" t="n">
        <x:v>28671.1025447361</x:v>
      </x:c>
      <x:c r="E15" s="70" t="n">
        <x:v>14268.068439788525</x:v>
      </x:c>
      <x:c r="F15" s="70" t="n">
        <x:v>1440</x:v>
      </x:c>
      <x:c r="G15" s="69" t="n">
        <x:v>1</x:v>
      </x:c>
      <x:c r="H15" s="70" t="n">
        <x:v>6232.857945242267</x:v>
      </x:c>
      <x:c r="I15" s="70" t="n">
        <x:v>6232.857945242267</x:v>
      </x:c>
      <x:c r="J15" s="70" t="n">
        <x:v>6232.857945242267</x:v>
      </x:c>
      <x:c r="K15" s="69" t="n">
        <x:v>0.9984893572543453</x:v>
      </x:c>
    </x:row>
    <x:row r="16">
      <x:c r="A16" s="61" t="str">
        <x:v>A2</x:v>
      </x:c>
      <x:c r="B16" s="61" t="str">
        <x:v>base</x:v>
      </x:c>
      <x:c r="C16" s="62" t="n">
        <x:v>60</x:v>
      </x:c>
      <x:c r="D16" s="65" t="n">
        <x:v>28671.1025447361</x:v>
      </x:c>
      <x:c r="E16" s="65" t="n">
        <x:v>14268.068439788525</x:v>
      </x:c>
      <x:c r="F16" s="65" t="n">
        <x:v>1503.1410101317213</x:v>
      </x:c>
      <x:c r="G16" s="64" t="n">
        <x:v>1</x:v>
      </x:c>
      <x:c r="H16" s="65" t="n">
        <x:v>6285.66513274579</x:v>
      </x:c>
      <x:c r="I16" s="65" t="n">
        <x:v>6285.66513274579</x:v>
      </x:c>
      <x:c r="J16" s="65" t="n">
        <x:v>6285.66513274579</x:v>
      </x:c>
      <x:c r="K16" s="64" t="n">
        <x:v>1</x:v>
      </x:c>
    </x:row>
    <x:row r="17">
      <x:c r="A17" s="53" t="str">
        <x:v>A2</x:v>
      </x:c>
      <x:c r="B17" s="53" t="str">
        <x:v>base</x:v>
      </x:c>
      <x:c r="C17" s="67" t="n">
        <x:v>66</x:v>
      </x:c>
      <x:c r="D17" s="70" t="n">
        <x:v>28671.1025447361</x:v>
      </x:c>
      <x:c r="E17" s="70" t="n">
        <x:v>14268.068439788525</x:v>
      </x:c>
      <x:c r="F17" s="70" t="n">
        <x:v>1503.1410101317213</x:v>
      </x:c>
      <x:c r="G17" s="69" t="n">
        <x:v>1</x:v>
      </x:c>
      <x:c r="H17" s="70" t="n">
        <x:v>6285.66513274579</x:v>
      </x:c>
      <x:c r="I17" s="70" t="n">
        <x:v>6285.66513274579</x:v>
      </x:c>
      <x:c r="J17" s="70" t="n">
        <x:v>6285.66513274579</x:v>
      </x:c>
      <x:c r="K17" s="69" t="n">
        <x:v>1</x:v>
      </x:c>
    </x:row>
    <x:row r="18">
      <x:c r="A18" s="61" t="str">
        <x:v>A2</x:v>
      </x:c>
      <x:c r="B18" s="61" t="str">
        <x:v>base</x:v>
      </x:c>
      <x:c r="C18" s="62" t="n">
        <x:v>72</x:v>
      </x:c>
      <x:c r="D18" s="65" t="n">
        <x:v>28671.1025447361</x:v>
      </x:c>
      <x:c r="E18" s="65" t="n">
        <x:v>14268.068439788525</x:v>
      </x:c>
      <x:c r="F18" s="65" t="n">
        <x:v>1503.1410101317213</x:v>
      </x:c>
      <x:c r="G18" s="64" t="n">
        <x:v>1</x:v>
      </x:c>
      <x:c r="H18" s="65" t="n">
        <x:v>6285.66513274579</x:v>
      </x:c>
      <x:c r="I18" s="65" t="n">
        <x:v>6285.66513274579</x:v>
      </x:c>
      <x:c r="J18" s="65" t="n">
        <x:v>6285.66513274579</x:v>
      </x:c>
      <x:c r="K18" s="64" t="n">
        <x:v>1</x:v>
      </x:c>
    </x:row>
    <x:row r="19">
      <x:c r="A19" s="53" t="str">
        <x:v>A2</x:v>
      </x:c>
      <x:c r="B19" s="53" t="str">
        <x:v>base</x:v>
      </x:c>
      <x:c r="C19" s="67" t="n">
        <x:v>78</x:v>
      </x:c>
      <x:c r="D19" s="70" t="n">
        <x:v>28671.1025447361</x:v>
      </x:c>
      <x:c r="E19" s="70" t="n">
        <x:v>14268.068439788525</x:v>
      </x:c>
      <x:c r="F19" s="70" t="n">
        <x:v>1503.1410101317213</x:v>
      </x:c>
      <x:c r="G19" s="69" t="n">
        <x:v>1</x:v>
      </x:c>
      <x:c r="H19" s="70" t="n">
        <x:v>6285.66513274579</x:v>
      </x:c>
      <x:c r="I19" s="70" t="n">
        <x:v>6285.66513274579</x:v>
      </x:c>
      <x:c r="J19" s="70" t="n">
        <x:v>6285.66513274579</x:v>
      </x:c>
      <x:c r="K19" s="69" t="n">
        <x:v>1</x:v>
      </x:c>
    </x:row>
    <x:row r="20">
      <x:c r="A20" s="61" t="str">
        <x:v>A2</x:v>
      </x:c>
      <x:c r="B20" s="61" t="str">
        <x:v>base</x:v>
      </x:c>
      <x:c r="C20" s="62" t="n">
        <x:v>84</x:v>
      </x:c>
      <x:c r="D20" s="65" t="n">
        <x:v>28671.1025447361</x:v>
      </x:c>
      <x:c r="E20" s="65" t="n">
        <x:v>14268.068439788525</x:v>
      </x:c>
      <x:c r="F20" s="65" t="n">
        <x:v>1503.1410101317213</x:v>
      </x:c>
      <x:c r="G20" s="64" t="n">
        <x:v>1</x:v>
      </x:c>
      <x:c r="H20" s="65" t="n">
        <x:v>6285.66513274579</x:v>
      </x:c>
      <x:c r="I20" s="65" t="n">
        <x:v>6285.66513274579</x:v>
      </x:c>
      <x:c r="J20" s="65" t="n">
        <x:v>6285.66513274579</x:v>
      </x:c>
      <x:c r="K20" s="64" t="n">
        <x:v>1</x:v>
      </x:c>
    </x:row>
    <x:row r="21">
      <x:c r="A21" s="53" t="str">
        <x:v>A2</x:v>
      </x:c>
      <x:c r="B21" s="53" t="str">
        <x:v>base</x:v>
      </x:c>
      <x:c r="C21" s="67" t="n">
        <x:v>90</x:v>
      </x:c>
      <x:c r="D21" s="70" t="n">
        <x:v>28671.1025447361</x:v>
      </x:c>
      <x:c r="E21" s="70" t="n">
        <x:v>14268.068439788525</x:v>
      </x:c>
      <x:c r="F21" s="70" t="n">
        <x:v>1503.1410101317213</x:v>
      </x:c>
      <x:c r="G21" s="69" t="n">
        <x:v>1</x:v>
      </x:c>
      <x:c r="H21" s="70" t="n">
        <x:v>6285.66513274579</x:v>
      </x:c>
      <x:c r="I21" s="70" t="n">
        <x:v>6285.66513274579</x:v>
      </x:c>
      <x:c r="J21" s="70" t="n">
        <x:v>6285.66513274579</x:v>
      </x:c>
      <x:c r="K21" s="69" t="n">
        <x:v>1</x:v>
      </x:c>
    </x:row>
    <x:row r="22">
      <x:c r="A22" s="61" t="str">
        <x:v>A2</x:v>
      </x:c>
      <x:c r="B22" s="61" t="str">
        <x:v>base</x:v>
      </x:c>
      <x:c r="C22" s="62" t="n">
        <x:v>96</x:v>
      </x:c>
      <x:c r="D22" s="65" t="n">
        <x:v>28671.1025447361</x:v>
      </x:c>
      <x:c r="E22" s="65" t="n">
        <x:v>14268.068439788525</x:v>
      </x:c>
      <x:c r="F22" s="65" t="n">
        <x:v>1503.1410101317213</x:v>
      </x:c>
      <x:c r="G22" s="64" t="n">
        <x:v>1</x:v>
      </x:c>
      <x:c r="H22" s="65" t="n">
        <x:v>6285.66513274579</x:v>
      </x:c>
      <x:c r="I22" s="65" t="n">
        <x:v>6285.66513274579</x:v>
      </x:c>
      <x:c r="J22" s="65" t="n">
        <x:v>6285.66513274579</x:v>
      </x:c>
      <x:c r="K22" s="64" t="n">
        <x:v>1</x:v>
      </x:c>
    </x:row>
    <x:row r="23">
      <x:c r="A23" s="53" t="str">
        <x:v>A2</x:v>
      </x:c>
      <x:c r="B23" s="53" t="str">
        <x:v>base</x:v>
      </x:c>
      <x:c r="C23" s="67" t="n">
        <x:v>102</x:v>
      </x:c>
      <x:c r="D23" s="70" t="n">
        <x:v>28671.1025447361</x:v>
      </x:c>
      <x:c r="E23" s="70" t="n">
        <x:v>14268.068439788525</x:v>
      </x:c>
      <x:c r="F23" s="70" t="n">
        <x:v>1503.1410101317213</x:v>
      </x:c>
      <x:c r="G23" s="69" t="n">
        <x:v>1</x:v>
      </x:c>
      <x:c r="H23" s="70" t="n">
        <x:v>6285.66513274579</x:v>
      </x:c>
      <x:c r="I23" s="70" t="n">
        <x:v>6285.66513274579</x:v>
      </x:c>
      <x:c r="J23" s="70" t="n">
        <x:v>6285.66513274579</x:v>
      </x:c>
      <x:c r="K23" s="69" t="n">
        <x:v>1</x:v>
      </x:c>
    </x:row>
    <x:row r="24">
      <x:c r="A24" s="61" t="str">
        <x:v>A2</x:v>
      </x:c>
      <x:c r="B24" s="61" t="str">
        <x:v>base</x:v>
      </x:c>
      <x:c r="C24" s="62" t="n">
        <x:v>108</x:v>
      </x:c>
      <x:c r="D24" s="65" t="n">
        <x:v>28671.1025447361</x:v>
      </x:c>
      <x:c r="E24" s="65" t="n">
        <x:v>14268.068439788525</x:v>
      </x:c>
      <x:c r="F24" s="65" t="n">
        <x:v>1503.1410101317213</x:v>
      </x:c>
      <x:c r="G24" s="64" t="n">
        <x:v>1</x:v>
      </x:c>
      <x:c r="H24" s="65" t="n">
        <x:v>6285.66513274579</x:v>
      </x:c>
      <x:c r="I24" s="65" t="n">
        <x:v>6285.66513274579</x:v>
      </x:c>
      <x:c r="J24" s="65" t="n">
        <x:v>6285.66513274579</x:v>
      </x:c>
      <x:c r="K24" s="64" t="n">
        <x:v>1</x:v>
      </x:c>
    </x:row>
    <x:row r="25">
      <x:c r="A25" s="53" t="str">
        <x:v>A2</x:v>
      </x:c>
      <x:c r="B25" s="53" t="str">
        <x:v>base</x:v>
      </x:c>
      <x:c r="C25" s="67" t="n">
        <x:v>114</x:v>
      </x:c>
      <x:c r="D25" s="70" t="n">
        <x:v>28671.1025447361</x:v>
      </x:c>
      <x:c r="E25" s="70" t="n">
        <x:v>14268.068439788525</x:v>
      </x:c>
      <x:c r="F25" s="70" t="n">
        <x:v>1503.1410101317213</x:v>
      </x:c>
      <x:c r="G25" s="69" t="n">
        <x:v>1</x:v>
      </x:c>
      <x:c r="H25" s="70" t="n">
        <x:v>6285.66513274579</x:v>
      </x:c>
      <x:c r="I25" s="70" t="n">
        <x:v>6285.66513274579</x:v>
      </x:c>
      <x:c r="J25" s="70" t="n">
        <x:v>6285.66513274579</x:v>
      </x:c>
      <x:c r="K25" s="69" t="n">
        <x:v>1</x:v>
      </x:c>
    </x:row>
    <x:row r="26">
      <x:c r="A26" s="61" t="str">
        <x:v>A2</x:v>
      </x:c>
      <x:c r="B26" s="61" t="str">
        <x:v>base</x:v>
      </x:c>
      <x:c r="C26" s="62" t="n">
        <x:v>120</x:v>
      </x:c>
      <x:c r="D26" s="65" t="n">
        <x:v>28671.1025447361</x:v>
      </x:c>
      <x:c r="E26" s="65" t="n">
        <x:v>14268.068439788525</x:v>
      </x:c>
      <x:c r="F26" s="65" t="n">
        <x:v>1503.1410101317213</x:v>
      </x:c>
      <x:c r="G26" s="64" t="n">
        <x:v>1</x:v>
      </x:c>
      <x:c r="H26" s="65" t="n">
        <x:v>6285.66513274579</x:v>
      </x:c>
      <x:c r="I26" s="65" t="n">
        <x:v>6285.66513274579</x:v>
      </x:c>
      <x:c r="J26" s="65" t="n">
        <x:v>6285.66513274579</x:v>
      </x:c>
      <x:c r="K26" s="64" t="n">
        <x:v>1</x:v>
      </x:c>
    </x:row>
    <x:row r="27">
      <x:c r="A27" s="53" t="str">
        <x:v>A2</x:v>
      </x:c>
      <x:c r="B27" s="53" t="str">
        <x:v>base</x:v>
      </x:c>
      <x:c r="C27" s="67" t="n">
        <x:v>126</x:v>
      </x:c>
      <x:c r="D27" s="70" t="n">
        <x:v>28671.1025447361</x:v>
      </x:c>
      <x:c r="E27" s="70" t="n">
        <x:v>14268.068439788525</x:v>
      </x:c>
      <x:c r="F27" s="70" t="n">
        <x:v>1503.1410101317213</x:v>
      </x:c>
      <x:c r="G27" s="69" t="n">
        <x:v>1</x:v>
      </x:c>
      <x:c r="H27" s="70" t="n">
        <x:v>6285.66513274579</x:v>
      </x:c>
      <x:c r="I27" s="70" t="n">
        <x:v>6285.66513274579</x:v>
      </x:c>
      <x:c r="J27" s="70" t="n">
        <x:v>6285.66513274579</x:v>
      </x:c>
      <x:c r="K27" s="69" t="n">
        <x:v>1</x:v>
      </x:c>
    </x:row>
    <x:row r="28">
      <x:c r="A28" s="61" t="str">
        <x:v>A2</x:v>
      </x:c>
      <x:c r="B28" s="61" t="str">
        <x:v>base</x:v>
      </x:c>
      <x:c r="C28" s="62" t="n">
        <x:v>132</x:v>
      </x:c>
      <x:c r="D28" s="65" t="n">
        <x:v>28671.1025447361</x:v>
      </x:c>
      <x:c r="E28" s="65" t="n">
        <x:v>14268.068439788525</x:v>
      </x:c>
      <x:c r="F28" s="65" t="n">
        <x:v>1503.1410101317213</x:v>
      </x:c>
      <x:c r="G28" s="64" t="n">
        <x:v>1</x:v>
      </x:c>
      <x:c r="H28" s="65" t="n">
        <x:v>6285.66513274579</x:v>
      </x:c>
      <x:c r="I28" s="65" t="n">
        <x:v>6285.66513274579</x:v>
      </x:c>
      <x:c r="J28" s="65" t="n">
        <x:v>6285.66513274579</x:v>
      </x:c>
      <x:c r="K28" s="64" t="n">
        <x:v>1</x:v>
      </x:c>
    </x:row>
    <x:row r="29">
      <x:c r="A29" s="53" t="str">
        <x:v>A2</x:v>
      </x:c>
      <x:c r="B29" s="53" t="str">
        <x:v>base</x:v>
      </x:c>
      <x:c r="C29" s="67" t="n">
        <x:v>138</x:v>
      </x:c>
      <x:c r="D29" s="70" t="n">
        <x:v>28671.1025447361</x:v>
      </x:c>
      <x:c r="E29" s="70" t="n">
        <x:v>14268.068439788525</x:v>
      </x:c>
      <x:c r="F29" s="70" t="n">
        <x:v>1503.1410101317213</x:v>
      </x:c>
      <x:c r="G29" s="69" t="n">
        <x:v>1</x:v>
      </x:c>
      <x:c r="H29" s="70" t="n">
        <x:v>6285.66513274579</x:v>
      </x:c>
      <x:c r="I29" s="70" t="n">
        <x:v>6285.66513274579</x:v>
      </x:c>
      <x:c r="J29" s="70" t="n">
        <x:v>6285.66513274579</x:v>
      </x:c>
      <x:c r="K29" s="69" t="n">
        <x:v>1</x:v>
      </x:c>
    </x:row>
    <x:row r="30">
      <x:c r="A30" s="61" t="str">
        <x:v>A2</x:v>
      </x:c>
      <x:c r="B30" s="61" t="str">
        <x:v>base</x:v>
      </x:c>
      <x:c r="C30" s="62" t="n">
        <x:v>144</x:v>
      </x:c>
      <x:c r="D30" s="65" t="n">
        <x:v>28671.1025447361</x:v>
      </x:c>
      <x:c r="E30" s="65" t="n">
        <x:v>14268.068439788525</x:v>
      </x:c>
      <x:c r="F30" s="65" t="n">
        <x:v>1503.1410101317213</x:v>
      </x:c>
      <x:c r="G30" s="64" t="n">
        <x:v>1</x:v>
      </x:c>
      <x:c r="H30" s="65" t="n">
        <x:v>6285.66513274579</x:v>
      </x:c>
      <x:c r="I30" s="65" t="n">
        <x:v>6285.66513274579</x:v>
      </x:c>
      <x:c r="J30" s="65" t="n">
        <x:v>6285.66513274579</x:v>
      </x:c>
      <x:c r="K30" s="64" t="n">
        <x:v>1</x:v>
      </x:c>
    </x:row>
    <x:row r="31">
      <x:c r="A31" s="53" t="str">
        <x:v>A2</x:v>
      </x:c>
      <x:c r="B31" s="53" t="str">
        <x:v>base</x:v>
      </x:c>
      <x:c r="C31" s="67" t="n">
        <x:v>150</x:v>
      </x:c>
      <x:c r="D31" s="70" t="n">
        <x:v>28671.1025447361</x:v>
      </x:c>
      <x:c r="E31" s="70" t="n">
        <x:v>14268.068439788525</x:v>
      </x:c>
      <x:c r="F31" s="70" t="n">
        <x:v>1503.1410101317213</x:v>
      </x:c>
      <x:c r="G31" s="69" t="n">
        <x:v>1</x:v>
      </x:c>
      <x:c r="H31" s="70" t="n">
        <x:v>6285.66513274579</x:v>
      </x:c>
      <x:c r="I31" s="70" t="n">
        <x:v>6285.66513274579</x:v>
      </x:c>
      <x:c r="J31" s="70" t="n">
        <x:v>6285.66513274579</x:v>
      </x:c>
      <x:c r="K31" s="69" t="n">
        <x:v>1</x:v>
      </x:c>
    </x:row>
    <x:row r="32">
      <x:c r="A32" s="61" t="str">
        <x:v>A2</x:v>
      </x:c>
      <x:c r="B32" s="61" t="str">
        <x:v>base</x:v>
      </x:c>
      <x:c r="C32" s="62" t="n">
        <x:v>156</x:v>
      </x:c>
      <x:c r="D32" s="65" t="n">
        <x:v>28671.1025447361</x:v>
      </x:c>
      <x:c r="E32" s="65" t="n">
        <x:v>14268.068439788525</x:v>
      </x:c>
      <x:c r="F32" s="65" t="n">
        <x:v>1503.1410101317213</x:v>
      </x:c>
      <x:c r="G32" s="64" t="n">
        <x:v>1</x:v>
      </x:c>
      <x:c r="H32" s="65" t="n">
        <x:v>6285.66513274579</x:v>
      </x:c>
      <x:c r="I32" s="65" t="n">
        <x:v>6285.66513274579</x:v>
      </x:c>
      <x:c r="J32" s="65" t="n">
        <x:v>6285.66513274579</x:v>
      </x:c>
      <x:c r="K32" s="64" t="n">
        <x:v>1</x:v>
      </x:c>
    </x:row>
    <x:row r="33">
      <x:c r="A33" s="53" t="str">
        <x:v>A2</x:v>
      </x:c>
      <x:c r="B33" s="53" t="str">
        <x:v>base</x:v>
      </x:c>
      <x:c r="C33" s="67" t="n">
        <x:v>162</x:v>
      </x:c>
      <x:c r="D33" s="70" t="n">
        <x:v>28671.1025447361</x:v>
      </x:c>
      <x:c r="E33" s="70" t="n">
        <x:v>14268.068439788525</x:v>
      </x:c>
      <x:c r="F33" s="70" t="n">
        <x:v>1503.1410101317213</x:v>
      </x:c>
      <x:c r="G33" s="69" t="n">
        <x:v>1</x:v>
      </x:c>
      <x:c r="H33" s="70" t="n">
        <x:v>6285.66513274579</x:v>
      </x:c>
      <x:c r="I33" s="70" t="n">
        <x:v>6285.66513274579</x:v>
      </x:c>
      <x:c r="J33" s="70" t="n">
        <x:v>6285.66513274579</x:v>
      </x:c>
      <x:c r="K33" s="69" t="n">
        <x:v>1</x:v>
      </x:c>
    </x:row>
    <x:row r="34">
      <x:c r="A34" s="61" t="str">
        <x:v>A2</x:v>
      </x:c>
      <x:c r="B34" s="61" t="str">
        <x:v>base</x:v>
      </x:c>
      <x:c r="C34" s="62" t="n">
        <x:v>168</x:v>
      </x:c>
      <x:c r="D34" s="65" t="n">
        <x:v>28671.1025447361</x:v>
      </x:c>
      <x:c r="E34" s="65" t="n">
        <x:v>14268.068439788525</x:v>
      </x:c>
      <x:c r="F34" s="65" t="n">
        <x:v>1503.1410101317213</x:v>
      </x:c>
      <x:c r="G34" s="64" t="n">
        <x:v>1</x:v>
      </x:c>
      <x:c r="H34" s="65" t="n">
        <x:v>6285.66513274579</x:v>
      </x:c>
      <x:c r="I34" s="65" t="n">
        <x:v>6285.66513274579</x:v>
      </x:c>
      <x:c r="J34" s="65" t="n">
        <x:v>6285.66513274579</x:v>
      </x:c>
      <x:c r="K34" s="64" t="n">
        <x:v>1</x:v>
      </x:c>
    </x:row>
    <x:row r="35">
      <x:c r="A35" s="53" t="str">
        <x:v>A2</x:v>
      </x:c>
      <x:c r="B35" s="53" t="str">
        <x:v>isolated</x:v>
      </x:c>
      <x:c r="C35" s="67" t="n">
        <x:v>0</x:v>
      </x:c>
      <x:c r="D35" s="70" t="n">
        <x:v>0</x:v>
      </x:c>
      <x:c r="E35" s="70" t="n">
        <x:v>2140.2102659682787</x:v>
      </x:c>
      <x:c r="F35" s="70" t="n">
        <x:v>0</x:v>
      </x:c>
      <x:c r="G35" s="69" t="n">
        <x:v>0</x:v>
      </x:c>
      <x:c r="H35" s="70" t="n">
        <x:v>0</x:v>
      </x:c>
      <x:c r="I35" s="70" t="n">
        <x:v>0</x:v>
      </x:c>
      <x:c r="J35" s="70" t="n">
        <x:v>0</x:v>
      </x:c>
      <x:c r="K35" s="69" t="n">
        <x:v>0</x:v>
      </x:c>
    </x:row>
    <x:row r="36">
      <x:c r="A36" s="61" t="str">
        <x:v>A2</x:v>
      </x:c>
      <x:c r="B36" s="61" t="str">
        <x:v>isolated</x:v>
      </x:c>
      <x:c r="C36" s="62" t="n">
        <x:v>6</x:v>
      </x:c>
      <x:c r="D36" s="65" t="n">
        <x:v>5666.666666666666</x:v>
      </x:c>
      <x:c r="E36" s="65" t="n">
        <x:v>3676.2102659682787</x:v>
      </x:c>
      <x:c r="F36" s="65" t="n">
        <x:v>160</x:v>
      </x:c>
      <x:c r="G36" s="64" t="n">
        <x:v>0.168</x:v>
      </x:c>
      <x:c r="H36" s="65" t="n">
        <x:v>272.0794128657319</x:v>
      </x:c>
      <x:c r="I36" s="65" t="n">
        <x:v>272.0794128657319</x:v>
      </x:c>
      <x:c r="J36" s="65" t="n">
        <x:v>0</x:v>
      </x:c>
      <x:c r="K36" s="64" t="n">
        <x:v>0.16210499548895546</x:v>
      </x:c>
    </x:row>
    <x:row r="37">
      <x:c r="A37" s="53" t="str">
        <x:v>A2</x:v>
      </x:c>
      <x:c r="B37" s="53" t="str">
        <x:v>isolated</x:v>
      </x:c>
      <x:c r="C37" s="67" t="n">
        <x:v>12</x:v>
      </x:c>
      <x:c r="D37" s="70" t="n">
        <x:v>11333.333333333332</x:v>
      </x:c>
      <x:c r="E37" s="70" t="n">
        <x:v>5212.210265968279</x:v>
      </x:c>
      <x:c r="F37" s="70" t="n">
        <x:v>320</x:v>
      </x:c>
      <x:c r="G37" s="69" t="n">
        <x:v>0.336</x:v>
      </x:c>
      <x:c r="H37" s="70" t="n">
        <x:v>771.5201287725399</x:v>
      </x:c>
      <x:c r="I37" s="70" t="n">
        <x:v>771.5201287725399</x:v>
      </x:c>
      <x:c r="J37" s="70" t="n">
        <x:v>771.5201287725399</x:v>
      </x:c>
      <x:c r="K37" s="69" t="n">
        <x:v>0.34628068515337757</x:v>
      </x:c>
    </x:row>
    <x:row r="38">
      <x:c r="A38" s="61" t="str">
        <x:v>A2</x:v>
      </x:c>
      <x:c r="B38" s="61" t="str">
        <x:v>isolated</x:v>
      </x:c>
      <x:c r="C38" s="62" t="n">
        <x:v>18</x:v>
      </x:c>
      <x:c r="D38" s="65" t="n">
        <x:v>17000</x:v>
      </x:c>
      <x:c r="E38" s="65" t="n">
        <x:v>6748.210265968279</x:v>
      </x:c>
      <x:c r="F38" s="65" t="n">
        <x:v>480</x:v>
      </x:c>
      <x:c r="G38" s="64" t="n">
        <x:v>0.504</x:v>
      </x:c>
      <x:c r="H38" s="65" t="n">
        <x:v>1498.3221477204238</x:v>
      </x:c>
      <x:c r="I38" s="65" t="n">
        <x:v>1498.3221477204238</x:v>
      </x:c>
      <x:c r="J38" s="65" t="n">
        <x:v>1498.3221477204238</x:v>
      </x:c>
      <x:c r="K38" s="64" t="n">
        <x:v>0.5291771344075525</x:v>
      </x:c>
    </x:row>
    <x:row r="39">
      <x:c r="A39" s="53" t="str">
        <x:v>A2</x:v>
      </x:c>
      <x:c r="B39" s="53" t="str">
        <x:v>isolated</x:v>
      </x:c>
      <x:c r="C39" s="67" t="n">
        <x:v>24</x:v>
      </x:c>
      <x:c r="D39" s="70" t="n">
        <x:v>22666.666666666664</x:v>
      </x:c>
      <x:c r="E39" s="70" t="n">
        <x:v>8284.210265968279</x:v>
      </x:c>
      <x:c r="F39" s="70" t="n">
        <x:v>640</x:v>
      </x:c>
      <x:c r="G39" s="69" t="n">
        <x:v>0.672</x:v>
      </x:c>
      <x:c r="H39" s="70" t="n">
        <x:v>2452.485469709384</x:v>
      </x:c>
      <x:c r="I39" s="70" t="n">
        <x:v>2452.485469709384</x:v>
      </x:c>
      <x:c r="J39" s="70" t="n">
        <x:v>2452.485469709384</x:v>
      </x:c>
      <x:c r="K39" s="69" t="n">
        <x:v>0.7185776547800516</x:v>
      </x:c>
    </x:row>
    <x:row r="40">
      <x:c r="A40" s="61" t="str">
        <x:v>A2</x:v>
      </x:c>
      <x:c r="B40" s="61" t="str">
        <x:v>isolated</x:v>
      </x:c>
      <x:c r="C40" s="62" t="n">
        <x:v>30</x:v>
      </x:c>
      <x:c r="D40" s="65" t="n">
        <x:v>28333.333333333336</x:v>
      </x:c>
      <x:c r="E40" s="65" t="n">
        <x:v>9820.210265968279</x:v>
      </x:c>
      <x:c r="F40" s="65" t="n">
        <x:v>800</x:v>
      </x:c>
      <x:c r="G40" s="64" t="n">
        <x:v>0.84</x:v>
      </x:c>
      <x:c r="H40" s="65" t="n">
        <x:v>3634.0100947394194</x:v>
      </x:c>
      <x:c r="I40" s="65" t="n">
        <x:v>3634.0100947394194</x:v>
      </x:c>
      <x:c r="J40" s="65" t="n">
        <x:v>3124.7999999999997</x:v>
      </x:c>
      <x:c r="K40" s="64" t="n">
        <x:v>0.8999153933101695</x:v>
      </x:c>
    </x:row>
    <x:row r="41">
      <x:c r="A41" s="53" t="str">
        <x:v>A2</x:v>
      </x:c>
      <x:c r="B41" s="53" t="str">
        <x:v>isolated</x:v>
      </x:c>
      <x:c r="C41" s="67" t="n">
        <x:v>36</x:v>
      </x:c>
      <x:c r="D41" s="70" t="n">
        <x:v>28671.1025447361</x:v>
      </x:c>
      <x:c r="E41" s="70" t="n">
        <x:v>11356.210265968279</x:v>
      </x:c>
      <x:c r="F41" s="70" t="n">
        <x:v>960</x:v>
      </x:c>
      <x:c r="G41" s="69" t="n">
        <x:v>1</x:v>
      </x:c>
      <x:c r="H41" s="70" t="n">
        <x:v>5002.873038502511</x:v>
      </x:c>
      <x:c r="I41" s="70" t="n">
        <x:v>5002.873038502511</x:v>
      </x:c>
      <x:c r="J41" s="70" t="n">
        <x:v>4166.4</x:v>
      </x:c>
      <x:c r="K41" s="69" t="n">
        <x:v>0.9393746826852369</x:v>
      </x:c>
    </x:row>
    <x:row r="42">
      <x:c r="A42" s="61" t="str">
        <x:v>A2</x:v>
      </x:c>
      <x:c r="B42" s="61" t="str">
        <x:v>isolated</x:v>
      </x:c>
      <x:c r="C42" s="62" t="n">
        <x:v>42</x:v>
      </x:c>
      <x:c r="D42" s="65" t="n">
        <x:v>28671.1025447361</x:v>
      </x:c>
      <x:c r="E42" s="65" t="n">
        <x:v>12892.210265968279</x:v>
      </x:c>
      <x:c r="F42" s="65" t="n">
        <x:v>1120</x:v>
      </x:c>
      <x:c r="G42" s="64" t="n">
        <x:v>1</x:v>
      </x:c>
      <x:c r="H42" s="65" t="n">
        <x:v>5679.5435832676185</x:v>
      </x:c>
      <x:c r="I42" s="65" t="n">
        <x:v>5679.5435832676185</x:v>
      </x:c>
      <x:c r="J42" s="65" t="n">
        <x:v>5208</x:v>
      </x:c>
      <x:c r="K42" s="64" t="n">
        <x:v>0.9691714879737011</x:v>
      </x:c>
    </x:row>
    <x:row r="43">
      <x:c r="A43" s="53" t="str">
        <x:v>A2</x:v>
      </x:c>
      <x:c r="B43" s="53" t="str">
        <x:v>isolated</x:v>
      </x:c>
      <x:c r="C43" s="67" t="n">
        <x:v>48</x:v>
      </x:c>
      <x:c r="D43" s="70" t="n">
        <x:v>28671.1025447361</x:v>
      </x:c>
      <x:c r="E43" s="70" t="n">
        <x:v>14268.068439788525</x:v>
      </x:c>
      <x:c r="F43" s="70" t="n">
        <x:v>1280</x:v>
      </x:c>
      <x:c r="G43" s="69" t="n">
        <x:v>1</x:v>
      </x:c>
      <x:c r="H43" s="70" t="n">
        <x:v>6099.043963126085</x:v>
      </x:c>
      <x:c r="I43" s="70" t="n">
        <x:v>6099.043963126085</x:v>
      </x:c>
      <x:c r="J43" s="70" t="n">
        <x:v>6099.043963126085</x:v>
      </x:c>
      <x:c r="K43" s="69" t="n">
        <x:v>0.9946613722601154</x:v>
      </x:c>
    </x:row>
    <x:row r="44">
      <x:c r="A44" s="61" t="str">
        <x:v>A2</x:v>
      </x:c>
      <x:c r="B44" s="61" t="str">
        <x:v>isolated</x:v>
      </x:c>
      <x:c r="C44" s="62" t="n">
        <x:v>54</x:v>
      </x:c>
      <x:c r="D44" s="65" t="n">
        <x:v>28671.1025447361</x:v>
      </x:c>
      <x:c r="E44" s="65" t="n">
        <x:v>14268.068439788525</x:v>
      </x:c>
      <x:c r="F44" s="65" t="n">
        <x:v>1440</x:v>
      </x:c>
      <x:c r="G44" s="64" t="n">
        <x:v>1</x:v>
      </x:c>
      <x:c r="H44" s="65" t="n">
        <x:v>6232.857945242267</x:v>
      </x:c>
      <x:c r="I44" s="65" t="n">
        <x:v>6232.857945242267</x:v>
      </x:c>
      <x:c r="J44" s="65" t="n">
        <x:v>6232.857945242267</x:v>
      </x:c>
      <x:c r="K44" s="64" t="n">
        <x:v>0.9984893572543453</x:v>
      </x:c>
    </x:row>
    <x:row r="45">
      <x:c r="A45" s="53" t="str">
        <x:v>A2</x:v>
      </x:c>
      <x:c r="B45" s="53" t="str">
        <x:v>isolated</x:v>
      </x:c>
      <x:c r="C45" s="67" t="n">
        <x:v>60</x:v>
      </x:c>
      <x:c r="D45" s="70" t="n">
        <x:v>28671.1025447361</x:v>
      </x:c>
      <x:c r="E45" s="70" t="n">
        <x:v>14268.068439788525</x:v>
      </x:c>
      <x:c r="F45" s="70" t="n">
        <x:v>1503.1410101317213</x:v>
      </x:c>
      <x:c r="G45" s="69" t="n">
        <x:v>1</x:v>
      </x:c>
      <x:c r="H45" s="70" t="n">
        <x:v>6285.66513274579</x:v>
      </x:c>
      <x:c r="I45" s="70" t="n">
        <x:v>6285.66513274579</x:v>
      </x:c>
      <x:c r="J45" s="70" t="n">
        <x:v>6285.66513274579</x:v>
      </x:c>
      <x:c r="K45" s="69" t="n">
        <x:v>1</x:v>
      </x:c>
    </x:row>
    <x:row r="46">
      <x:c r="A46" s="61" t="str">
        <x:v>A2</x:v>
      </x:c>
      <x:c r="B46" s="61" t="str">
        <x:v>isolated</x:v>
      </x:c>
      <x:c r="C46" s="62" t="n">
        <x:v>66</x:v>
      </x:c>
      <x:c r="D46" s="65" t="n">
        <x:v>28671.1025447361</x:v>
      </x:c>
      <x:c r="E46" s="65" t="n">
        <x:v>14268.068439788525</x:v>
      </x:c>
      <x:c r="F46" s="65" t="n">
        <x:v>1503.1410101317213</x:v>
      </x:c>
      <x:c r="G46" s="64" t="n">
        <x:v>1</x:v>
      </x:c>
      <x:c r="H46" s="65" t="n">
        <x:v>6285.66513274579</x:v>
      </x:c>
      <x:c r="I46" s="65" t="n">
        <x:v>6285.66513274579</x:v>
      </x:c>
      <x:c r="J46" s="65" t="n">
        <x:v>6285.66513274579</x:v>
      </x:c>
      <x:c r="K46" s="64" t="n">
        <x:v>1</x:v>
      </x:c>
    </x:row>
    <x:row r="47">
      <x:c r="A47" s="53" t="str">
        <x:v>A2</x:v>
      </x:c>
      <x:c r="B47" s="53" t="str">
        <x:v>isolated</x:v>
      </x:c>
      <x:c r="C47" s="67" t="n">
        <x:v>72</x:v>
      </x:c>
      <x:c r="D47" s="70" t="n">
        <x:v>28671.1025447361</x:v>
      </x:c>
      <x:c r="E47" s="70" t="n">
        <x:v>14268.068439788525</x:v>
      </x:c>
      <x:c r="F47" s="70" t="n">
        <x:v>1503.1410101317213</x:v>
      </x:c>
      <x:c r="G47" s="69" t="n">
        <x:v>1</x:v>
      </x:c>
      <x:c r="H47" s="70" t="n">
        <x:v>6285.66513274579</x:v>
      </x:c>
      <x:c r="I47" s="70" t="n">
        <x:v>6285.66513274579</x:v>
      </x:c>
      <x:c r="J47" s="70" t="n">
        <x:v>6285.66513274579</x:v>
      </x:c>
      <x:c r="K47" s="69" t="n">
        <x:v>1</x:v>
      </x:c>
    </x:row>
    <x:row r="48">
      <x:c r="A48" s="61" t="str">
        <x:v>A2</x:v>
      </x:c>
      <x:c r="B48" s="61" t="str">
        <x:v>isolated</x:v>
      </x:c>
      <x:c r="C48" s="62" t="n">
        <x:v>78</x:v>
      </x:c>
      <x:c r="D48" s="65" t="n">
        <x:v>28671.1025447361</x:v>
      </x:c>
      <x:c r="E48" s="65" t="n">
        <x:v>14268.068439788525</x:v>
      </x:c>
      <x:c r="F48" s="65" t="n">
        <x:v>1503.1410101317213</x:v>
      </x:c>
      <x:c r="G48" s="64" t="n">
        <x:v>1</x:v>
      </x:c>
      <x:c r="H48" s="65" t="n">
        <x:v>6285.66513274579</x:v>
      </x:c>
      <x:c r="I48" s="65" t="n">
        <x:v>6285.66513274579</x:v>
      </x:c>
      <x:c r="J48" s="65" t="n">
        <x:v>6285.66513274579</x:v>
      </x:c>
      <x:c r="K48" s="64" t="n">
        <x:v>1</x:v>
      </x:c>
    </x:row>
    <x:row r="49">
      <x:c r="A49" s="53" t="str">
        <x:v>A2</x:v>
      </x:c>
      <x:c r="B49" s="53" t="str">
        <x:v>isolated</x:v>
      </x:c>
      <x:c r="C49" s="67" t="n">
        <x:v>84</x:v>
      </x:c>
      <x:c r="D49" s="70" t="n">
        <x:v>28671.1025447361</x:v>
      </x:c>
      <x:c r="E49" s="70" t="n">
        <x:v>14268.068439788525</x:v>
      </x:c>
      <x:c r="F49" s="70" t="n">
        <x:v>1503.1410101317213</x:v>
      </x:c>
      <x:c r="G49" s="69" t="n">
        <x:v>1</x:v>
      </x:c>
      <x:c r="H49" s="70" t="n">
        <x:v>6285.66513274579</x:v>
      </x:c>
      <x:c r="I49" s="70" t="n">
        <x:v>6285.66513274579</x:v>
      </x:c>
      <x:c r="J49" s="70" t="n">
        <x:v>6285.66513274579</x:v>
      </x:c>
      <x:c r="K49" s="69" t="n">
        <x:v>1</x:v>
      </x:c>
    </x:row>
    <x:row r="50">
      <x:c r="A50" s="61" t="str">
        <x:v>A2</x:v>
      </x:c>
      <x:c r="B50" s="61" t="str">
        <x:v>isolated</x:v>
      </x:c>
      <x:c r="C50" s="62" t="n">
        <x:v>90</x:v>
      </x:c>
      <x:c r="D50" s="65" t="n">
        <x:v>28671.1025447361</x:v>
      </x:c>
      <x:c r="E50" s="65" t="n">
        <x:v>14268.068439788525</x:v>
      </x:c>
      <x:c r="F50" s="65" t="n">
        <x:v>1503.1410101317213</x:v>
      </x:c>
      <x:c r="G50" s="64" t="n">
        <x:v>1</x:v>
      </x:c>
      <x:c r="H50" s="65" t="n">
        <x:v>6285.66513274579</x:v>
      </x:c>
      <x:c r="I50" s="65" t="n">
        <x:v>6285.66513274579</x:v>
      </x:c>
      <x:c r="J50" s="65" t="n">
        <x:v>6285.66513274579</x:v>
      </x:c>
      <x:c r="K50" s="64" t="n">
        <x:v>1</x:v>
      </x:c>
    </x:row>
    <x:row r="51">
      <x:c r="A51" s="53" t="str">
        <x:v>A2</x:v>
      </x:c>
      <x:c r="B51" s="53" t="str">
        <x:v>isolated</x:v>
      </x:c>
      <x:c r="C51" s="67" t="n">
        <x:v>96</x:v>
      </x:c>
      <x:c r="D51" s="70" t="n">
        <x:v>28671.1025447361</x:v>
      </x:c>
      <x:c r="E51" s="70" t="n">
        <x:v>14268.068439788525</x:v>
      </x:c>
      <x:c r="F51" s="70" t="n">
        <x:v>1503.1410101317213</x:v>
      </x:c>
      <x:c r="G51" s="69" t="n">
        <x:v>1</x:v>
      </x:c>
      <x:c r="H51" s="70" t="n">
        <x:v>6285.66513274579</x:v>
      </x:c>
      <x:c r="I51" s="70" t="n">
        <x:v>6285.66513274579</x:v>
      </x:c>
      <x:c r="J51" s="70" t="n">
        <x:v>6285.66513274579</x:v>
      </x:c>
      <x:c r="K51" s="69" t="n">
        <x:v>1</x:v>
      </x:c>
    </x:row>
    <x:row r="52">
      <x:c r="A52" s="61" t="str">
        <x:v>A2</x:v>
      </x:c>
      <x:c r="B52" s="61" t="str">
        <x:v>isolated</x:v>
      </x:c>
      <x:c r="C52" s="62" t="n">
        <x:v>102</x:v>
      </x:c>
      <x:c r="D52" s="65" t="n">
        <x:v>28671.1025447361</x:v>
      </x:c>
      <x:c r="E52" s="65" t="n">
        <x:v>14268.068439788525</x:v>
      </x:c>
      <x:c r="F52" s="65" t="n">
        <x:v>1503.1410101317213</x:v>
      </x:c>
      <x:c r="G52" s="64" t="n">
        <x:v>1</x:v>
      </x:c>
      <x:c r="H52" s="65" t="n">
        <x:v>6285.66513274579</x:v>
      </x:c>
      <x:c r="I52" s="65" t="n">
        <x:v>6285.66513274579</x:v>
      </x:c>
      <x:c r="J52" s="65" t="n">
        <x:v>6285.66513274579</x:v>
      </x:c>
      <x:c r="K52" s="64" t="n">
        <x:v>1</x:v>
      </x:c>
    </x:row>
    <x:row r="53">
      <x:c r="A53" s="53" t="str">
        <x:v>A2</x:v>
      </x:c>
      <x:c r="B53" s="53" t="str">
        <x:v>isolated</x:v>
      </x:c>
      <x:c r="C53" s="67" t="n">
        <x:v>108</x:v>
      </x:c>
      <x:c r="D53" s="70" t="n">
        <x:v>28671.1025447361</x:v>
      </x:c>
      <x:c r="E53" s="70" t="n">
        <x:v>14268.068439788525</x:v>
      </x:c>
      <x:c r="F53" s="70" t="n">
        <x:v>1503.1410101317213</x:v>
      </x:c>
      <x:c r="G53" s="69" t="n">
        <x:v>1</x:v>
      </x:c>
      <x:c r="H53" s="70" t="n">
        <x:v>6285.66513274579</x:v>
      </x:c>
      <x:c r="I53" s="70" t="n">
        <x:v>6285.66513274579</x:v>
      </x:c>
      <x:c r="J53" s="70" t="n">
        <x:v>6285.66513274579</x:v>
      </x:c>
      <x:c r="K53" s="69" t="n">
        <x:v>1</x:v>
      </x:c>
    </x:row>
    <x:row r="54">
      <x:c r="A54" s="61" t="str">
        <x:v>A2</x:v>
      </x:c>
      <x:c r="B54" s="61" t="str">
        <x:v>isolated</x:v>
      </x:c>
      <x:c r="C54" s="62" t="n">
        <x:v>114</x:v>
      </x:c>
      <x:c r="D54" s="65" t="n">
        <x:v>28671.1025447361</x:v>
      </x:c>
      <x:c r="E54" s="65" t="n">
        <x:v>14268.068439788525</x:v>
      </x:c>
      <x:c r="F54" s="65" t="n">
        <x:v>1503.1410101317213</x:v>
      </x:c>
      <x:c r="G54" s="64" t="n">
        <x:v>1</x:v>
      </x:c>
      <x:c r="H54" s="65" t="n">
        <x:v>6285.66513274579</x:v>
      </x:c>
      <x:c r="I54" s="65" t="n">
        <x:v>6285.66513274579</x:v>
      </x:c>
      <x:c r="J54" s="65" t="n">
        <x:v>6285.66513274579</x:v>
      </x:c>
      <x:c r="K54" s="64" t="n">
        <x:v>1</x:v>
      </x:c>
    </x:row>
    <x:row r="55">
      <x:c r="A55" s="53" t="str">
        <x:v>A2</x:v>
      </x:c>
      <x:c r="B55" s="53" t="str">
        <x:v>isolated</x:v>
      </x:c>
      <x:c r="C55" s="67" t="n">
        <x:v>120</x:v>
      </x:c>
      <x:c r="D55" s="70" t="n">
        <x:v>28671.1025447361</x:v>
      </x:c>
      <x:c r="E55" s="70" t="n">
        <x:v>14268.068439788525</x:v>
      </x:c>
      <x:c r="F55" s="70" t="n">
        <x:v>1503.1410101317213</x:v>
      </x:c>
      <x:c r="G55" s="69" t="n">
        <x:v>1</x:v>
      </x:c>
      <x:c r="H55" s="70" t="n">
        <x:v>6285.66513274579</x:v>
      </x:c>
      <x:c r="I55" s="70" t="n">
        <x:v>6285.66513274579</x:v>
      </x:c>
      <x:c r="J55" s="70" t="n">
        <x:v>6285.66513274579</x:v>
      </x:c>
      <x:c r="K55" s="69" t="n">
        <x:v>1</x:v>
      </x:c>
    </x:row>
    <x:row r="56">
      <x:c r="A56" s="61" t="str">
        <x:v>A2</x:v>
      </x:c>
      <x:c r="B56" s="61" t="str">
        <x:v>isolated</x:v>
      </x:c>
      <x:c r="C56" s="62" t="n">
        <x:v>126</x:v>
      </x:c>
      <x:c r="D56" s="65" t="n">
        <x:v>28671.1025447361</x:v>
      </x:c>
      <x:c r="E56" s="65" t="n">
        <x:v>14268.068439788525</x:v>
      </x:c>
      <x:c r="F56" s="65" t="n">
        <x:v>1503.1410101317213</x:v>
      </x:c>
      <x:c r="G56" s="64" t="n">
        <x:v>1</x:v>
      </x:c>
      <x:c r="H56" s="65" t="n">
        <x:v>6285.66513274579</x:v>
      </x:c>
      <x:c r="I56" s="65" t="n">
        <x:v>6285.66513274579</x:v>
      </x:c>
      <x:c r="J56" s="65" t="n">
        <x:v>6285.66513274579</x:v>
      </x:c>
      <x:c r="K56" s="64" t="n">
        <x:v>1</x:v>
      </x:c>
    </x:row>
    <x:row r="57">
      <x:c r="A57" s="53" t="str">
        <x:v>A2</x:v>
      </x:c>
      <x:c r="B57" s="53" t="str">
        <x:v>isolated</x:v>
      </x:c>
      <x:c r="C57" s="67" t="n">
        <x:v>132</x:v>
      </x:c>
      <x:c r="D57" s="70" t="n">
        <x:v>28671.1025447361</x:v>
      </x:c>
      <x:c r="E57" s="70" t="n">
        <x:v>14268.068439788525</x:v>
      </x:c>
      <x:c r="F57" s="70" t="n">
        <x:v>1503.1410101317213</x:v>
      </x:c>
      <x:c r="G57" s="69" t="n">
        <x:v>1</x:v>
      </x:c>
      <x:c r="H57" s="70" t="n">
        <x:v>6285.66513274579</x:v>
      </x:c>
      <x:c r="I57" s="70" t="n">
        <x:v>6285.66513274579</x:v>
      </x:c>
      <x:c r="J57" s="70" t="n">
        <x:v>6285.66513274579</x:v>
      </x:c>
      <x:c r="K57" s="69" t="n">
        <x:v>1</x:v>
      </x:c>
    </x:row>
    <x:row r="58">
      <x:c r="A58" s="61" t="str">
        <x:v>A2</x:v>
      </x:c>
      <x:c r="B58" s="61" t="str">
        <x:v>isolated</x:v>
      </x:c>
      <x:c r="C58" s="62" t="n">
        <x:v>138</x:v>
      </x:c>
      <x:c r="D58" s="65" t="n">
        <x:v>28671.1025447361</x:v>
      </x:c>
      <x:c r="E58" s="65" t="n">
        <x:v>14268.068439788525</x:v>
      </x:c>
      <x:c r="F58" s="65" t="n">
        <x:v>1503.1410101317213</x:v>
      </x:c>
      <x:c r="G58" s="64" t="n">
        <x:v>1</x:v>
      </x:c>
      <x:c r="H58" s="65" t="n">
        <x:v>6285.66513274579</x:v>
      </x:c>
      <x:c r="I58" s="65" t="n">
        <x:v>6285.66513274579</x:v>
      </x:c>
      <x:c r="J58" s="65" t="n">
        <x:v>6285.66513274579</x:v>
      </x:c>
      <x:c r="K58" s="64" t="n">
        <x:v>1</x:v>
      </x:c>
    </x:row>
    <x:row r="59">
      <x:c r="A59" s="53" t="str">
        <x:v>A2</x:v>
      </x:c>
      <x:c r="B59" s="53" t="str">
        <x:v>isolated</x:v>
      </x:c>
      <x:c r="C59" s="67" t="n">
        <x:v>144</x:v>
      </x:c>
      <x:c r="D59" s="70" t="n">
        <x:v>28671.1025447361</x:v>
      </x:c>
      <x:c r="E59" s="70" t="n">
        <x:v>14268.068439788525</x:v>
      </x:c>
      <x:c r="F59" s="70" t="n">
        <x:v>1503.1410101317213</x:v>
      </x:c>
      <x:c r="G59" s="69" t="n">
        <x:v>1</x:v>
      </x:c>
      <x:c r="H59" s="70" t="n">
        <x:v>6285.66513274579</x:v>
      </x:c>
      <x:c r="I59" s="70" t="n">
        <x:v>6285.66513274579</x:v>
      </x:c>
      <x:c r="J59" s="70" t="n">
        <x:v>6285.66513274579</x:v>
      </x:c>
      <x:c r="K59" s="69" t="n">
        <x:v>1</x:v>
      </x:c>
    </x:row>
    <x:row r="60">
      <x:c r="A60" s="61" t="str">
        <x:v>A2</x:v>
      </x:c>
      <x:c r="B60" s="61" t="str">
        <x:v>isolated</x:v>
      </x:c>
      <x:c r="C60" s="62" t="n">
        <x:v>150</x:v>
      </x:c>
      <x:c r="D60" s="65" t="n">
        <x:v>28671.1025447361</x:v>
      </x:c>
      <x:c r="E60" s="65" t="n">
        <x:v>14268.068439788525</x:v>
      </x:c>
      <x:c r="F60" s="65" t="n">
        <x:v>1503.1410101317213</x:v>
      </x:c>
      <x:c r="G60" s="64" t="n">
        <x:v>1</x:v>
      </x:c>
      <x:c r="H60" s="65" t="n">
        <x:v>6285.66513274579</x:v>
      </x:c>
      <x:c r="I60" s="65" t="n">
        <x:v>6285.66513274579</x:v>
      </x:c>
      <x:c r="J60" s="65" t="n">
        <x:v>6285.66513274579</x:v>
      </x:c>
      <x:c r="K60" s="64" t="n">
        <x:v>1</x:v>
      </x:c>
    </x:row>
    <x:row r="61">
      <x:c r="A61" s="53" t="str">
        <x:v>A2</x:v>
      </x:c>
      <x:c r="B61" s="53" t="str">
        <x:v>isolated</x:v>
      </x:c>
      <x:c r="C61" s="67" t="n">
        <x:v>156</x:v>
      </x:c>
      <x:c r="D61" s="70" t="n">
        <x:v>28671.1025447361</x:v>
      </x:c>
      <x:c r="E61" s="70" t="n">
        <x:v>14268.068439788525</x:v>
      </x:c>
      <x:c r="F61" s="70" t="n">
        <x:v>1503.1410101317213</x:v>
      </x:c>
      <x:c r="G61" s="69" t="n">
        <x:v>1</x:v>
      </x:c>
      <x:c r="H61" s="70" t="n">
        <x:v>6285.66513274579</x:v>
      </x:c>
      <x:c r="I61" s="70" t="n">
        <x:v>6285.66513274579</x:v>
      </x:c>
      <x:c r="J61" s="70" t="n">
        <x:v>6285.66513274579</x:v>
      </x:c>
      <x:c r="K61" s="69" t="n">
        <x:v>1</x:v>
      </x:c>
    </x:row>
    <x:row r="62">
      <x:c r="A62" s="61" t="str">
        <x:v>A2</x:v>
      </x:c>
      <x:c r="B62" s="61" t="str">
        <x:v>isolated</x:v>
      </x:c>
      <x:c r="C62" s="62" t="n">
        <x:v>162</x:v>
      </x:c>
      <x:c r="D62" s="65" t="n">
        <x:v>28671.1025447361</x:v>
      </x:c>
      <x:c r="E62" s="65" t="n">
        <x:v>14268.068439788525</x:v>
      </x:c>
      <x:c r="F62" s="65" t="n">
        <x:v>1503.1410101317213</x:v>
      </x:c>
      <x:c r="G62" s="64" t="n">
        <x:v>1</x:v>
      </x:c>
      <x:c r="H62" s="65" t="n">
        <x:v>6285.66513274579</x:v>
      </x:c>
      <x:c r="I62" s="65" t="n">
        <x:v>6285.66513274579</x:v>
      </x:c>
      <x:c r="J62" s="65" t="n">
        <x:v>6285.66513274579</x:v>
      </x:c>
      <x:c r="K62" s="64" t="n">
        <x:v>1</x:v>
      </x:c>
    </x:row>
    <x:row r="63">
      <x:c r="A63" s="53" t="str">
        <x:v>A2</x:v>
      </x:c>
      <x:c r="B63" s="53" t="str">
        <x:v>isolated</x:v>
      </x:c>
      <x:c r="C63" s="67" t="n">
        <x:v>168</x:v>
      </x:c>
      <x:c r="D63" s="70" t="n">
        <x:v>28671.1025447361</x:v>
      </x:c>
      <x:c r="E63" s="70" t="n">
        <x:v>14268.068439788525</x:v>
      </x:c>
      <x:c r="F63" s="70" t="n">
        <x:v>1503.1410101317213</x:v>
      </x:c>
      <x:c r="G63" s="69" t="n">
        <x:v>1</x:v>
      </x:c>
      <x:c r="H63" s="70" t="n">
        <x:v>6285.66513274579</x:v>
      </x:c>
      <x:c r="I63" s="70" t="n">
        <x:v>6285.66513274579</x:v>
      </x:c>
      <x:c r="J63" s="70" t="n">
        <x:v>6285.66513274579</x:v>
      </x:c>
      <x:c r="K63" s="69" t="n">
        <x:v>1</x:v>
      </x:c>
    </x:row>
    <x:row r="64">
      <x:c r="A64" s="61" t="str">
        <x:v>S3</x:v>
      </x:c>
      <x:c r="B64" s="61" t="str">
        <x:v>isolated</x:v>
      </x:c>
      <x:c r="C64" s="62" t="n">
        <x:v>0</x:v>
      </x:c>
      <x:c r="D64" s="65" t="n">
        <x:v>0</x:v>
      </x:c>
      <x:c r="E64" s="65" t="n">
        <x:v>2140.2102659682787</x:v>
      </x:c>
      <x:c r="F64" s="65" t="n">
        <x:v>0</x:v>
      </x:c>
      <x:c r="G64" s="64" t="n">
        <x:v>0</x:v>
      </x:c>
      <x:c r="H64" s="65" t="n">
        <x:v>0</x:v>
      </x:c>
      <x:c r="I64" s="65" t="n">
        <x:v>0</x:v>
      </x:c>
      <x:c r="J64" s="65" t="n">
        <x:v>0</x:v>
      </x:c>
      <x:c r="K64" s="64" t="n">
        <x:v>0</x:v>
      </x:c>
    </x:row>
    <x:row r="65">
      <x:c r="A65" s="53" t="str">
        <x:v>S3</x:v>
      </x:c>
      <x:c r="B65" s="53" t="str">
        <x:v>isolated</x:v>
      </x:c>
      <x:c r="C65" s="67" t="n">
        <x:v>6</x:v>
      </x:c>
      <x:c r="D65" s="70" t="n">
        <x:v>8750</x:v>
      </x:c>
      <x:c r="E65" s="70" t="n">
        <x:v>4213.810265968279</x:v>
      </x:c>
      <x:c r="F65" s="70" t="n">
        <x:v>166.4</x:v>
      </x:c>
      <x:c r="G65" s="69" t="n">
        <x:v>0.168</x:v>
      </x:c>
      <x:c r="H65" s="70" t="n">
        <x:v>311.8676408979203</x:v>
      </x:c>
      <x:c r="I65" s="70" t="n">
        <x:v>311.8676408979203</x:v>
      </x:c>
      <x:c r="J65" s="70" t="n">
        <x:v>0</x:v>
      </x:c>
      <x:c r="K65" s="69" t="n">
        <x:v>0.25030918421088716</x:v>
      </x:c>
    </x:row>
    <x:row r="66">
      <x:c r="A66" s="61" t="str">
        <x:v>S3</x:v>
      </x:c>
      <x:c r="B66" s="61" t="str">
        <x:v>isolated</x:v>
      </x:c>
      <x:c r="C66" s="62" t="n">
        <x:v>12</x:v>
      </x:c>
      <x:c r="D66" s="65" t="n">
        <x:v>17500</x:v>
      </x:c>
      <x:c r="E66" s="65" t="n">
        <x:v>6287.4102659682785</x:v>
      </x:c>
      <x:c r="F66" s="65" t="n">
        <x:v>332.8</x:v>
      </x:c>
      <x:c r="G66" s="64" t="n">
        <x:v>0.336</x:v>
      </x:c>
      <x:c r="H66" s="65" t="n">
        <x:v>930.6730409012931</x:v>
      </x:c>
      <x:c r="I66" s="65" t="n">
        <x:v>930.6730409012931</x:v>
      </x:c>
      <x:c r="J66" s="65" t="n">
        <x:v>930.6730409012931</x:v>
      </x:c>
      <x:c r="K66" s="64" t="n">
        <x:v>0.5272419123800678</x:v>
      </x:c>
    </x:row>
    <x:row r="67">
      <x:c r="A67" s="53" t="str">
        <x:v>S3</x:v>
      </x:c>
      <x:c r="B67" s="53" t="str">
        <x:v>isolated</x:v>
      </x:c>
      <x:c r="C67" s="67" t="n">
        <x:v>18</x:v>
      </x:c>
      <x:c r="D67" s="70" t="n">
        <x:v>26250</x:v>
      </x:c>
      <x:c r="E67" s="70" t="n">
        <x:v>8361.010265968278</x:v>
      </x:c>
      <x:c r="F67" s="70" t="n">
        <x:v>499.20000000000005</x:v>
      </x:c>
      <x:c r="G67" s="69" t="n">
        <x:v>0.504</x:v>
      </x:c>
      <x:c r="H67" s="70" t="n">
        <x:v>1856.4162000101182</x:v>
      </x:c>
      <x:c r="I67" s="70" t="n">
        <x:v>1856.4162000101182</x:v>
      </x:c>
      <x:c r="J67" s="70" t="n">
        <x:v>1856.4162000101182</x:v>
      </x:c>
      <x:c r="K67" s="69" t="n">
        <x:v>0.804033612584708</x:v>
      </x:c>
    </x:row>
    <x:row r="68">
      <x:c r="A68" s="61" t="str">
        <x:v>S3</x:v>
      </x:c>
      <x:c r="B68" s="61" t="str">
        <x:v>isolated</x:v>
      </x:c>
      <x:c r="C68" s="62" t="n">
        <x:v>24</x:v>
      </x:c>
      <x:c r="D68" s="65" t="n">
        <x:v>28671.1025447361</x:v>
      </x:c>
      <x:c r="E68" s="65" t="n">
        <x:v>10434.610265968278</x:v>
      </x:c>
      <x:c r="F68" s="65" t="n">
        <x:v>665.6</x:v>
      </x:c>
      <x:c r="G68" s="64" t="n">
        <x:v>0.672</x:v>
      </x:c>
      <x:c r="H68" s="65" t="n">
        <x:v>3089.0971182243966</x:v>
      </x:c>
      <x:c r="I68" s="65" t="n">
        <x:v>3089.0971182243966</x:v>
      </x:c>
      <x:c r="J68" s="65" t="n">
        <x:v>3089.0971182243966</x:v>
      </x:c>
      <x:c r="K68" s="64" t="n">
        <x:v>0.9085565334869182</x:v>
      </x:c>
    </x:row>
    <x:row r="69">
      <x:c r="A69" s="53" t="str">
        <x:v>S3</x:v>
      </x:c>
      <x:c r="B69" s="53" t="str">
        <x:v>isolated</x:v>
      </x:c>
      <x:c r="C69" s="67" t="n">
        <x:v>30</x:v>
      </x:c>
      <x:c r="D69" s="70" t="n">
        <x:v>28671.1025447361</x:v>
      </x:c>
      <x:c r="E69" s="70" t="n">
        <x:v>12508.210265968277</x:v>
      </x:c>
      <x:c r="F69" s="70" t="n">
        <x:v>832</x:v>
      </x:c>
      <x:c r="G69" s="69" t="n">
        <x:v>0.84</x:v>
      </x:c>
      <x:c r="H69" s="70" t="n">
        <x:v>4628.715795544126</x:v>
      </x:c>
      <x:c r="I69" s="70" t="n">
        <x:v>4628.715795544126</x:v>
      </x:c>
      <x:c r="J69" s="70" t="n">
        <x:v>3749.7599999999998</x:v>
      </x:c>
      <x:c r="K69" s="69" t="n">
        <x:v>0.9274559605698514</x:v>
      </x:c>
    </x:row>
    <x:row r="70">
      <x:c r="A70" s="61" t="str">
        <x:v>S3</x:v>
      </x:c>
      <x:c r="B70" s="61" t="str">
        <x:v>isolated</x:v>
      </x:c>
      <x:c r="C70" s="62" t="n">
        <x:v>36</x:v>
      </x:c>
      <x:c r="D70" s="65" t="n">
        <x:v>28671.1025447361</x:v>
      </x:c>
      <x:c r="E70" s="65" t="n">
        <x:v>14268.068439788525</x:v>
      </x:c>
      <x:c r="F70" s="65" t="n">
        <x:v>998.4000000000001</x:v>
      </x:c>
      <x:c r="G70" s="64" t="n">
        <x:v>1</x:v>
      </x:c>
      <x:c r="H70" s="65" t="n">
        <x:v>5863.531354601606</x:v>
      </x:c>
      <x:c r="I70" s="65" t="n">
        <x:v>5863.531354601606</x:v>
      </x:c>
      <x:c r="J70" s="65" t="n">
        <x:v>4999.68</x:v>
      </x:c>
      <x:c r="K70" s="64" t="n">
        <x:v>0.9632121269160081</x:v>
      </x:c>
    </x:row>
    <x:row r="71">
      <x:c r="A71" s="53" t="str">
        <x:v>S3</x:v>
      </x:c>
      <x:c r="B71" s="53" t="str">
        <x:v>isolated</x:v>
      </x:c>
      <x:c r="C71" s="67" t="n">
        <x:v>42</x:v>
      </x:c>
      <x:c r="D71" s="70" t="n">
        <x:v>28671.1025447361</x:v>
      </x:c>
      <x:c r="E71" s="70" t="n">
        <x:v>14268.068439788525</x:v>
      </x:c>
      <x:c r="F71" s="70" t="n">
        <x:v>1164.8</x:v>
      </x:c>
      <x:c r="G71" s="69" t="n">
        <x:v>1</x:v>
      </x:c>
      <x:c r="H71" s="70" t="n">
        <x:v>6002.697896002434</x:v>
      </x:c>
      <x:c r="I71" s="70" t="n">
        <x:v>6002.697896002434</x:v>
      </x:c>
      <x:c r="J71" s="70" t="n">
        <x:v>6002.697896002434</x:v>
      </x:c>
      <x:c r="K71" s="69" t="n">
        <x:v>0.9919052230642698</x:v>
      </x:c>
    </x:row>
    <x:row r="72">
      <x:c r="A72" s="61" t="str">
        <x:v>S3</x:v>
      </x:c>
      <x:c r="B72" s="61" t="str">
        <x:v>isolated</x:v>
      </x:c>
      <x:c r="C72" s="62" t="n">
        <x:v>48</x:v>
      </x:c>
      <x:c r="D72" s="65" t="n">
        <x:v>28671.1025447361</x:v>
      </x:c>
      <x:c r="E72" s="65" t="n">
        <x:v>14268.068439788525</x:v>
      </x:c>
      <x:c r="F72" s="65" t="n">
        <x:v>1331.2</x:v>
      </x:c>
      <x:c r="G72" s="64" t="n">
        <x:v>1</x:v>
      </x:c>
      <x:c r="H72" s="65" t="n">
        <x:v>6141.864437403264</x:v>
      </x:c>
      <x:c r="I72" s="65" t="n">
        <x:v>6141.864437403264</x:v>
      </x:c>
      <x:c r="J72" s="65" t="n">
        <x:v>6141.864437403264</x:v>
      </x:c>
      <x:c r="K72" s="64" t="n">
        <x:v>0.995886327458269</x:v>
      </x:c>
    </x:row>
    <x:row r="73">
      <x:c r="A73" s="53" t="str">
        <x:v>S3</x:v>
      </x:c>
      <x:c r="B73" s="53" t="str">
        <x:v>isolated</x:v>
      </x:c>
      <x:c r="C73" s="67" t="n">
        <x:v>54</x:v>
      </x:c>
      <x:c r="D73" s="70" t="n">
        <x:v>28671.1025447361</x:v>
      </x:c>
      <x:c r="E73" s="70" t="n">
        <x:v>14268.068439788525</x:v>
      </x:c>
      <x:c r="F73" s="70" t="n">
        <x:v>1497.6000000000001</x:v>
      </x:c>
      <x:c r="G73" s="69" t="n">
        <x:v>1</x:v>
      </x:c>
      <x:c r="H73" s="70" t="n">
        <x:v>6281.030978804092</x:v>
      </x:c>
      <x:c r="I73" s="70" t="n">
        <x:v>6281.030978804092</x:v>
      </x:c>
      <x:c r="J73" s="70" t="n">
        <x:v>6281.030978804092</x:v>
      </x:c>
      <x:c r="K73" s="69" t="n">
        <x:v>0.9998674318522681</x:v>
      </x:c>
    </x:row>
    <x:row r="74">
      <x:c r="A74" s="61" t="str">
        <x:v>S3</x:v>
      </x:c>
      <x:c r="B74" s="61" t="str">
        <x:v>isolated</x:v>
      </x:c>
      <x:c r="C74" s="62" t="n">
        <x:v>60</x:v>
      </x:c>
      <x:c r="D74" s="65" t="n">
        <x:v>28671.1025447361</x:v>
      </x:c>
      <x:c r="E74" s="65" t="n">
        <x:v>14268.068439788525</x:v>
      </x:c>
      <x:c r="F74" s="65" t="n">
        <x:v>1503.1410101317213</x:v>
      </x:c>
      <x:c r="G74" s="64" t="n">
        <x:v>1</x:v>
      </x:c>
      <x:c r="H74" s="65" t="n">
        <x:v>6285.66513274579</x:v>
      </x:c>
      <x:c r="I74" s="65" t="n">
        <x:v>6285.66513274579</x:v>
      </x:c>
      <x:c r="J74" s="65" t="n">
        <x:v>6285.66513274579</x:v>
      </x:c>
      <x:c r="K74" s="64" t="n">
        <x:v>1</x:v>
      </x:c>
    </x:row>
    <x:row r="75">
      <x:c r="A75" s="53" t="str">
        <x:v>S3</x:v>
      </x:c>
      <x:c r="B75" s="53" t="str">
        <x:v>isolated</x:v>
      </x:c>
      <x:c r="C75" s="67" t="n">
        <x:v>66</x:v>
      </x:c>
      <x:c r="D75" s="70" t="n">
        <x:v>28671.1025447361</x:v>
      </x:c>
      <x:c r="E75" s="70" t="n">
        <x:v>14268.068439788525</x:v>
      </x:c>
      <x:c r="F75" s="70" t="n">
        <x:v>1503.1410101317213</x:v>
      </x:c>
      <x:c r="G75" s="69" t="n">
        <x:v>1</x:v>
      </x:c>
      <x:c r="H75" s="70" t="n">
        <x:v>6285.66513274579</x:v>
      </x:c>
      <x:c r="I75" s="70" t="n">
        <x:v>6285.66513274579</x:v>
      </x:c>
      <x:c r="J75" s="70" t="n">
        <x:v>6285.66513274579</x:v>
      </x:c>
      <x:c r="K75" s="69" t="n">
        <x:v>1</x:v>
      </x:c>
    </x:row>
    <x:row r="76">
      <x:c r="A76" s="61" t="str">
        <x:v>S3</x:v>
      </x:c>
      <x:c r="B76" s="61" t="str">
        <x:v>isolated</x:v>
      </x:c>
      <x:c r="C76" s="62" t="n">
        <x:v>72</x:v>
      </x:c>
      <x:c r="D76" s="65" t="n">
        <x:v>28671.1025447361</x:v>
      </x:c>
      <x:c r="E76" s="65" t="n">
        <x:v>14268.068439788525</x:v>
      </x:c>
      <x:c r="F76" s="65" t="n">
        <x:v>1503.1410101317213</x:v>
      </x:c>
      <x:c r="G76" s="64" t="n">
        <x:v>1</x:v>
      </x:c>
      <x:c r="H76" s="65" t="n">
        <x:v>6285.66513274579</x:v>
      </x:c>
      <x:c r="I76" s="65" t="n">
        <x:v>6285.66513274579</x:v>
      </x:c>
      <x:c r="J76" s="65" t="n">
        <x:v>6285.66513274579</x:v>
      </x:c>
      <x:c r="K76" s="64" t="n">
        <x:v>1</x:v>
      </x:c>
    </x:row>
    <x:row r="77">
      <x:c r="A77" s="53" t="str">
        <x:v>S3</x:v>
      </x:c>
      <x:c r="B77" s="53" t="str">
        <x:v>isolated</x:v>
      </x:c>
      <x:c r="C77" s="67" t="n">
        <x:v>78</x:v>
      </x:c>
      <x:c r="D77" s="70" t="n">
        <x:v>28671.1025447361</x:v>
      </x:c>
      <x:c r="E77" s="70" t="n">
        <x:v>14268.068439788525</x:v>
      </x:c>
      <x:c r="F77" s="70" t="n">
        <x:v>1503.1410101317213</x:v>
      </x:c>
      <x:c r="G77" s="69" t="n">
        <x:v>1</x:v>
      </x:c>
      <x:c r="H77" s="70" t="n">
        <x:v>6285.66513274579</x:v>
      </x:c>
      <x:c r="I77" s="70" t="n">
        <x:v>6285.66513274579</x:v>
      </x:c>
      <x:c r="J77" s="70" t="n">
        <x:v>6285.66513274579</x:v>
      </x:c>
      <x:c r="K77" s="69" t="n">
        <x:v>1</x:v>
      </x:c>
    </x:row>
    <x:row r="78">
      <x:c r="A78" s="61" t="str">
        <x:v>S3</x:v>
      </x:c>
      <x:c r="B78" s="61" t="str">
        <x:v>isolated</x:v>
      </x:c>
      <x:c r="C78" s="62" t="n">
        <x:v>84</x:v>
      </x:c>
      <x:c r="D78" s="65" t="n">
        <x:v>28671.1025447361</x:v>
      </x:c>
      <x:c r="E78" s="65" t="n">
        <x:v>14268.068439788525</x:v>
      </x:c>
      <x:c r="F78" s="65" t="n">
        <x:v>1503.1410101317213</x:v>
      </x:c>
      <x:c r="G78" s="64" t="n">
        <x:v>1</x:v>
      </x:c>
      <x:c r="H78" s="65" t="n">
        <x:v>6285.66513274579</x:v>
      </x:c>
      <x:c r="I78" s="65" t="n">
        <x:v>6285.66513274579</x:v>
      </x:c>
      <x:c r="J78" s="65" t="n">
        <x:v>6285.66513274579</x:v>
      </x:c>
      <x:c r="K78" s="64" t="n">
        <x:v>1</x:v>
      </x:c>
    </x:row>
    <x:row r="79">
      <x:c r="A79" s="53" t="str">
        <x:v>S3</x:v>
      </x:c>
      <x:c r="B79" s="53" t="str">
        <x:v>isolated</x:v>
      </x:c>
      <x:c r="C79" s="67" t="n">
        <x:v>90</x:v>
      </x:c>
      <x:c r="D79" s="70" t="n">
        <x:v>28671.1025447361</x:v>
      </x:c>
      <x:c r="E79" s="70" t="n">
        <x:v>14268.068439788525</x:v>
      </x:c>
      <x:c r="F79" s="70" t="n">
        <x:v>1503.1410101317213</x:v>
      </x:c>
      <x:c r="G79" s="69" t="n">
        <x:v>1</x:v>
      </x:c>
      <x:c r="H79" s="70" t="n">
        <x:v>6285.66513274579</x:v>
      </x:c>
      <x:c r="I79" s="70" t="n">
        <x:v>6285.66513274579</x:v>
      </x:c>
      <x:c r="J79" s="70" t="n">
        <x:v>6285.66513274579</x:v>
      </x:c>
      <x:c r="K79" s="69" t="n">
        <x:v>1</x:v>
      </x:c>
    </x:row>
    <x:row r="80">
      <x:c r="A80" s="61" t="str">
        <x:v>S3</x:v>
      </x:c>
      <x:c r="B80" s="61" t="str">
        <x:v>isolated</x:v>
      </x:c>
      <x:c r="C80" s="62" t="n">
        <x:v>96</x:v>
      </x:c>
      <x:c r="D80" s="65" t="n">
        <x:v>28671.1025447361</x:v>
      </x:c>
      <x:c r="E80" s="65" t="n">
        <x:v>14268.068439788525</x:v>
      </x:c>
      <x:c r="F80" s="65" t="n">
        <x:v>1503.1410101317213</x:v>
      </x:c>
      <x:c r="G80" s="64" t="n">
        <x:v>1</x:v>
      </x:c>
      <x:c r="H80" s="65" t="n">
        <x:v>6285.66513274579</x:v>
      </x:c>
      <x:c r="I80" s="65" t="n">
        <x:v>6285.66513274579</x:v>
      </x:c>
      <x:c r="J80" s="65" t="n">
        <x:v>6285.66513274579</x:v>
      </x:c>
      <x:c r="K80" s="64" t="n">
        <x:v>1</x:v>
      </x:c>
    </x:row>
    <x:row r="81">
      <x:c r="A81" s="53" t="str">
        <x:v>S3</x:v>
      </x:c>
      <x:c r="B81" s="53" t="str">
        <x:v>isolated</x:v>
      </x:c>
      <x:c r="C81" s="67" t="n">
        <x:v>102</x:v>
      </x:c>
      <x:c r="D81" s="70" t="n">
        <x:v>28671.1025447361</x:v>
      </x:c>
      <x:c r="E81" s="70" t="n">
        <x:v>14268.068439788525</x:v>
      </x:c>
      <x:c r="F81" s="70" t="n">
        <x:v>1503.1410101317213</x:v>
      </x:c>
      <x:c r="G81" s="69" t="n">
        <x:v>1</x:v>
      </x:c>
      <x:c r="H81" s="70" t="n">
        <x:v>6285.66513274579</x:v>
      </x:c>
      <x:c r="I81" s="70" t="n">
        <x:v>6285.66513274579</x:v>
      </x:c>
      <x:c r="J81" s="70" t="n">
        <x:v>6285.66513274579</x:v>
      </x:c>
      <x:c r="K81" s="69" t="n">
        <x:v>1</x:v>
      </x:c>
    </x:row>
    <x:row r="82">
      <x:c r="A82" s="61" t="str">
        <x:v>S3</x:v>
      </x:c>
      <x:c r="B82" s="61" t="str">
        <x:v>isolated</x:v>
      </x:c>
      <x:c r="C82" s="62" t="n">
        <x:v>108</x:v>
      </x:c>
      <x:c r="D82" s="65" t="n">
        <x:v>28671.1025447361</x:v>
      </x:c>
      <x:c r="E82" s="65" t="n">
        <x:v>14268.068439788525</x:v>
      </x:c>
      <x:c r="F82" s="65" t="n">
        <x:v>1503.1410101317213</x:v>
      </x:c>
      <x:c r="G82" s="64" t="n">
        <x:v>1</x:v>
      </x:c>
      <x:c r="H82" s="65" t="n">
        <x:v>6285.66513274579</x:v>
      </x:c>
      <x:c r="I82" s="65" t="n">
        <x:v>6285.66513274579</x:v>
      </x:c>
      <x:c r="J82" s="65" t="n">
        <x:v>6285.66513274579</x:v>
      </x:c>
      <x:c r="K82" s="64" t="n">
        <x:v>1</x:v>
      </x:c>
    </x:row>
    <x:row r="83">
      <x:c r="A83" s="53" t="str">
        <x:v>S3</x:v>
      </x:c>
      <x:c r="B83" s="53" t="str">
        <x:v>isolated</x:v>
      </x:c>
      <x:c r="C83" s="67" t="n">
        <x:v>114</x:v>
      </x:c>
      <x:c r="D83" s="70" t="n">
        <x:v>28671.1025447361</x:v>
      </x:c>
      <x:c r="E83" s="70" t="n">
        <x:v>14268.068439788525</x:v>
      </x:c>
      <x:c r="F83" s="70" t="n">
        <x:v>1503.1410101317213</x:v>
      </x:c>
      <x:c r="G83" s="69" t="n">
        <x:v>1</x:v>
      </x:c>
      <x:c r="H83" s="70" t="n">
        <x:v>6285.66513274579</x:v>
      </x:c>
      <x:c r="I83" s="70" t="n">
        <x:v>6285.66513274579</x:v>
      </x:c>
      <x:c r="J83" s="70" t="n">
        <x:v>6285.66513274579</x:v>
      </x:c>
      <x:c r="K83" s="69" t="n">
        <x:v>1</x:v>
      </x:c>
    </x:row>
    <x:row r="84">
      <x:c r="A84" s="61" t="str">
        <x:v>S3</x:v>
      </x:c>
      <x:c r="B84" s="61" t="str">
        <x:v>isolated</x:v>
      </x:c>
      <x:c r="C84" s="62" t="n">
        <x:v>120</x:v>
      </x:c>
      <x:c r="D84" s="65" t="n">
        <x:v>28671.1025447361</x:v>
      </x:c>
      <x:c r="E84" s="65" t="n">
        <x:v>14268.068439788525</x:v>
      </x:c>
      <x:c r="F84" s="65" t="n">
        <x:v>1503.1410101317213</x:v>
      </x:c>
      <x:c r="G84" s="64" t="n">
        <x:v>1</x:v>
      </x:c>
      <x:c r="H84" s="65" t="n">
        <x:v>6285.66513274579</x:v>
      </x:c>
      <x:c r="I84" s="65" t="n">
        <x:v>6285.66513274579</x:v>
      </x:c>
      <x:c r="J84" s="65" t="n">
        <x:v>6285.66513274579</x:v>
      </x:c>
      <x:c r="K84" s="64" t="n">
        <x:v>1</x:v>
      </x:c>
    </x:row>
    <x:row r="85">
      <x:c r="A85" s="53" t="str">
        <x:v>S3</x:v>
      </x:c>
      <x:c r="B85" s="53" t="str">
        <x:v>isolated</x:v>
      </x:c>
      <x:c r="C85" s="67" t="n">
        <x:v>126</x:v>
      </x:c>
      <x:c r="D85" s="70" t="n">
        <x:v>28671.1025447361</x:v>
      </x:c>
      <x:c r="E85" s="70" t="n">
        <x:v>14268.068439788525</x:v>
      </x:c>
      <x:c r="F85" s="70" t="n">
        <x:v>1503.1410101317213</x:v>
      </x:c>
      <x:c r="G85" s="69" t="n">
        <x:v>1</x:v>
      </x:c>
      <x:c r="H85" s="70" t="n">
        <x:v>6285.66513274579</x:v>
      </x:c>
      <x:c r="I85" s="70" t="n">
        <x:v>6285.66513274579</x:v>
      </x:c>
      <x:c r="J85" s="70" t="n">
        <x:v>6285.66513274579</x:v>
      </x:c>
      <x:c r="K85" s="69" t="n">
        <x:v>1</x:v>
      </x:c>
    </x:row>
    <x:row r="86">
      <x:c r="A86" s="61" t="str">
        <x:v>S3</x:v>
      </x:c>
      <x:c r="B86" s="61" t="str">
        <x:v>isolated</x:v>
      </x:c>
      <x:c r="C86" s="62" t="n">
        <x:v>132</x:v>
      </x:c>
      <x:c r="D86" s="65" t="n">
        <x:v>28671.1025447361</x:v>
      </x:c>
      <x:c r="E86" s="65" t="n">
        <x:v>14268.068439788525</x:v>
      </x:c>
      <x:c r="F86" s="65" t="n">
        <x:v>1503.1410101317213</x:v>
      </x:c>
      <x:c r="G86" s="64" t="n">
        <x:v>1</x:v>
      </x:c>
      <x:c r="H86" s="65" t="n">
        <x:v>6285.66513274579</x:v>
      </x:c>
      <x:c r="I86" s="65" t="n">
        <x:v>6285.66513274579</x:v>
      </x:c>
      <x:c r="J86" s="65" t="n">
        <x:v>6285.66513274579</x:v>
      </x:c>
      <x:c r="K86" s="64" t="n">
        <x:v>1</x:v>
      </x:c>
    </x:row>
    <x:row r="87">
      <x:c r="A87" s="53" t="str">
        <x:v>S3</x:v>
      </x:c>
      <x:c r="B87" s="53" t="str">
        <x:v>isolated</x:v>
      </x:c>
      <x:c r="C87" s="67" t="n">
        <x:v>138</x:v>
      </x:c>
      <x:c r="D87" s="70" t="n">
        <x:v>28671.1025447361</x:v>
      </x:c>
      <x:c r="E87" s="70" t="n">
        <x:v>14268.068439788525</x:v>
      </x:c>
      <x:c r="F87" s="70" t="n">
        <x:v>1503.1410101317213</x:v>
      </x:c>
      <x:c r="G87" s="69" t="n">
        <x:v>1</x:v>
      </x:c>
      <x:c r="H87" s="70" t="n">
        <x:v>6285.66513274579</x:v>
      </x:c>
      <x:c r="I87" s="70" t="n">
        <x:v>6285.66513274579</x:v>
      </x:c>
      <x:c r="J87" s="70" t="n">
        <x:v>6285.66513274579</x:v>
      </x:c>
      <x:c r="K87" s="69" t="n">
        <x:v>1</x:v>
      </x:c>
    </x:row>
    <x:row r="88">
      <x:c r="A88" s="61" t="str">
        <x:v>S3</x:v>
      </x:c>
      <x:c r="B88" s="61" t="str">
        <x:v>isolated</x:v>
      </x:c>
      <x:c r="C88" s="62" t="n">
        <x:v>144</x:v>
      </x:c>
      <x:c r="D88" s="65" t="n">
        <x:v>28671.1025447361</x:v>
      </x:c>
      <x:c r="E88" s="65" t="n">
        <x:v>14268.068439788525</x:v>
      </x:c>
      <x:c r="F88" s="65" t="n">
        <x:v>1503.1410101317213</x:v>
      </x:c>
      <x:c r="G88" s="64" t="n">
        <x:v>1</x:v>
      </x:c>
      <x:c r="H88" s="65" t="n">
        <x:v>6285.66513274579</x:v>
      </x:c>
      <x:c r="I88" s="65" t="n">
        <x:v>6285.66513274579</x:v>
      </x:c>
      <x:c r="J88" s="65" t="n">
        <x:v>6285.66513274579</x:v>
      </x:c>
      <x:c r="K88" s="64" t="n">
        <x:v>1</x:v>
      </x:c>
    </x:row>
    <x:row r="89">
      <x:c r="A89" s="53" t="str">
        <x:v>S3</x:v>
      </x:c>
      <x:c r="B89" s="53" t="str">
        <x:v>isolated</x:v>
      </x:c>
      <x:c r="C89" s="67" t="n">
        <x:v>150</x:v>
      </x:c>
      <x:c r="D89" s="70" t="n">
        <x:v>28671.1025447361</x:v>
      </x:c>
      <x:c r="E89" s="70" t="n">
        <x:v>14268.068439788525</x:v>
      </x:c>
      <x:c r="F89" s="70" t="n">
        <x:v>1503.1410101317213</x:v>
      </x:c>
      <x:c r="G89" s="69" t="n">
        <x:v>1</x:v>
      </x:c>
      <x:c r="H89" s="70" t="n">
        <x:v>6285.66513274579</x:v>
      </x:c>
      <x:c r="I89" s="70" t="n">
        <x:v>6285.66513274579</x:v>
      </x:c>
      <x:c r="J89" s="70" t="n">
        <x:v>6285.66513274579</x:v>
      </x:c>
      <x:c r="K89" s="69" t="n">
        <x:v>1</x:v>
      </x:c>
    </x:row>
    <x:row r="90">
      <x:c r="A90" s="61" t="str">
        <x:v>S3</x:v>
      </x:c>
      <x:c r="B90" s="61" t="str">
        <x:v>isolated</x:v>
      </x:c>
      <x:c r="C90" s="62" t="n">
        <x:v>156</x:v>
      </x:c>
      <x:c r="D90" s="65" t="n">
        <x:v>28671.1025447361</x:v>
      </x:c>
      <x:c r="E90" s="65" t="n">
        <x:v>14268.068439788525</x:v>
      </x:c>
      <x:c r="F90" s="65" t="n">
        <x:v>1503.1410101317213</x:v>
      </x:c>
      <x:c r="G90" s="64" t="n">
        <x:v>1</x:v>
      </x:c>
      <x:c r="H90" s="65" t="n">
        <x:v>6285.66513274579</x:v>
      </x:c>
      <x:c r="I90" s="65" t="n">
        <x:v>6285.66513274579</x:v>
      </x:c>
      <x:c r="J90" s="65" t="n">
        <x:v>6285.66513274579</x:v>
      </x:c>
      <x:c r="K90" s="64" t="n">
        <x:v>1</x:v>
      </x:c>
    </x:row>
    <x:row r="91">
      <x:c r="A91" s="53" t="str">
        <x:v>S3</x:v>
      </x:c>
      <x:c r="B91" s="53" t="str">
        <x:v>isolated</x:v>
      </x:c>
      <x:c r="C91" s="67" t="n">
        <x:v>162</x:v>
      </x:c>
      <x:c r="D91" s="70" t="n">
        <x:v>28671.1025447361</x:v>
      </x:c>
      <x:c r="E91" s="70" t="n">
        <x:v>14268.068439788525</x:v>
      </x:c>
      <x:c r="F91" s="70" t="n">
        <x:v>1503.1410101317213</x:v>
      </x:c>
      <x:c r="G91" s="69" t="n">
        <x:v>1</x:v>
      </x:c>
      <x:c r="H91" s="70" t="n">
        <x:v>6285.66513274579</x:v>
      </x:c>
      <x:c r="I91" s="70" t="n">
        <x:v>6285.66513274579</x:v>
      </x:c>
      <x:c r="J91" s="70" t="n">
        <x:v>6285.66513274579</x:v>
      </x:c>
      <x:c r="K91" s="69" t="n">
        <x:v>1</x:v>
      </x:c>
    </x:row>
    <x:row r="92">
      <x:c r="A92" s="61" t="str">
        <x:v>S3</x:v>
      </x:c>
      <x:c r="B92" s="61" t="str">
        <x:v>isolated</x:v>
      </x:c>
      <x:c r="C92" s="62" t="n">
        <x:v>168</x:v>
      </x:c>
      <x:c r="D92" s="65" t="n">
        <x:v>28671.1025447361</x:v>
      </x:c>
      <x:c r="E92" s="65" t="n">
        <x:v>14268.068439788525</x:v>
      </x:c>
      <x:c r="F92" s="65" t="n">
        <x:v>1503.1410101317213</x:v>
      </x:c>
      <x:c r="G92" s="64" t="n">
        <x:v>1</x:v>
      </x:c>
      <x:c r="H92" s="65" t="n">
        <x:v>6285.66513274579</x:v>
      </x:c>
      <x:c r="I92" s="65" t="n">
        <x:v>6285.66513274579</x:v>
      </x:c>
      <x:c r="J92" s="65" t="n">
        <x:v>6285.66513274579</x:v>
      </x:c>
      <x:c r="K92" s="64" t="n">
        <x:v>1</x:v>
      </x:c>
    </x:row>
    <x:row r="93">
      <x:c r="A93" s="53" t="str">
        <x:v>S3</x:v>
      </x:c>
      <x:c r="B93" s="53" t="str">
        <x:v>compound</x:v>
      </x:c>
      <x:c r="C93" s="67" t="n">
        <x:v>0</x:v>
      </x:c>
      <x:c r="D93" s="70" t="n">
        <x:v>0</x:v>
      </x:c>
      <x:c r="E93" s="70" t="n">
        <x:v>2140.2102659682787</x:v>
      </x:c>
      <x:c r="F93" s="70" t="n">
        <x:v>0</x:v>
      </x:c>
      <x:c r="G93" s="69" t="n">
        <x:v>0</x:v>
      </x:c>
      <x:c r="H93" s="70" t="n">
        <x:v>0</x:v>
      </x:c>
      <x:c r="I93" s="70" t="n">
        <x:v>0</x:v>
      </x:c>
      <x:c r="J93" s="70" t="n">
        <x:v>0</x:v>
      </x:c>
      <x:c r="K93" s="69" t="n">
        <x:v>0</x:v>
      </x:c>
    </x:row>
    <x:row r="94">
      <x:c r="A94" s="61" t="str">
        <x:v>S3</x:v>
      </x:c>
      <x:c r="B94" s="61" t="str">
        <x:v>compound</x:v>
      </x:c>
      <x:c r="C94" s="62" t="n">
        <x:v>6</x:v>
      </x:c>
      <x:c r="D94" s="65" t="n">
        <x:v>8750</x:v>
      </x:c>
      <x:c r="E94" s="65" t="n">
        <x:v>3868.2102659682787</x:v>
      </x:c>
      <x:c r="F94" s="65" t="n">
        <x:v>133.12</x:v>
      </x:c>
      <x:c r="G94" s="64" t="n">
        <x:v>0.14400000000000002</x:v>
      </x:c>
      <x:c r="H94" s="65" t="n">
        <x:v>245.39099511925644</x:v>
      </x:c>
      <x:c r="I94" s="65" t="n">
        <x:v>245.39099511925644</x:v>
      </x:c>
      <x:c r="J94" s="65" t="n">
        <x:v>0</x:v>
      </x:c>
      <x:c r="K94" s="64" t="n">
        <x:v>0.25030918421088716</x:v>
      </x:c>
    </x:row>
    <x:row r="95">
      <x:c r="A95" s="53" t="str">
        <x:v>S3</x:v>
      </x:c>
      <x:c r="B95" s="53" t="str">
        <x:v>compound</x:v>
      </x:c>
      <x:c r="C95" s="67" t="n">
        <x:v>12</x:v>
      </x:c>
      <x:c r="D95" s="70" t="n">
        <x:v>17500</x:v>
      </x:c>
      <x:c r="E95" s="70" t="n">
        <x:v>5596.210265968279</x:v>
      </x:c>
      <x:c r="F95" s="70" t="n">
        <x:v>266.24</x:v>
      </x:c>
      <x:c r="G95" s="69" t="n">
        <x:v>0.28800000000000003</x:v>
      </x:c>
      <x:c r="H95" s="70" t="n">
        <x:v>710.0232467424077</x:v>
      </x:c>
      <x:c r="I95" s="70" t="n">
        <x:v>710.0232467424077</x:v>
      </x:c>
      <x:c r="J95" s="70" t="n">
        <x:v>710.0232467424077</x:v>
      </x:c>
      <x:c r="K95" s="69" t="n">
        <x:v>0.5209298358118151</x:v>
      </x:c>
    </x:row>
    <x:row r="96">
      <x:c r="A96" s="61" t="str">
        <x:v>S3</x:v>
      </x:c>
      <x:c r="B96" s="61" t="str">
        <x:v>compound</x:v>
      </x:c>
      <x:c r="C96" s="62" t="n">
        <x:v>18</x:v>
      </x:c>
      <x:c r="D96" s="65" t="n">
        <x:v>26250</x:v>
      </x:c>
      <x:c r="E96" s="65" t="n">
        <x:v>7324.210265968279</x:v>
      </x:c>
      <x:c r="F96" s="65" t="n">
        <x:v>399.36</x:v>
      </x:c>
      <x:c r="G96" s="64" t="n">
        <x:v>0.43200000000000005</x:v>
      </x:c>
      <x:c r="H96" s="65" t="n">
        <x:v>1393.8967548694534</x:v>
      </x:c>
      <x:c r="I96" s="65" t="n">
        <x:v>1393.8967548694534</x:v>
      </x:c>
      <x:c r="J96" s="65" t="n">
        <x:v>1393.8967548694534</x:v>
      </x:c>
      <x:c r="K96" s="64" t="n">
        <x:v>0.7908024280138701</x:v>
      </x:c>
    </x:row>
    <x:row r="97">
      <x:c r="A97" s="53" t="str">
        <x:v>S3</x:v>
      </x:c>
      <x:c r="B97" s="53" t="str">
        <x:v>compound</x:v>
      </x:c>
      <x:c r="C97" s="67" t="n">
        <x:v>24</x:v>
      </x:c>
      <x:c r="D97" s="70" t="n">
        <x:v>28671.1025447361</x:v>
      </x:c>
      <x:c r="E97" s="70" t="n">
        <x:v>9052.210265968279</x:v>
      </x:c>
      <x:c r="F97" s="70" t="n">
        <x:v>532.48</x:v>
      </x:c>
      <x:c r="G97" s="69" t="n">
        <x:v>0.5760000000000001</x:v>
      </x:c>
      <x:c r="H97" s="70" t="n">
        <x:v>2297.011519500394</x:v>
      </x:c>
      <x:c r="I97" s="70" t="n">
        <x:v>2297.011519500394</x:v>
      </x:c>
      <x:c r="J97" s="70" t="n">
        <x:v>2297.011519500394</x:v>
      </x:c>
      <x:c r="K97" s="69" t="n">
        <x:v>0.8858975277678557</x:v>
      </x:c>
    </x:row>
    <x:row r="98">
      <x:c r="A98" s="61" t="str">
        <x:v>S3</x:v>
      </x:c>
      <x:c r="B98" s="61" t="str">
        <x:v>compound</x:v>
      </x:c>
      <x:c r="C98" s="62" t="n">
        <x:v>30</x:v>
      </x:c>
      <x:c r="D98" s="65" t="n">
        <x:v>28671.1025447361</x:v>
      </x:c>
      <x:c r="E98" s="65" t="n">
        <x:v>10780.210265968279</x:v>
      </x:c>
      <x:c r="F98" s="65" t="n">
        <x:v>665.6</x:v>
      </x:c>
      <x:c r="G98" s="64" t="n">
        <x:v>0.7200000000000001</x:v>
      </x:c>
      <x:c r="H98" s="65" t="n">
        <x:v>3419.3675406352295</x:v>
      </x:c>
      <x:c r="I98" s="65" t="n">
        <x:v>3419.3675406352295</x:v>
      </x:c>
      <x:c r="J98" s="65" t="n">
        <x:v>3124.7999999999997</x:v>
      </x:c>
      <x:c r="K98" s="64" t="n">
        <x:v>0.909577877396773</x:v>
      </x:c>
    </x:row>
    <x:row r="99">
      <x:c r="A99" s="53" t="str">
        <x:v>S3</x:v>
      </x:c>
      <x:c r="B99" s="53" t="str">
        <x:v>compound</x:v>
      </x:c>
      <x:c r="C99" s="67" t="n">
        <x:v>36</x:v>
      </x:c>
      <x:c r="D99" s="70" t="n">
        <x:v>28671.1025447361</x:v>
      </x:c>
      <x:c r="E99" s="70" t="n">
        <x:v>12508.210265968279</x:v>
      </x:c>
      <x:c r="F99" s="70" t="n">
        <x:v>798.72</x:v>
      </x:c>
      <x:c r="G99" s="69" t="n">
        <x:v>0.8640000000000001</x:v>
      </x:c>
      <x:c r="H99" s="70" t="n">
        <x:v>4760.964818273959</x:v>
      </x:c>
      <x:c r="I99" s="70" t="n">
        <x:v>4760.964818273959</x:v>
      </x:c>
      <x:c r="J99" s="70" t="n">
        <x:v>4166.4</x:v>
      </x:c>
      <x:c r="K99" s="69" t="n">
        <x:v>0.9393746826852369</x:v>
      </x:c>
    </x:row>
    <x:row r="100">
      <x:c r="A100" s="61" t="str">
        <x:v>S3</x:v>
      </x:c>
      <x:c r="B100" s="61" t="str">
        <x:v>compound</x:v>
      </x:c>
      <x:c r="C100" s="62" t="n">
        <x:v>42</x:v>
      </x:c>
      <x:c r="D100" s="65" t="n">
        <x:v>28671.1025447361</x:v>
      </x:c>
      <x:c r="E100" s="65" t="n">
        <x:v>14236.210265968279</x:v>
      </x:c>
      <x:c r="F100" s="65" t="n">
        <x:v>931.84</x:v>
      </x:c>
      <x:c r="G100" s="64" t="n">
        <x:v>1</x:v>
      </x:c>
      <x:c r="H100" s="65" t="n">
        <x:v>5807.864738041275</x:v>
      </x:c>
      <x:c r="I100" s="65" t="n">
        <x:v>5807.864738041275</x:v>
      </x:c>
      <x:c r="J100" s="65" t="n">
        <x:v>5208</x:v>
      </x:c>
      <x:c r="K100" s="64" t="n">
        <x:v>0.9691714879737011</x:v>
      </x:c>
    </x:row>
    <x:row r="101">
      <x:c r="A101" s="53" t="str">
        <x:v>S3</x:v>
      </x:c>
      <x:c r="B101" s="53" t="str">
        <x:v>compound</x:v>
      </x:c>
      <x:c r="C101" s="67" t="n">
        <x:v>48</x:v>
      </x:c>
      <x:c r="D101" s="70" t="n">
        <x:v>28671.1025447361</x:v>
      </x:c>
      <x:c r="E101" s="70" t="n">
        <x:v>14268.068439788525</x:v>
      </x:c>
      <x:c r="F101" s="70" t="n">
        <x:v>1064.96</x:v>
      </x:c>
      <x:c r="G101" s="69" t="n">
        <x:v>1</x:v>
      </x:c>
      <x:c r="H101" s="70" t="n">
        <x:v>5919.197971161938</x:v>
      </x:c>
      <x:c r="I101" s="70" t="n">
        <x:v>5919.197971161938</x:v>
      </x:c>
      <x:c r="J101" s="70" t="n">
        <x:v>5919.197971161938</x:v>
      </x:c>
      <x:c r="K101" s="69" t="n">
        <x:v>0.9895165604278705</x:v>
      </x:c>
    </x:row>
    <x:row r="102">
      <x:c r="A102" s="61" t="str">
        <x:v>S3</x:v>
      </x:c>
      <x:c r="B102" s="61" t="str">
        <x:v>compound</x:v>
      </x:c>
      <x:c r="C102" s="62" t="n">
        <x:v>54</x:v>
      </x:c>
      <x:c r="D102" s="65" t="n">
        <x:v>28671.1025447361</x:v>
      </x:c>
      <x:c r="E102" s="65" t="n">
        <x:v>14268.068439788525</x:v>
      </x:c>
      <x:c r="F102" s="65" t="n">
        <x:v>1198.08</x:v>
      </x:c>
      <x:c r="G102" s="64" t="n">
        <x:v>1</x:v>
      </x:c>
      <x:c r="H102" s="65" t="n">
        <x:v>6030.5312042826</x:v>
      </x:c>
      <x:c r="I102" s="65" t="n">
        <x:v>6030.5312042826</x:v>
      </x:c>
      <x:c r="J102" s="65" t="n">
        <x:v>6030.5312042826</x:v>
      </x:c>
      <x:c r="K102" s="64" t="n">
        <x:v>0.9927014439430697</x:v>
      </x:c>
    </x:row>
    <x:row r="103">
      <x:c r="A103" s="53" t="str">
        <x:v>S3</x:v>
      </x:c>
      <x:c r="B103" s="53" t="str">
        <x:v>compound</x:v>
      </x:c>
      <x:c r="C103" s="67" t="n">
        <x:v>60</x:v>
      </x:c>
      <x:c r="D103" s="70" t="n">
        <x:v>28671.1025447361</x:v>
      </x:c>
      <x:c r="E103" s="70" t="n">
        <x:v>14268.068439788525</x:v>
      </x:c>
      <x:c r="F103" s="70" t="n">
        <x:v>1331.2</x:v>
      </x:c>
      <x:c r="G103" s="69" t="n">
        <x:v>1</x:v>
      </x:c>
      <x:c r="H103" s="70" t="n">
        <x:v>6141.864437403264</x:v>
      </x:c>
      <x:c r="I103" s="70" t="n">
        <x:v>6141.864437403264</x:v>
      </x:c>
      <x:c r="J103" s="70" t="n">
        <x:v>6141.864437403264</x:v>
      </x:c>
      <x:c r="K103" s="69" t="n">
        <x:v>0.995886327458269</x:v>
      </x:c>
    </x:row>
    <x:row r="104">
      <x:c r="A104" s="61" t="str">
        <x:v>S3</x:v>
      </x:c>
      <x:c r="B104" s="61" t="str">
        <x:v>compound</x:v>
      </x:c>
      <x:c r="C104" s="62" t="n">
        <x:v>66</x:v>
      </x:c>
      <x:c r="D104" s="65" t="n">
        <x:v>28671.1025447361</x:v>
      </x:c>
      <x:c r="E104" s="65" t="n">
        <x:v>14268.068439788525</x:v>
      </x:c>
      <x:c r="F104" s="65" t="n">
        <x:v>1464.3200000000002</x:v>
      </x:c>
      <x:c r="G104" s="64" t="n">
        <x:v>1</x:v>
      </x:c>
      <x:c r="H104" s="65" t="n">
        <x:v>6253.197670523927</x:v>
      </x:c>
      <x:c r="I104" s="65" t="n">
        <x:v>6253.197670523927</x:v>
      </x:c>
      <x:c r="J104" s="65" t="n">
        <x:v>6253.197670523927</x:v>
      </x:c>
      <x:c r="K104" s="64" t="n">
        <x:v>0.9990712109734682</x:v>
      </x:c>
    </x:row>
    <x:row r="105">
      <x:c r="A105" s="53" t="str">
        <x:v>S3</x:v>
      </x:c>
      <x:c r="B105" s="53" t="str">
        <x:v>compound</x:v>
      </x:c>
      <x:c r="C105" s="67" t="n">
        <x:v>72</x:v>
      </x:c>
      <x:c r="D105" s="70" t="n">
        <x:v>28671.1025447361</x:v>
      </x:c>
      <x:c r="E105" s="70" t="n">
        <x:v>14268.068439788525</x:v>
      </x:c>
      <x:c r="F105" s="70" t="n">
        <x:v>1503.1410101317213</x:v>
      </x:c>
      <x:c r="G105" s="69" t="n">
        <x:v>1</x:v>
      </x:c>
      <x:c r="H105" s="70" t="n">
        <x:v>6285.66513274579</x:v>
      </x:c>
      <x:c r="I105" s="70" t="n">
        <x:v>6285.66513274579</x:v>
      </x:c>
      <x:c r="J105" s="70" t="n">
        <x:v>6285.66513274579</x:v>
      </x:c>
      <x:c r="K105" s="69" t="n">
        <x:v>1</x:v>
      </x:c>
    </x:row>
    <x:row r="106">
      <x:c r="A106" s="61" t="str">
        <x:v>S3</x:v>
      </x:c>
      <x:c r="B106" s="61" t="str">
        <x:v>compound</x:v>
      </x:c>
      <x:c r="C106" s="62" t="n">
        <x:v>78</x:v>
      </x:c>
      <x:c r="D106" s="65" t="n">
        <x:v>28671.1025447361</x:v>
      </x:c>
      <x:c r="E106" s="65" t="n">
        <x:v>14268.068439788525</x:v>
      </x:c>
      <x:c r="F106" s="65" t="n">
        <x:v>1503.1410101317213</x:v>
      </x:c>
      <x:c r="G106" s="64" t="n">
        <x:v>1</x:v>
      </x:c>
      <x:c r="H106" s="65" t="n">
        <x:v>6285.66513274579</x:v>
      </x:c>
      <x:c r="I106" s="65" t="n">
        <x:v>6285.66513274579</x:v>
      </x:c>
      <x:c r="J106" s="65" t="n">
        <x:v>6285.66513274579</x:v>
      </x:c>
      <x:c r="K106" s="64" t="n">
        <x:v>1</x:v>
      </x:c>
    </x:row>
    <x:row r="107">
      <x:c r="A107" s="53" t="str">
        <x:v>S3</x:v>
      </x:c>
      <x:c r="B107" s="53" t="str">
        <x:v>compound</x:v>
      </x:c>
      <x:c r="C107" s="67" t="n">
        <x:v>84</x:v>
      </x:c>
      <x:c r="D107" s="70" t="n">
        <x:v>28671.1025447361</x:v>
      </x:c>
      <x:c r="E107" s="70" t="n">
        <x:v>14268.068439788525</x:v>
      </x:c>
      <x:c r="F107" s="70" t="n">
        <x:v>1503.1410101317213</x:v>
      </x:c>
      <x:c r="G107" s="69" t="n">
        <x:v>1</x:v>
      </x:c>
      <x:c r="H107" s="70" t="n">
        <x:v>6285.66513274579</x:v>
      </x:c>
      <x:c r="I107" s="70" t="n">
        <x:v>6285.66513274579</x:v>
      </x:c>
      <x:c r="J107" s="70" t="n">
        <x:v>6285.66513274579</x:v>
      </x:c>
      <x:c r="K107" s="69" t="n">
        <x:v>1</x:v>
      </x:c>
    </x:row>
    <x:row r="108">
      <x:c r="A108" s="61" t="str">
        <x:v>S3</x:v>
      </x:c>
      <x:c r="B108" s="61" t="str">
        <x:v>compound</x:v>
      </x:c>
      <x:c r="C108" s="62" t="n">
        <x:v>90</x:v>
      </x:c>
      <x:c r="D108" s="65" t="n">
        <x:v>28671.1025447361</x:v>
      </x:c>
      <x:c r="E108" s="65" t="n">
        <x:v>14268.068439788525</x:v>
      </x:c>
      <x:c r="F108" s="65" t="n">
        <x:v>1503.1410101317213</x:v>
      </x:c>
      <x:c r="G108" s="64" t="n">
        <x:v>1</x:v>
      </x:c>
      <x:c r="H108" s="65" t="n">
        <x:v>6285.66513274579</x:v>
      </x:c>
      <x:c r="I108" s="65" t="n">
        <x:v>6285.66513274579</x:v>
      </x:c>
      <x:c r="J108" s="65" t="n">
        <x:v>6285.66513274579</x:v>
      </x:c>
      <x:c r="K108" s="64" t="n">
        <x:v>1</x:v>
      </x:c>
    </x:row>
    <x:row r="109">
      <x:c r="A109" s="53" t="str">
        <x:v>S3</x:v>
      </x:c>
      <x:c r="B109" s="53" t="str">
        <x:v>compound</x:v>
      </x:c>
      <x:c r="C109" s="67" t="n">
        <x:v>96</x:v>
      </x:c>
      <x:c r="D109" s="70" t="n">
        <x:v>28671.1025447361</x:v>
      </x:c>
      <x:c r="E109" s="70" t="n">
        <x:v>14268.068439788525</x:v>
      </x:c>
      <x:c r="F109" s="70" t="n">
        <x:v>1503.1410101317213</x:v>
      </x:c>
      <x:c r="G109" s="69" t="n">
        <x:v>1</x:v>
      </x:c>
      <x:c r="H109" s="70" t="n">
        <x:v>6285.66513274579</x:v>
      </x:c>
      <x:c r="I109" s="70" t="n">
        <x:v>6285.66513274579</x:v>
      </x:c>
      <x:c r="J109" s="70" t="n">
        <x:v>6285.66513274579</x:v>
      </x:c>
      <x:c r="K109" s="69" t="n">
        <x:v>1</x:v>
      </x:c>
    </x:row>
    <x:row r="110">
      <x:c r="A110" s="61" t="str">
        <x:v>S3</x:v>
      </x:c>
      <x:c r="B110" s="61" t="str">
        <x:v>compound</x:v>
      </x:c>
      <x:c r="C110" s="62" t="n">
        <x:v>102</x:v>
      </x:c>
      <x:c r="D110" s="65" t="n">
        <x:v>28671.1025447361</x:v>
      </x:c>
      <x:c r="E110" s="65" t="n">
        <x:v>14268.068439788525</x:v>
      </x:c>
      <x:c r="F110" s="65" t="n">
        <x:v>1503.1410101317213</x:v>
      </x:c>
      <x:c r="G110" s="64" t="n">
        <x:v>1</x:v>
      </x:c>
      <x:c r="H110" s="65" t="n">
        <x:v>6285.66513274579</x:v>
      </x:c>
      <x:c r="I110" s="65" t="n">
        <x:v>6285.66513274579</x:v>
      </x:c>
      <x:c r="J110" s="65" t="n">
        <x:v>6285.66513274579</x:v>
      </x:c>
      <x:c r="K110" s="64" t="n">
        <x:v>1</x:v>
      </x:c>
    </x:row>
    <x:row r="111">
      <x:c r="A111" s="53" t="str">
        <x:v>S3</x:v>
      </x:c>
      <x:c r="B111" s="53" t="str">
        <x:v>compound</x:v>
      </x:c>
      <x:c r="C111" s="67" t="n">
        <x:v>108</x:v>
      </x:c>
      <x:c r="D111" s="70" t="n">
        <x:v>28671.1025447361</x:v>
      </x:c>
      <x:c r="E111" s="70" t="n">
        <x:v>14268.068439788525</x:v>
      </x:c>
      <x:c r="F111" s="70" t="n">
        <x:v>1503.1410101317213</x:v>
      </x:c>
      <x:c r="G111" s="69" t="n">
        <x:v>1</x:v>
      </x:c>
      <x:c r="H111" s="70" t="n">
        <x:v>6285.66513274579</x:v>
      </x:c>
      <x:c r="I111" s="70" t="n">
        <x:v>6285.66513274579</x:v>
      </x:c>
      <x:c r="J111" s="70" t="n">
        <x:v>6285.66513274579</x:v>
      </x:c>
      <x:c r="K111" s="69" t="n">
        <x:v>1</x:v>
      </x:c>
    </x:row>
    <x:row r="112">
      <x:c r="A112" s="61" t="str">
        <x:v>S3</x:v>
      </x:c>
      <x:c r="B112" s="61" t="str">
        <x:v>compound</x:v>
      </x:c>
      <x:c r="C112" s="62" t="n">
        <x:v>114</x:v>
      </x:c>
      <x:c r="D112" s="65" t="n">
        <x:v>28671.1025447361</x:v>
      </x:c>
      <x:c r="E112" s="65" t="n">
        <x:v>14268.068439788525</x:v>
      </x:c>
      <x:c r="F112" s="65" t="n">
        <x:v>1503.1410101317213</x:v>
      </x:c>
      <x:c r="G112" s="64" t="n">
        <x:v>1</x:v>
      </x:c>
      <x:c r="H112" s="65" t="n">
        <x:v>6285.66513274579</x:v>
      </x:c>
      <x:c r="I112" s="65" t="n">
        <x:v>6285.66513274579</x:v>
      </x:c>
      <x:c r="J112" s="65" t="n">
        <x:v>6285.66513274579</x:v>
      </x:c>
      <x:c r="K112" s="64" t="n">
        <x:v>1</x:v>
      </x:c>
    </x:row>
    <x:row r="113">
      <x:c r="A113" s="53" t="str">
        <x:v>S3</x:v>
      </x:c>
      <x:c r="B113" s="53" t="str">
        <x:v>compound</x:v>
      </x:c>
      <x:c r="C113" s="67" t="n">
        <x:v>120</x:v>
      </x:c>
      <x:c r="D113" s="70" t="n">
        <x:v>28671.1025447361</x:v>
      </x:c>
      <x:c r="E113" s="70" t="n">
        <x:v>14268.068439788525</x:v>
      </x:c>
      <x:c r="F113" s="70" t="n">
        <x:v>1503.1410101317213</x:v>
      </x:c>
      <x:c r="G113" s="69" t="n">
        <x:v>1</x:v>
      </x:c>
      <x:c r="H113" s="70" t="n">
        <x:v>6285.66513274579</x:v>
      </x:c>
      <x:c r="I113" s="70" t="n">
        <x:v>6285.66513274579</x:v>
      </x:c>
      <x:c r="J113" s="70" t="n">
        <x:v>6285.66513274579</x:v>
      </x:c>
      <x:c r="K113" s="69" t="n">
        <x:v>1</x:v>
      </x:c>
    </x:row>
    <x:row r="114">
      <x:c r="A114" s="61" t="str">
        <x:v>S3</x:v>
      </x:c>
      <x:c r="B114" s="61" t="str">
        <x:v>compound</x:v>
      </x:c>
      <x:c r="C114" s="62" t="n">
        <x:v>126</x:v>
      </x:c>
      <x:c r="D114" s="65" t="n">
        <x:v>28671.1025447361</x:v>
      </x:c>
      <x:c r="E114" s="65" t="n">
        <x:v>14268.068439788525</x:v>
      </x:c>
      <x:c r="F114" s="65" t="n">
        <x:v>1503.1410101317213</x:v>
      </x:c>
      <x:c r="G114" s="64" t="n">
        <x:v>1</x:v>
      </x:c>
      <x:c r="H114" s="65" t="n">
        <x:v>6285.66513274579</x:v>
      </x:c>
      <x:c r="I114" s="65" t="n">
        <x:v>6285.66513274579</x:v>
      </x:c>
      <x:c r="J114" s="65" t="n">
        <x:v>6285.66513274579</x:v>
      </x:c>
      <x:c r="K114" s="64" t="n">
        <x:v>1</x:v>
      </x:c>
    </x:row>
    <x:row r="115">
      <x:c r="A115" s="53" t="str">
        <x:v>S3</x:v>
      </x:c>
      <x:c r="B115" s="53" t="str">
        <x:v>compound</x:v>
      </x:c>
      <x:c r="C115" s="67" t="n">
        <x:v>132</x:v>
      </x:c>
      <x:c r="D115" s="70" t="n">
        <x:v>28671.1025447361</x:v>
      </x:c>
      <x:c r="E115" s="70" t="n">
        <x:v>14268.068439788525</x:v>
      </x:c>
      <x:c r="F115" s="70" t="n">
        <x:v>1503.1410101317213</x:v>
      </x:c>
      <x:c r="G115" s="69" t="n">
        <x:v>1</x:v>
      </x:c>
      <x:c r="H115" s="70" t="n">
        <x:v>6285.66513274579</x:v>
      </x:c>
      <x:c r="I115" s="70" t="n">
        <x:v>6285.66513274579</x:v>
      </x:c>
      <x:c r="J115" s="70" t="n">
        <x:v>6285.66513274579</x:v>
      </x:c>
      <x:c r="K115" s="69" t="n">
        <x:v>1</x:v>
      </x:c>
    </x:row>
    <x:row r="116">
      <x:c r="A116" s="61" t="str">
        <x:v>S3</x:v>
      </x:c>
      <x:c r="B116" s="61" t="str">
        <x:v>compound</x:v>
      </x:c>
      <x:c r="C116" s="62" t="n">
        <x:v>138</x:v>
      </x:c>
      <x:c r="D116" s="65" t="n">
        <x:v>28671.1025447361</x:v>
      </x:c>
      <x:c r="E116" s="65" t="n">
        <x:v>14268.068439788525</x:v>
      </x:c>
      <x:c r="F116" s="65" t="n">
        <x:v>1503.1410101317213</x:v>
      </x:c>
      <x:c r="G116" s="64" t="n">
        <x:v>1</x:v>
      </x:c>
      <x:c r="H116" s="65" t="n">
        <x:v>6285.66513274579</x:v>
      </x:c>
      <x:c r="I116" s="65" t="n">
        <x:v>6285.66513274579</x:v>
      </x:c>
      <x:c r="J116" s="65" t="n">
        <x:v>6285.66513274579</x:v>
      </x:c>
      <x:c r="K116" s="64" t="n">
        <x:v>1</x:v>
      </x:c>
    </x:row>
    <x:row r="117">
      <x:c r="A117" s="53" t="str">
        <x:v>S3</x:v>
      </x:c>
      <x:c r="B117" s="53" t="str">
        <x:v>compound</x:v>
      </x:c>
      <x:c r="C117" s="67" t="n">
        <x:v>144</x:v>
      </x:c>
      <x:c r="D117" s="70" t="n">
        <x:v>28671.1025447361</x:v>
      </x:c>
      <x:c r="E117" s="70" t="n">
        <x:v>14268.068439788525</x:v>
      </x:c>
      <x:c r="F117" s="70" t="n">
        <x:v>1503.1410101317213</x:v>
      </x:c>
      <x:c r="G117" s="69" t="n">
        <x:v>1</x:v>
      </x:c>
      <x:c r="H117" s="70" t="n">
        <x:v>6285.66513274579</x:v>
      </x:c>
      <x:c r="I117" s="70" t="n">
        <x:v>6285.66513274579</x:v>
      </x:c>
      <x:c r="J117" s="70" t="n">
        <x:v>6285.66513274579</x:v>
      </x:c>
      <x:c r="K117" s="69" t="n">
        <x:v>1</x:v>
      </x:c>
    </x:row>
    <x:row r="118">
      <x:c r="A118" s="61" t="str">
        <x:v>S3</x:v>
      </x:c>
      <x:c r="B118" s="61" t="str">
        <x:v>compound</x:v>
      </x:c>
      <x:c r="C118" s="62" t="n">
        <x:v>150</x:v>
      </x:c>
      <x:c r="D118" s="65" t="n">
        <x:v>28671.1025447361</x:v>
      </x:c>
      <x:c r="E118" s="65" t="n">
        <x:v>14268.068439788525</x:v>
      </x:c>
      <x:c r="F118" s="65" t="n">
        <x:v>1503.1410101317213</x:v>
      </x:c>
      <x:c r="G118" s="64" t="n">
        <x:v>1</x:v>
      </x:c>
      <x:c r="H118" s="65" t="n">
        <x:v>6285.66513274579</x:v>
      </x:c>
      <x:c r="I118" s="65" t="n">
        <x:v>6285.66513274579</x:v>
      </x:c>
      <x:c r="J118" s="65" t="n">
        <x:v>6285.66513274579</x:v>
      </x:c>
      <x:c r="K118" s="64" t="n">
        <x:v>1</x:v>
      </x:c>
    </x:row>
    <x:row r="119">
      <x:c r="A119" s="53" t="str">
        <x:v>S3</x:v>
      </x:c>
      <x:c r="B119" s="53" t="str">
        <x:v>compound</x:v>
      </x:c>
      <x:c r="C119" s="67" t="n">
        <x:v>156</x:v>
      </x:c>
      <x:c r="D119" s="70" t="n">
        <x:v>28671.1025447361</x:v>
      </x:c>
      <x:c r="E119" s="70" t="n">
        <x:v>14268.068439788525</x:v>
      </x:c>
      <x:c r="F119" s="70" t="n">
        <x:v>1503.1410101317213</x:v>
      </x:c>
      <x:c r="G119" s="69" t="n">
        <x:v>1</x:v>
      </x:c>
      <x:c r="H119" s="70" t="n">
        <x:v>6285.66513274579</x:v>
      </x:c>
      <x:c r="I119" s="70" t="n">
        <x:v>6285.66513274579</x:v>
      </x:c>
      <x:c r="J119" s="70" t="n">
        <x:v>6285.66513274579</x:v>
      </x:c>
      <x:c r="K119" s="69" t="n">
        <x:v>1</x:v>
      </x:c>
    </x:row>
    <x:row r="120">
      <x:c r="A120" s="61" t="str">
        <x:v>S3</x:v>
      </x:c>
      <x:c r="B120" s="61" t="str">
        <x:v>compound</x:v>
      </x:c>
      <x:c r="C120" s="62" t="n">
        <x:v>162</x:v>
      </x:c>
      <x:c r="D120" s="65" t="n">
        <x:v>28671.1025447361</x:v>
      </x:c>
      <x:c r="E120" s="65" t="n">
        <x:v>14268.068439788525</x:v>
      </x:c>
      <x:c r="F120" s="65" t="n">
        <x:v>1503.1410101317213</x:v>
      </x:c>
      <x:c r="G120" s="64" t="n">
        <x:v>1</x:v>
      </x:c>
      <x:c r="H120" s="65" t="n">
        <x:v>6285.66513274579</x:v>
      </x:c>
      <x:c r="I120" s="65" t="n">
        <x:v>6285.66513274579</x:v>
      </x:c>
      <x:c r="J120" s="65" t="n">
        <x:v>6285.66513274579</x:v>
      </x:c>
      <x:c r="K120" s="64" t="n">
        <x:v>1</x:v>
      </x:c>
    </x:row>
    <x:row r="121">
      <x:c r="A121" s="53" t="str">
        <x:v>S3</x:v>
      </x:c>
      <x:c r="B121" s="53" t="str">
        <x:v>compound</x:v>
      </x:c>
      <x:c r="C121" s="67" t="n">
        <x:v>168</x:v>
      </x:c>
      <x:c r="D121" s="70" t="n">
        <x:v>28671.1025447361</x:v>
      </x:c>
      <x:c r="E121" s="70" t="n">
        <x:v>14268.068439788525</x:v>
      </x:c>
      <x:c r="F121" s="70" t="n">
        <x:v>1503.1410101317213</x:v>
      </x:c>
      <x:c r="G121" s="69" t="n">
        <x:v>1</x:v>
      </x:c>
      <x:c r="H121" s="70" t="n">
        <x:v>6285.66513274579</x:v>
      </x:c>
      <x:c r="I121" s="70" t="n">
        <x:v>6285.66513274579</x:v>
      </x:c>
      <x:c r="J121" s="70" t="n">
        <x:v>6285.66513274579</x:v>
      </x:c>
      <x:c r="K121" s="69" t="n">
        <x:v>1</x:v>
      </x:c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</x:row>
    <x:row r="124">
      <x:c r="A124" s="79" t="str">
        <x:v>Closure series</x:v>
      </x:c>
      <x:c r="B124" s="79"/>
      <x:c r="C124" s="79"/>
      <x:c r="D124" s="79"/>
      <x:c r="E124" s="79"/>
      <x:c r="F124" s="79"/>
      <x:c r="G124" s="79"/>
      <x:c r="H124" s="79"/>
      <x:c r="I124" s="79"/>
      <x:c r="J124" s="79"/>
      <x:c r="K124" s="79"/>
    </x:row>
    <x:row r="125">
      <x:c r="A125" s="15" t="str">
        <x:v>Hour</x:v>
      </x:c>
      <x:c r="B125" s="16" t="str">
        <x:v>A2 base</x:v>
      </x:c>
      <x:c r="C125" s="16" t="str">
        <x:v>A2 isolated</x:v>
      </x:c>
      <x:c r="D125" s="16" t="str">
        <x:v>S3 isolated</x:v>
      </x:c>
      <x:c r="E125" s="17" t="str">
        <x:v>S3 compound</x:v>
      </x:c>
      <x:c r="F125" s="53"/>
      <x:c r="G125" s="53"/>
      <x:c r="H125" s="53"/>
      <x:c r="I125" s="53"/>
      <x:c r="J125" s="53"/>
      <x:c r="K125" s="53"/>
    </x:row>
    <x:row r="126">
      <x:c r="A126" s="53" t="n">
        <x:v>0</x:v>
      </x:c>
      <x:c r="B126" s="69" t="n">
        <x:v>0</x:v>
      </x:c>
      <x:c r="C126" s="69" t="n">
        <x:v>0</x:v>
      </x:c>
      <x:c r="D126" s="69" t="n">
        <x:v>0</x:v>
      </x:c>
      <x:c r="E126" s="69" t="n">
        <x:v>0</x:v>
      </x:c>
      <x:c r="F126" s="53"/>
      <x:c r="G126" s="53"/>
      <x:c r="H126" s="53"/>
      <x:c r="I126" s="53"/>
      <x:c r="J126" s="53"/>
      <x:c r="K126" s="53"/>
    </x:row>
    <x:row r="127">
      <x:c r="A127" s="53" t="n">
        <x:v>6</x:v>
      </x:c>
      <x:c r="B127" s="69" t="n">
        <x:v>0.16210499548895546</x:v>
      </x:c>
      <x:c r="C127" s="69" t="n">
        <x:v>0.16210499548895546</x:v>
      </x:c>
      <x:c r="D127" s="69" t="n">
        <x:v>0.25030918421088716</x:v>
      </x:c>
      <x:c r="E127" s="69" t="n">
        <x:v>0.25030918421088716</x:v>
      </x:c>
      <x:c r="F127" s="53"/>
      <x:c r="G127" s="53"/>
      <x:c r="H127" s="53"/>
      <x:c r="I127" s="53"/>
      <x:c r="J127" s="53"/>
      <x:c r="K127" s="53"/>
    </x:row>
    <x:row r="128">
      <x:c r="A128" s="53" t="n">
        <x:v>12</x:v>
      </x:c>
      <x:c r="B128" s="69" t="n">
        <x:v>0.35400679626637493</x:v>
      </x:c>
      <x:c r="C128" s="69" t="n">
        <x:v>0.34628068515337757</x:v>
      </x:c>
      <x:c r="D128" s="69" t="n">
        <x:v>0.5272419123800678</x:v>
      </x:c>
      <x:c r="E128" s="69" t="n">
        <x:v>0.5209298358118151</x:v>
      </x:c>
      <x:c r="F128" s="53"/>
      <x:c r="G128" s="53"/>
      <x:c r="H128" s="53"/>
      <x:c r="I128" s="53"/>
      <x:c r="J128" s="53"/>
      <x:c r="K128" s="53"/>
    </x:row>
    <x:row r="129">
      <x:c r="A129" s="53" t="n">
        <x:v>18</x:v>
      </x:c>
      <x:c r="B129" s="69" t="n">
        <x:v>0.5459085970437945</x:v>
      </x:c>
      <x:c r="C129" s="69" t="n">
        <x:v>0.5291771344075525</x:v>
      </x:c>
      <x:c r="D129" s="69" t="n">
        <x:v>0.804033612584708</x:v>
      </x:c>
      <x:c r="E129" s="69" t="n">
        <x:v>0.7908024280138701</x:v>
      </x:c>
      <x:c r="F129" s="53"/>
      <x:c r="G129" s="53"/>
      <x:c r="H129" s="53"/>
      <x:c r="I129" s="53"/>
      <x:c r="J129" s="53"/>
      <x:c r="K129" s="53"/>
    </x:row>
    <x:row r="130">
      <x:c r="A130" s="53" t="n">
        <x:v>24</x:v>
      </x:c>
      <x:c r="B130" s="69" t="n">
        <x:v>0.7378103978212138</x:v>
      </x:c>
      <x:c r="C130" s="69" t="n">
        <x:v>0.7185776547800516</x:v>
      </x:c>
      <x:c r="D130" s="69" t="n">
        <x:v>0.9085565334869182</x:v>
      </x:c>
      <x:c r="E130" s="69" t="n">
        <x:v>0.8858975277678557</x:v>
      </x:c>
      <x:c r="F130" s="53"/>
      <x:c r="G130" s="53"/>
      <x:c r="H130" s="53"/>
      <x:c r="I130" s="53"/>
      <x:c r="J130" s="53"/>
      <x:c r="K130" s="53"/>
    </x:row>
    <x:row r="131">
      <x:c r="A131" s="53" t="n">
        <x:v>30</x:v>
      </x:c>
      <x:c r="B131" s="69" t="n">
        <x:v>0.8999153933101695</x:v>
      </x:c>
      <x:c r="C131" s="69" t="n">
        <x:v>0.8999153933101695</x:v>
      </x:c>
      <x:c r="D131" s="69" t="n">
        <x:v>0.9274559605698514</x:v>
      </x:c>
      <x:c r="E131" s="69" t="n">
        <x:v>0.909577877396773</x:v>
      </x:c>
      <x:c r="F131" s="53"/>
      <x:c r="G131" s="53"/>
      <x:c r="H131" s="53"/>
      <x:c r="I131" s="53"/>
      <x:c r="J131" s="53"/>
      <x:c r="K131" s="53"/>
    </x:row>
    <x:row r="132">
      <x:c r="A132" s="53" t="n">
        <x:v>36</x:v>
      </x:c>
      <x:c r="B132" s="69" t="n">
        <x:v>0.9393746826852369</x:v>
      </x:c>
      <x:c r="C132" s="69" t="n">
        <x:v>0.9393746826852369</x:v>
      </x:c>
      <x:c r="D132" s="69" t="n">
        <x:v>0.9632121269160081</x:v>
      </x:c>
      <x:c r="E132" s="69" t="n">
        <x:v>0.9393746826852369</x:v>
      </x:c>
      <x:c r="F132" s="53"/>
      <x:c r="G132" s="53"/>
      <x:c r="H132" s="53"/>
      <x:c r="I132" s="53"/>
      <x:c r="J132" s="53"/>
      <x:c r="K132" s="53"/>
    </x:row>
    <x:row r="133">
      <x:c r="A133" s="53" t="n">
        <x:v>42</x:v>
      </x:c>
      <x:c r="B133" s="69" t="n">
        <x:v>0.9691714879737011</x:v>
      </x:c>
      <x:c r="C133" s="69" t="n">
        <x:v>0.9691714879737011</x:v>
      </x:c>
      <x:c r="D133" s="69" t="n">
        <x:v>0.9919052230642698</x:v>
      </x:c>
      <x:c r="E133" s="69" t="n">
        <x:v>0.9691714879737011</x:v>
      </x:c>
      <x:c r="F133" s="53"/>
      <x:c r="G133" s="53"/>
      <x:c r="H133" s="53"/>
      <x:c r="I133" s="53"/>
      <x:c r="J133" s="53"/>
      <x:c r="K133" s="53"/>
    </x:row>
    <x:row r="134">
      <x:c r="A134" s="53" t="n">
        <x:v>48</x:v>
      </x:c>
      <x:c r="B134" s="69" t="n">
        <x:v>0.9946613722601154</x:v>
      </x:c>
      <x:c r="C134" s="69" t="n">
        <x:v>0.9946613722601154</x:v>
      </x:c>
      <x:c r="D134" s="69" t="n">
        <x:v>0.995886327458269</x:v>
      </x:c>
      <x:c r="E134" s="69" t="n">
        <x:v>0.9895165604278705</x:v>
      </x:c>
      <x:c r="F134" s="53"/>
      <x:c r="G134" s="53"/>
      <x:c r="H134" s="53"/>
      <x:c r="I134" s="53"/>
      <x:c r="J134" s="53"/>
      <x:c r="K134" s="53"/>
    </x:row>
    <x:row r="135">
      <x:c r="A135" s="53" t="n">
        <x:v>54</x:v>
      </x:c>
      <x:c r="B135" s="69" t="n">
        <x:v>0.9984893572543453</x:v>
      </x:c>
      <x:c r="C135" s="69" t="n">
        <x:v>0.9984893572543453</x:v>
      </x:c>
      <x:c r="D135" s="69" t="n">
        <x:v>0.9998674318522681</x:v>
      </x:c>
      <x:c r="E135" s="69" t="n">
        <x:v>0.9927014439430697</x:v>
      </x:c>
      <x:c r="F135" s="53"/>
      <x:c r="G135" s="53"/>
      <x:c r="H135" s="53"/>
      <x:c r="I135" s="53"/>
      <x:c r="J135" s="53"/>
      <x:c r="K135" s="53"/>
    </x:row>
    <x:row r="136">
      <x:c r="A136" s="53" t="n">
        <x:v>60</x:v>
      </x:c>
      <x:c r="B136" s="69" t="n">
        <x:v>1</x:v>
      </x:c>
      <x:c r="C136" s="69" t="n">
        <x:v>1</x:v>
      </x:c>
      <x:c r="D136" s="69" t="n">
        <x:v>1</x:v>
      </x:c>
      <x:c r="E136" s="69" t="n">
        <x:v>0.995886327458269</x:v>
      </x:c>
      <x:c r="F136" s="53"/>
      <x:c r="G136" s="53"/>
      <x:c r="H136" s="53"/>
      <x:c r="I136" s="53"/>
      <x:c r="J136" s="53"/>
      <x:c r="K136" s="53"/>
    </x:row>
    <x:row r="137">
      <x:c r="A137" s="53" t="n">
        <x:v>66</x:v>
      </x:c>
      <x:c r="B137" s="69" t="n">
        <x:v>1</x:v>
      </x:c>
      <x:c r="C137" s="69" t="n">
        <x:v>1</x:v>
      </x:c>
      <x:c r="D137" s="69" t="n">
        <x:v>1</x:v>
      </x:c>
      <x:c r="E137" s="69" t="n">
        <x:v>0.9990712109734682</x:v>
      </x:c>
      <x:c r="F137" s="53"/>
      <x:c r="G137" s="53"/>
      <x:c r="H137" s="53"/>
      <x:c r="I137" s="53"/>
      <x:c r="J137" s="53"/>
      <x:c r="K137" s="53"/>
    </x:row>
    <x:row r="138">
      <x:c r="A138" s="53" t="n">
        <x:v>72</x:v>
      </x:c>
      <x:c r="B138" s="69" t="n">
        <x:v>1</x:v>
      </x:c>
      <x:c r="C138" s="69" t="n">
        <x:v>1</x:v>
      </x:c>
      <x:c r="D138" s="69" t="n">
        <x:v>1</x:v>
      </x:c>
      <x:c r="E138" s="69" t="n">
        <x:v>1</x:v>
      </x:c>
      <x:c r="F138" s="53"/>
      <x:c r="G138" s="53"/>
      <x:c r="H138" s="53"/>
      <x:c r="I138" s="53"/>
      <x:c r="J138" s="53"/>
      <x:c r="K138" s="53"/>
    </x:row>
    <x:row r="139">
      <x:c r="A139" s="53" t="n">
        <x:v>78</x:v>
      </x:c>
      <x:c r="B139" s="69" t="n">
        <x:v>1</x:v>
      </x:c>
      <x:c r="C139" s="69" t="n">
        <x:v>1</x:v>
      </x:c>
      <x:c r="D139" s="69" t="n">
        <x:v>1</x:v>
      </x:c>
      <x:c r="E139" s="69" t="n">
        <x:v>1</x:v>
      </x:c>
      <x:c r="F139" s="53"/>
      <x:c r="G139" s="53"/>
      <x:c r="H139" s="53"/>
      <x:c r="I139" s="53"/>
      <x:c r="J139" s="53"/>
      <x:c r="K139" s="53"/>
    </x:row>
    <x:row r="140">
      <x:c r="A140" s="53" t="n">
        <x:v>84</x:v>
      </x:c>
      <x:c r="B140" s="69" t="n">
        <x:v>1</x:v>
      </x:c>
      <x:c r="C140" s="69" t="n">
        <x:v>1</x:v>
      </x:c>
      <x:c r="D140" s="69" t="n">
        <x:v>1</x:v>
      </x:c>
      <x:c r="E140" s="69" t="n">
        <x:v>1</x:v>
      </x:c>
      <x:c r="F140" s="53"/>
      <x:c r="G140" s="53"/>
      <x:c r="H140" s="53"/>
      <x:c r="I140" s="53"/>
      <x:c r="J140" s="53"/>
      <x:c r="K140" s="53"/>
    </x:row>
    <x:row r="141">
      <x:c r="A141" s="53" t="n">
        <x:v>90</x:v>
      </x:c>
      <x:c r="B141" s="69" t="n">
        <x:v>1</x:v>
      </x:c>
      <x:c r="C141" s="69" t="n">
        <x:v>1</x:v>
      </x:c>
      <x:c r="D141" s="69" t="n">
        <x:v>1</x:v>
      </x:c>
      <x:c r="E141" s="69" t="n">
        <x:v>1</x:v>
      </x:c>
      <x:c r="F141" s="53"/>
      <x:c r="G141" s="53"/>
      <x:c r="H141" s="53"/>
      <x:c r="I141" s="53"/>
      <x:c r="J141" s="53"/>
      <x:c r="K141" s="53"/>
    </x:row>
    <x:row r="142">
      <x:c r="A142" s="53" t="n">
        <x:v>96</x:v>
      </x:c>
      <x:c r="B142" s="69" t="n">
        <x:v>1</x:v>
      </x:c>
      <x:c r="C142" s="69" t="n">
        <x:v>1</x:v>
      </x:c>
      <x:c r="D142" s="69" t="n">
        <x:v>1</x:v>
      </x:c>
      <x:c r="E142" s="69" t="n">
        <x:v>1</x:v>
      </x:c>
      <x:c r="F142" s="53"/>
      <x:c r="G142" s="53"/>
      <x:c r="H142" s="53"/>
      <x:c r="I142" s="53"/>
      <x:c r="J142" s="53"/>
      <x:c r="K142" s="53"/>
    </x:row>
    <x:row r="143">
      <x:c r="A143" s="53" t="n">
        <x:v>102</x:v>
      </x:c>
      <x:c r="B143" s="69" t="n">
        <x:v>1</x:v>
      </x:c>
      <x:c r="C143" s="69" t="n">
        <x:v>1</x:v>
      </x:c>
      <x:c r="D143" s="69" t="n">
        <x:v>1</x:v>
      </x:c>
      <x:c r="E143" s="69" t="n">
        <x:v>1</x:v>
      </x:c>
      <x:c r="F143" s="53"/>
      <x:c r="G143" s="53"/>
      <x:c r="H143" s="53"/>
      <x:c r="I143" s="53"/>
      <x:c r="J143" s="53"/>
      <x:c r="K143" s="53"/>
    </x:row>
    <x:row r="144">
      <x:c r="A144" s="53" t="n">
        <x:v>108</x:v>
      </x:c>
      <x:c r="B144" s="69" t="n">
        <x:v>1</x:v>
      </x:c>
      <x:c r="C144" s="69" t="n">
        <x:v>1</x:v>
      </x:c>
      <x:c r="D144" s="69" t="n">
        <x:v>1</x:v>
      </x:c>
      <x:c r="E144" s="69" t="n">
        <x:v>1</x:v>
      </x:c>
      <x:c r="F144" s="53"/>
      <x:c r="G144" s="53"/>
      <x:c r="H144" s="53"/>
      <x:c r="I144" s="53"/>
      <x:c r="J144" s="53"/>
      <x:c r="K144" s="53"/>
    </x:row>
    <x:row r="145">
      <x:c r="A145" s="53" t="n">
        <x:v>114</x:v>
      </x:c>
      <x:c r="B145" s="69" t="n">
        <x:v>1</x:v>
      </x:c>
      <x:c r="C145" s="69" t="n">
        <x:v>1</x:v>
      </x:c>
      <x:c r="D145" s="69" t="n">
        <x:v>1</x:v>
      </x:c>
      <x:c r="E145" s="69" t="n">
        <x:v>1</x:v>
      </x:c>
      <x:c r="F145" s="53"/>
      <x:c r="G145" s="53"/>
      <x:c r="H145" s="53"/>
      <x:c r="I145" s="53"/>
      <x:c r="J145" s="53"/>
      <x:c r="K145" s="53"/>
    </x:row>
    <x:row r="146">
      <x:c r="A146" s="53" t="n">
        <x:v>120</x:v>
      </x:c>
      <x:c r="B146" s="69" t="n">
        <x:v>1</x:v>
      </x:c>
      <x:c r="C146" s="69" t="n">
        <x:v>1</x:v>
      </x:c>
      <x:c r="D146" s="69" t="n">
        <x:v>1</x:v>
      </x:c>
      <x:c r="E146" s="69" t="n">
        <x:v>1</x:v>
      </x:c>
      <x:c r="F146" s="53"/>
      <x:c r="G146" s="53"/>
      <x:c r="H146" s="53"/>
      <x:c r="I146" s="53"/>
      <x:c r="J146" s="53"/>
      <x:c r="K146" s="53"/>
    </x:row>
    <x:row r="147">
      <x:c r="A147" s="53" t="n">
        <x:v>126</x:v>
      </x:c>
      <x:c r="B147" s="69" t="n">
        <x:v>1</x:v>
      </x:c>
      <x:c r="C147" s="69" t="n">
        <x:v>1</x:v>
      </x:c>
      <x:c r="D147" s="69" t="n">
        <x:v>1</x:v>
      </x:c>
      <x:c r="E147" s="69" t="n">
        <x:v>1</x:v>
      </x:c>
      <x:c r="F147" s="53"/>
      <x:c r="G147" s="53"/>
      <x:c r="H147" s="53"/>
      <x:c r="I147" s="53"/>
      <x:c r="J147" s="53"/>
      <x:c r="K147" s="53"/>
    </x:row>
    <x:row r="148">
      <x:c r="A148" s="53" t="n">
        <x:v>132</x:v>
      </x:c>
      <x:c r="B148" s="69" t="n">
        <x:v>1</x:v>
      </x:c>
      <x:c r="C148" s="69" t="n">
        <x:v>1</x:v>
      </x:c>
      <x:c r="D148" s="69" t="n">
        <x:v>1</x:v>
      </x:c>
      <x:c r="E148" s="69" t="n">
        <x:v>1</x:v>
      </x:c>
      <x:c r="F148" s="53"/>
      <x:c r="G148" s="53"/>
      <x:c r="H148" s="53"/>
      <x:c r="I148" s="53"/>
      <x:c r="J148" s="53"/>
      <x:c r="K148" s="53"/>
    </x:row>
    <x:row r="149">
      <x:c r="A149" s="53" t="n">
        <x:v>138</x:v>
      </x:c>
      <x:c r="B149" s="69" t="n">
        <x:v>1</x:v>
      </x:c>
      <x:c r="C149" s="69" t="n">
        <x:v>1</x:v>
      </x:c>
      <x:c r="D149" s="69" t="n">
        <x:v>1</x:v>
      </x:c>
      <x:c r="E149" s="69" t="n">
        <x:v>1</x:v>
      </x:c>
      <x:c r="F149" s="53"/>
      <x:c r="G149" s="53"/>
      <x:c r="H149" s="53"/>
      <x:c r="I149" s="53"/>
      <x:c r="J149" s="53"/>
      <x:c r="K149" s="53"/>
    </x:row>
    <x:row r="150">
      <x:c r="A150" s="53" t="n">
        <x:v>144</x:v>
      </x:c>
      <x:c r="B150" s="69" t="n">
        <x:v>1</x:v>
      </x:c>
      <x:c r="C150" s="69" t="n">
        <x:v>1</x:v>
      </x:c>
      <x:c r="D150" s="69" t="n">
        <x:v>1</x:v>
      </x:c>
      <x:c r="E150" s="69" t="n">
        <x:v>1</x:v>
      </x:c>
      <x:c r="F150" s="53"/>
      <x:c r="G150" s="53"/>
      <x:c r="H150" s="53"/>
      <x:c r="I150" s="53"/>
      <x:c r="J150" s="53"/>
      <x:c r="K150" s="53"/>
    </x:row>
    <x:row r="151">
      <x:c r="A151" s="53" t="n">
        <x:v>150</x:v>
      </x:c>
      <x:c r="B151" s="69" t="n">
        <x:v>1</x:v>
      </x:c>
      <x:c r="C151" s="69" t="n">
        <x:v>1</x:v>
      </x:c>
      <x:c r="D151" s="69" t="n">
        <x:v>1</x:v>
      </x:c>
      <x:c r="E151" s="69" t="n">
        <x:v>1</x:v>
      </x:c>
      <x:c r="F151" s="53"/>
      <x:c r="G151" s="53"/>
      <x:c r="H151" s="53"/>
      <x:c r="I151" s="53"/>
      <x:c r="J151" s="53"/>
      <x:c r="K151" s="53"/>
    </x:row>
    <x:row r="152">
      <x:c r="A152" s="53" t="n">
        <x:v>156</x:v>
      </x:c>
      <x:c r="B152" s="69" t="n">
        <x:v>1</x:v>
      </x:c>
      <x:c r="C152" s="69" t="n">
        <x:v>1</x:v>
      </x:c>
      <x:c r="D152" s="69" t="n">
        <x:v>1</x:v>
      </x:c>
      <x:c r="E152" s="69" t="n">
        <x:v>1</x:v>
      </x:c>
      <x:c r="F152" s="53"/>
      <x:c r="G152" s="53"/>
      <x:c r="H152" s="53"/>
      <x:c r="I152" s="53"/>
      <x:c r="J152" s="53"/>
      <x:c r="K152" s="53"/>
    </x:row>
    <x:row r="153">
      <x:c r="A153" s="53" t="n">
        <x:v>162</x:v>
      </x:c>
      <x:c r="B153" s="69" t="n">
        <x:v>1</x:v>
      </x:c>
      <x:c r="C153" s="69" t="n">
        <x:v>1</x:v>
      </x:c>
      <x:c r="D153" s="69" t="n">
        <x:v>1</x:v>
      </x:c>
      <x:c r="E153" s="69" t="n">
        <x:v>1</x:v>
      </x:c>
      <x:c r="F153" s="53"/>
      <x:c r="G153" s="53"/>
      <x:c r="H153" s="53"/>
      <x:c r="I153" s="53"/>
      <x:c r="J153" s="53"/>
      <x:c r="K153" s="53"/>
    </x:row>
    <x:row r="154">
      <x:c r="A154" s="53" t="n">
        <x:v>168</x:v>
      </x:c>
      <x:c r="B154" s="69" t="n">
        <x:v>1</x:v>
      </x:c>
      <x:c r="C154" s="69" t="n">
        <x:v>1</x:v>
      </x:c>
      <x:c r="D154" s="69" t="n">
        <x:v>1</x:v>
      </x:c>
      <x:c r="E154" s="69" t="n">
        <x:v>1</x:v>
      </x:c>
      <x:c r="F154" s="53"/>
      <x:c r="G154" s="53"/>
      <x:c r="H154" s="53"/>
      <x:c r="I154" s="53"/>
      <x:c r="J154" s="53"/>
      <x:c r="K154" s="53"/>
    </x:row>
  </x:sheetData>
  <x:mergeCells>
    <x:mergeCell ref="A1:K1"/>
    <x:mergeCell ref="A2:K2"/>
    <x:mergeCell ref="A124:K124"/>
  </x:mergeCells>
  <x:pageMargins left="0.7" right="0.7" top="0.75" bottom="0.75" header="0.3" footer="0.3"/>
  <x:drawing xmlns:r="http://schemas.openxmlformats.org/officeDocument/2006/relationships" r:id="R7cbca3d261f84d7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670000076293945" hidden="0" customWidth="1"/>
    <x:col min="3" max="3" width="8.890000343322754" hidden="0" customWidth="1"/>
    <x:col min="4" max="4" width="15" hidden="0" customWidth="1"/>
    <x:col min="5" max="5" width="13.890000343322754" hidden="0" customWidth="1"/>
    <x:col min="6" max="6" width="8.890000343322754" hidden="0" customWidth="1"/>
    <x:col min="7" max="7" width="37.779998779296875" hidden="0" customWidth="1"/>
    <x:col min="8" max="8" width="8.890000343322754" hidden="0" customWidth="1"/>
  </x:cols>
  <x:sheetData>
    <x:row r="1">
      <x:c r="A1" s="74" t="str">
        <x:v>Access and movement task model</x:v>
      </x:c>
      <x:c r="B1" s="53"/>
      <x:c r="C1" s="53"/>
      <x:c r="D1" s="53"/>
      <x:c r="E1" s="53"/>
      <x:c r="F1" s="53"/>
      <x:c r="G1" s="53"/>
      <x:c r="H1" s="53"/>
    </x:row>
    <x:row r="2">
      <x:c r="A2" s="75" t="str">
        <x:v>The cell is sized from completed workload under deadlines, not from nominal teams or vehicle counts.</x:v>
      </x:c>
      <x:c r="B2" s="53"/>
      <x:c r="C2" s="53"/>
      <x:c r="D2" s="53"/>
      <x:c r="E2" s="53"/>
      <x:c r="F2" s="53"/>
      <x:c r="G2" s="53"/>
      <x:c r="H2" s="53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3"/>
      <x:c r="B4" s="53"/>
      <x:c r="C4" s="53"/>
      <x:c r="D4" s="53"/>
      <x:c r="E4" s="53"/>
      <x:c r="F4" s="53"/>
      <x:c r="G4" s="53"/>
      <x:c r="H4" s="53"/>
    </x:row>
    <x:row r="5">
      <x:c r="A5" s="15" t="str">
        <x:v>Task</x:v>
      </x:c>
      <x:c r="B5" s="16" t="str">
        <x:v>Requirement</x:v>
      </x:c>
      <x:c r="C5" s="16" t="str">
        <x:v>Deadline h</x:v>
      </x:c>
      <x:c r="D5" s="16" t="str">
        <x:v>Conventional productivity</x:v>
      </x:c>
      <x:c r="E5" s="16" t="str">
        <x:v>Technology target</x:v>
      </x:c>
      <x:c r="F5" s="16" t="str">
        <x:v>Availability</x:v>
      </x:c>
      <x:c r="G5" s="16" t="str">
        <x:v>Governing failure</x:v>
      </x:c>
      <x:c r="H5" s="17" t="str">
        <x:v>Evidence state</x:v>
      </x:c>
    </x:row>
    <x:row r="6" ht="33" customHeight="1">
      <x:c r="A6" s="72" t="str">
        <x:v>Household verification</x:v>
      </x:c>
      <x:c r="B6" s="121" t="n">
        <x:v>14268.068439788525</x:v>
      </x:c>
      <x:c r="C6" s="122" t="n">
        <x:v>36</x:v>
      </x:c>
      <x:c r="D6" s="123" t="n">
        <x:v>1.6</x:v>
      </x:c>
      <x:c r="E6" s="123" t="n">
        <x:v>2.4</x:v>
      </x:c>
      <x:c r="F6" s="124" t="n">
        <x:v>0.8</x:v>
      </x:c>
      <x:c r="G6" s="72" t="str">
        <x:v>commercial-network loss shifts work to field teams</x:v>
      </x:c>
      <x:c r="H6" s="72" t="str">
        <x:v>OPEN</x:v>
      </x:c>
    </x:row>
    <x:row r="7" ht="33" customHeight="1">
      <x:c r="A7" s="73" t="str">
        <x:v>Assisted vertical movement</x:v>
      </x:c>
      <x:c r="B7" s="125" t="n">
        <x:v>1503.1410101317213</x:v>
      </x:c>
      <x:c r="C7" s="126" t="n">
        <x:v>72</x:v>
      </x:c>
      <x:c r="D7" s="127" t="n">
        <x:v>0.5</x:v>
      </x:c>
      <x:c r="E7" s="127" t="n">
        <x:v>0.8</x:v>
      </x:c>
      <x:c r="F7" s="128" t="n">
        <x:v>0.8</x:v>
      </x:c>
      <x:c r="G7" s="73" t="str">
        <x:v>building state, mobility device, heat, stairs, and worker injury</x:v>
      </x:c>
      <x:c r="H7" s="73" t="str">
        <x:v>OPEN</x:v>
      </x:c>
    </x:row>
    <x:row r="8" ht="33" customHeight="1">
      <x:c r="A8" s="72" t="str">
        <x:v>Accessible collection</x:v>
      </x:c>
      <x:c r="B8" s="121" t="n">
        <x:v>6285.66513274579</x:v>
      </x:c>
      <x:c r="C8" s="122" t="n">
        <x:v>72</x:v>
      </x:c>
      <x:c r="D8" s="123" t="n">
        <x:v>34.72</x:v>
      </x:c>
      <x:c r="E8" s="123" t="n">
        <x:v>34.72</x:v>
      </x:c>
      <x:c r="F8" s="124" t="n">
        <x:v>0.8</x:v>
      </x:c>
      <x:c r="G8" s="72" t="str">
        <x:v>dispatch, loading, route, cleaning, energy, maintenance, and relief</x:v>
      </x:c>
      <x:c r="H8" s="72" t="str">
        <x:v>OPEN</x:v>
      </x:c>
    </x:row>
    <x:row r="9" ht="33" customHeight="1">
      <x:c r="A9" s="73" t="str">
        <x:v>Critical route release</x:v>
      </x:c>
      <x:c r="B9" s="125" t="n">
        <x:v>60</x:v>
      </x:c>
      <x:c r="C9" s="126" t="n">
        <x:v>48</x:v>
      </x:c>
      <x:c r="D9" s="127" t="n">
        <x:v>11.52</x:v>
      </x:c>
      <x:c r="E9" s="127" t="n">
        <x:v>15.5</x:v>
      </x:c>
      <x:c r="F9" s="128" t="n">
        <x:v>0.8</x:v>
      </x:c>
      <x:c r="G9" s="73" t="str">
        <x:v>clearance does not equal lawful vehicle-specific operability</x:v>
      </x:c>
      <x:c r="H9" s="73" t="str">
        <x:v>OPEN</x:v>
      </x:c>
    </x:row>
    <x:row r="10" ht="33" customHeight="1">
      <x:c r="A10" s="72" t="str">
        <x:v>Protected local service</x:v>
      </x:c>
      <x:c r="B10" s="121" t="n">
        <x:v>28671.1025447361</x:v>
      </x:c>
      <x:c r="C10" s="122" t="n">
        <x:v>48</x:v>
      </x:c>
      <x:c r="D10" s="123" t="n">
        <x:v>1000</x:v>
      </x:c>
      <x:c r="E10" s="123" t="n">
        <x:v>1000</x:v>
      </x:c>
      <x:c r="F10" s="124" t="n">
        <x:v>0.8</x:v>
      </x:c>
      <x:c r="G10" s="72" t="str">
        <x:v>site, utilities, staff, building adapter, and civil release</x:v>
      </x:c>
      <x:c r="H10" s="72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32.220001220703125" hidden="0" customWidth="1"/>
    <x:col min="3" max="3" width="11.109999656677246" hidden="0" customWidth="1"/>
    <x:col min="4" max="4" width="31.110000610351562" hidden="0" customWidth="1"/>
    <x:col min="5" max="5" width="33.33000183105469" hidden="0" customWidth="1"/>
  </x:cols>
  <x:sheetData>
    <x:row r="1">
      <x:c r="A1" s="74" t="str">
        <x:v>Deployed cell workforce</x:v>
      </x:c>
      <x:c r="B1" s="53"/>
      <x:c r="C1" s="53"/>
      <x:c r="D1" s="53"/>
      <x:c r="E1" s="53"/>
    </x:row>
    <x:row r="2">
      <x:c r="A2" s="75" t="str">
        <x:v>Task rates, crew sizes, shifts, command, and sustainment are design assumptions. They are not occupation or accession forecasts.</x:v>
      </x:c>
      <x:c r="B2" s="53"/>
      <x:c r="C2" s="53"/>
      <x:c r="D2" s="53"/>
      <x:c r="E2" s="53"/>
    </x:row>
    <x:row r="3">
      <x:c r="A3" s="55"/>
      <x:c r="B3" s="55"/>
      <x:c r="C3" s="55"/>
      <x:c r="D3" s="55"/>
      <x:c r="E3" s="55"/>
    </x:row>
    <x:row r="4">
      <x:c r="A4" s="53"/>
      <x:c r="B4" s="53"/>
      <x:c r="C4" s="53"/>
      <x:c r="D4" s="53"/>
      <x:c r="E4" s="53"/>
    </x:row>
    <x:row r="5">
      <x:c r="A5" s="15" t="str">
        <x:v>Architecture</x:v>
      </x:c>
      <x:c r="B5" s="16" t="str">
        <x:v>Function</x:v>
      </x:c>
      <x:c r="C5" s="16" t="str">
        <x:v>People</x:v>
      </x:c>
      <x:c r="D5" s="16" t="str">
        <x:v>Basis</x:v>
      </x:c>
      <x:c r="E5" s="17" t="str">
        <x:v>Boundary</x:v>
      </x:c>
    </x:row>
    <x:row r="6">
      <x:c r="A6" s="61" t="str">
        <x:v>T0</x:v>
      </x:c>
      <x:c r="B6" s="61" t="str">
        <x:v>Protected-district operations</x:v>
      </x:c>
      <x:c r="C6" s="84" t="n">
        <x:v>1080</x:v>
      </x:c>
      <x:c r="D6" s="72" t="str">
        <x:v>54 deployed people per PCC-D1 district</x:v>
      </x:c>
      <x:c r="E6" s="72" t="str">
        <x:v>qualification, fatigue, injury, reserve, and home-base demand open</x:v>
      </x:c>
    </x:row>
    <x:row r="7">
      <x:c r="A7" s="53" t="str">
        <x:v>T0</x:v>
      </x:c>
      <x:c r="B7" s="53" t="str">
        <x:v>Household contact and building screening</x:v>
      </x:c>
      <x:c r="C7" s="85" t="n">
        <x:v>662.4</x:v>
      </x:c>
      <x:c r="D7" s="73" t="str">
        <x:v>two-person teams × shift × command/relief</x:v>
      </x:c>
      <x:c r="E7" s="73" t="str">
        <x:v>qualification, fatigue, injury, reserve, and home-base demand open</x:v>
      </x:c>
    </x:row>
    <x:row r="8">
      <x:c r="A8" s="61" t="str">
        <x:v>T0</x:v>
      </x:c>
      <x:c r="B8" s="61" t="str">
        <x:v>Vertical and assisted extraction</x:v>
      </x:c>
      <x:c r="C8" s="84" t="n">
        <x:v>441.59999999999997</x:v>
      </x:c>
      <x:c r="D8" s="72" t="str">
        <x:v>four-person teams × shift × command/relief</x:v>
      </x:c>
      <x:c r="E8" s="72" t="str">
        <x:v>qualification, fatigue, injury, reserve, and home-base demand open</x:v>
      </x:c>
    </x:row>
    <x:row r="9">
      <x:c r="A9" s="53" t="str">
        <x:v>T0</x:v>
      </x:c>
      <x:c r="B9" s="53" t="str">
        <x:v>Accessible collection</x:v>
      </x:c>
      <x:c r="C9" s="85" t="n">
        <x:v>405.7199999999999</x:v>
      </x:c>
      <x:c r="D9" s="73" t="str">
        <x:v>twelve vehicles plus support per squadron × shift × relief</x:v>
      </x:c>
      <x:c r="E9" s="73" t="str">
        <x:v>qualification, fatigue, injury, reserve, and home-base demand open</x:v>
      </x:c>
    </x:row>
    <x:row r="10">
      <x:c r="A10" s="61" t="str">
        <x:v>T0</x:v>
      </x:c>
      <x:c r="B10" s="61" t="str">
        <x:v>Local route assurance</x:v>
      </x:c>
      <x:c r="C10" s="84" t="n">
        <x:v>345.59999999999997</x:v>
      </x:c>
      <x:c r="D10" s="72" t="str">
        <x:v>thirty on-shift operators per detachment × shift/support</x:v>
      </x:c>
      <x:c r="E10" s="72" t="str">
        <x:v>qualification, fatigue, injury, reserve, and home-base demand open</x:v>
      </x:c>
    </x:row>
    <x:row r="11">
      <x:c r="A11" s="53" t="str">
        <x:v>T0</x:v>
      </x:c>
      <x:c r="B11" s="53" t="str">
        <x:v>Civil authority, rights, clinical regulation, data, and communications</x:v>
      </x:c>
      <x:c r="C11" s="85" t="n">
        <x:v>300</x:v>
      </x:c>
      <x:c r="D11" s="73" t="str">
        <x:v>architecture allowance</x:v>
      </x:c>
      <x:c r="E11" s="73" t="str">
        <x:v>qualification, fatigue, injury, reserve, and home-base demand open</x:v>
      </x:c>
    </x:row>
    <x:row r="12">
      <x:c r="A12" s="61" t="str">
        <x:v>T0</x:v>
      </x:c>
      <x:c r="B12" s="61" t="str">
        <x:v>Cell sustainment and regeneration</x:v>
      </x:c>
      <x:c r="C12" s="84" t="n">
        <x:v>485.29799999999994</x:v>
      </x:c>
      <x:c r="D12" s="72" t="str">
        <x:v>15% of direct deployed workforce</x:v>
      </x:c>
      <x:c r="E12" s="72" t="str">
        <x:v>qualification, fatigue, injury, reserve, and home-base demand open</x:v>
      </x:c>
    </x:row>
    <x:row r="13">
      <x:c r="A13" s="53" t="str">
        <x:v>T0</x:v>
      </x:c>
      <x:c r="B13" s="53" t="str">
        <x:v>Total deployed cell</x:v>
      </x:c>
      <x:c r="C13" s="85" t="n">
        <x:v>3720.6179999999995</x:v>
      </x:c>
      <x:c r="D13" s="73" t="str">
        <x:v>calculated sum</x:v>
      </x:c>
      <x:c r="E13" s="73" t="str">
        <x:v>qualification, fatigue, injury, reserve, and home-base demand open</x:v>
      </x:c>
    </x:row>
    <x:row r="14">
      <x:c r="A14" s="61" t="str">
        <x:v>I1</x:v>
      </x:c>
      <x:c r="B14" s="61" t="str">
        <x:v>Protected-district operations</x:v>
      </x:c>
      <x:c r="C14" s="84" t="n">
        <x:v>1566</x:v>
      </x:c>
      <x:c r="D14" s="72" t="str">
        <x:v>54 deployed people per PCC-D1 district</x:v>
      </x:c>
      <x:c r="E14" s="72" t="str">
        <x:v>qualification, fatigue, injury, reserve, and home-base demand open</x:v>
      </x:c>
    </x:row>
    <x:row r="15">
      <x:c r="A15" s="53" t="str">
        <x:v>I1</x:v>
      </x:c>
      <x:c r="B15" s="53" t="str">
        <x:v>Household contact and building screening</x:v>
      </x:c>
      <x:c r="C15" s="85" t="n">
        <x:v>1324.8</x:v>
      </x:c>
      <x:c r="D15" s="73" t="str">
        <x:v>two-person teams × shift × command/relief</x:v>
      </x:c>
      <x:c r="E15" s="73" t="str">
        <x:v>qualification, fatigue, injury, reserve, and home-base demand open</x:v>
      </x:c>
    </x:row>
    <x:row r="16">
      <x:c r="A16" s="61" t="str">
        <x:v>I1</x:v>
      </x:c>
      <x:c r="B16" s="61" t="str">
        <x:v>Vertical and assisted extraction</x:v>
      </x:c>
      <x:c r="C16" s="84" t="n">
        <x:v>883.1999999999999</x:v>
      </x:c>
      <x:c r="D16" s="72" t="str">
        <x:v>four-person teams × shift × command/relief</x:v>
      </x:c>
      <x:c r="E16" s="72" t="str">
        <x:v>qualification, fatigue, injury, reserve, and home-base demand open</x:v>
      </x:c>
    </x:row>
    <x:row r="17">
      <x:c r="A17" s="53" t="str">
        <x:v>I1</x:v>
      </x:c>
      <x:c r="B17" s="53" t="str">
        <x:v>Accessible collection</x:v>
      </x:c>
      <x:c r="C17" s="85" t="n">
        <x:v>540.9599999999999</x:v>
      </x:c>
      <x:c r="D17" s="73" t="str">
        <x:v>twelve vehicles plus support per squadron × shift × relief</x:v>
      </x:c>
      <x:c r="E17" s="73" t="str">
        <x:v>qualification, fatigue, injury, reserve, and home-base demand open</x:v>
      </x:c>
    </x:row>
    <x:row r="18">
      <x:c r="A18" s="61" t="str">
        <x:v>I1</x:v>
      </x:c>
      <x:c r="B18" s="61" t="str">
        <x:v>Local route assurance</x:v>
      </x:c>
      <x:c r="C18" s="84" t="n">
        <x:v>518.4</x:v>
      </x:c>
      <x:c r="D18" s="72" t="str">
        <x:v>thirty on-shift operators per detachment × shift/support</x:v>
      </x:c>
      <x:c r="E18" s="72" t="str">
        <x:v>qualification, fatigue, injury, reserve, and home-base demand open</x:v>
      </x:c>
    </x:row>
    <x:row r="19">
      <x:c r="A19" s="53" t="str">
        <x:v>I1</x:v>
      </x:c>
      <x:c r="B19" s="53" t="str">
        <x:v>Civil authority, rights, clinical regulation, data, and communications</x:v>
      </x:c>
      <x:c r="C19" s="85" t="n">
        <x:v>500</x:v>
      </x:c>
      <x:c r="D19" s="73" t="str">
        <x:v>architecture allowance</x:v>
      </x:c>
      <x:c r="E19" s="73" t="str">
        <x:v>qualification, fatigue, injury, reserve, and home-base demand open</x:v>
      </x:c>
    </x:row>
    <x:row r="20">
      <x:c r="A20" s="61" t="str">
        <x:v>I1</x:v>
      </x:c>
      <x:c r="B20" s="61" t="str">
        <x:v>Cell sustainment and regeneration</x:v>
      </x:c>
      <x:c r="C20" s="84" t="n">
        <x:v>800.0039999999999</x:v>
      </x:c>
      <x:c r="D20" s="72" t="str">
        <x:v>15% of direct deployed workforce</x:v>
      </x:c>
      <x:c r="E20" s="72" t="str">
        <x:v>qualification, fatigue, injury, reserve, and home-base demand open</x:v>
      </x:c>
    </x:row>
    <x:row r="21">
      <x:c r="A21" s="53" t="str">
        <x:v>I1</x:v>
      </x:c>
      <x:c r="B21" s="53" t="str">
        <x:v>Total deployed cell</x:v>
      </x:c>
      <x:c r="C21" s="85" t="n">
        <x:v>6133.364</x:v>
      </x:c>
      <x:c r="D21" s="73" t="str">
        <x:v>calculated sum</x:v>
      </x:c>
      <x:c r="E21" s="73" t="str">
        <x:v>qualification, fatigue, injury, reserve, and home-base demand open</x:v>
      </x:c>
    </x:row>
    <x:row r="22">
      <x:c r="A22" s="61" t="str">
        <x:v>A2</x:v>
      </x:c>
      <x:c r="B22" s="61" t="str">
        <x:v>Protected-district operations</x:v>
      </x:c>
      <x:c r="C22" s="84" t="n">
        <x:v>1836</x:v>
      </x:c>
      <x:c r="D22" s="72" t="str">
        <x:v>54 deployed people per PCC-D1 district</x:v>
      </x:c>
      <x:c r="E22" s="72" t="str">
        <x:v>qualification, fatigue, injury, reserve, and home-base demand open</x:v>
      </x:c>
    </x:row>
    <x:row r="23">
      <x:c r="A23" s="53" t="str">
        <x:v>A2</x:v>
      </x:c>
      <x:c r="B23" s="53" t="str">
        <x:v>Household contact and building screening</x:v>
      </x:c>
      <x:c r="C23" s="85" t="n">
        <x:v>1655.9999999999998</x:v>
      </x:c>
      <x:c r="D23" s="73" t="str">
        <x:v>two-person teams × shift × command/relief</x:v>
      </x:c>
      <x:c r="E23" s="73" t="str">
        <x:v>qualification, fatigue, injury, reserve, and home-base demand open</x:v>
      </x:c>
    </x:row>
    <x:row r="24">
      <x:c r="A24" s="61" t="str">
        <x:v>A2</x:v>
      </x:c>
      <x:c r="B24" s="61" t="str">
        <x:v>Vertical and assisted extraction</x:v>
      </x:c>
      <x:c r="C24" s="84" t="n">
        <x:v>1104</x:v>
      </x:c>
      <x:c r="D24" s="72" t="str">
        <x:v>four-person teams × shift × command/relief</x:v>
      </x:c>
      <x:c r="E24" s="72" t="str">
        <x:v>qualification, fatigue, injury, reserve, and home-base demand open</x:v>
      </x:c>
    </x:row>
    <x:row r="25">
      <x:c r="A25" s="53" t="str">
        <x:v>A2</x:v>
      </x:c>
      <x:c r="B25" s="53" t="str">
        <x:v>Accessible collection</x:v>
      </x:c>
      <x:c r="C25" s="85" t="n">
        <x:v>676.1999999999999</x:v>
      </x:c>
      <x:c r="D25" s="73" t="str">
        <x:v>twelve vehicles plus support per squadron × shift × relief</x:v>
      </x:c>
      <x:c r="E25" s="73" t="str">
        <x:v>qualification, fatigue, injury, reserve, and home-base demand open</x:v>
      </x:c>
    </x:row>
    <x:row r="26">
      <x:c r="A26" s="61" t="str">
        <x:v>A2</x:v>
      </x:c>
      <x:c r="B26" s="61" t="str">
        <x:v>Local route assurance</x:v>
      </x:c>
      <x:c r="C26" s="84" t="n">
        <x:v>604.8</x:v>
      </x:c>
      <x:c r="D26" s="72" t="str">
        <x:v>thirty on-shift operators per detachment × shift/support</x:v>
      </x:c>
      <x:c r="E26" s="72" t="str">
        <x:v>qualification, fatigue, injury, reserve, and home-base demand open</x:v>
      </x:c>
    </x:row>
    <x:row r="27">
      <x:c r="A27" s="53" t="str">
        <x:v>A2</x:v>
      </x:c>
      <x:c r="B27" s="53" t="str">
        <x:v>Civil authority, rights, clinical regulation, data, and communications</x:v>
      </x:c>
      <x:c r="C27" s="85" t="n">
        <x:v>720</x:v>
      </x:c>
      <x:c r="D27" s="73" t="str">
        <x:v>architecture allowance</x:v>
      </x:c>
      <x:c r="E27" s="73" t="str">
        <x:v>qualification, fatigue, injury, reserve, and home-base demand open</x:v>
      </x:c>
    </x:row>
    <x:row r="28">
      <x:c r="A28" s="61" t="str">
        <x:v>A2</x:v>
      </x:c>
      <x:c r="B28" s="61" t="str">
        <x:v>Cell sustainment and regeneration</x:v>
      </x:c>
      <x:c r="C28" s="84" t="n">
        <x:v>989.55</x:v>
      </x:c>
      <x:c r="D28" s="72" t="str">
        <x:v>15% of direct deployed workforce</x:v>
      </x:c>
      <x:c r="E28" s="72" t="str">
        <x:v>qualification, fatigue, injury, reserve, and home-base demand open</x:v>
      </x:c>
    </x:row>
    <x:row r="29">
      <x:c r="A29" s="53" t="str">
        <x:v>A2</x:v>
      </x:c>
      <x:c r="B29" s="53" t="str">
        <x:v>Total deployed cell</x:v>
      </x:c>
      <x:c r="C29" s="85" t="n">
        <x:v>7586.55</x:v>
      </x:c>
      <x:c r="D29" s="73" t="str">
        <x:v>calculated sum</x:v>
      </x:c>
      <x:c r="E29" s="73" t="str">
        <x:v>qualification, fatigue, injury, reserve, and home-base demand open</x:v>
      </x:c>
    </x:row>
    <x:row r="30">
      <x:c r="A30" s="61" t="str">
        <x:v>S3</x:v>
      </x:c>
      <x:c r="B30" s="61" t="str">
        <x:v>Protected-district operations</x:v>
      </x:c>
      <x:c r="C30" s="84" t="n">
        <x:v>1890</x:v>
      </x:c>
      <x:c r="D30" s="72" t="str">
        <x:v>54 deployed people per PCC-D1 district</x:v>
      </x:c>
      <x:c r="E30" s="72" t="str">
        <x:v>qualification, fatigue, injury, reserve, and home-base demand open</x:v>
      </x:c>
    </x:row>
    <x:row r="31">
      <x:c r="A31" s="53" t="str">
        <x:v>S3</x:v>
      </x:c>
      <x:c r="B31" s="53" t="str">
        <x:v>Household contact and building screening</x:v>
      </x:c>
      <x:c r="C31" s="85" t="n">
        <x:v>1490.3999999999999</x:v>
      </x:c>
      <x:c r="D31" s="73" t="str">
        <x:v>two-person teams × shift × command/relief</x:v>
      </x:c>
      <x:c r="E31" s="73" t="str">
        <x:v>qualification, fatigue, injury, reserve, and home-base demand open</x:v>
      </x:c>
    </x:row>
    <x:row r="32">
      <x:c r="A32" s="61" t="str">
        <x:v>S3</x:v>
      </x:c>
      <x:c r="B32" s="61" t="str">
        <x:v>Vertical and assisted extraction</x:v>
      </x:c>
      <x:c r="C32" s="84" t="n">
        <x:v>717.5999999999999</x:v>
      </x:c>
      <x:c r="D32" s="72" t="str">
        <x:v>four-person teams × shift × command/relief</x:v>
      </x:c>
      <x:c r="E32" s="72" t="str">
        <x:v>qualification, fatigue, injury, reserve, and home-base demand open</x:v>
      </x:c>
    </x:row>
    <x:row r="33">
      <x:c r="A33" s="53" t="str">
        <x:v>S3</x:v>
      </x:c>
      <x:c r="B33" s="53" t="str">
        <x:v>Accessible collection</x:v>
      </x:c>
      <x:c r="C33" s="85" t="n">
        <x:v>811.4399999999998</x:v>
      </x:c>
      <x:c r="D33" s="73" t="str">
        <x:v>twelve vehicles plus support per squadron × shift × relief</x:v>
      </x:c>
      <x:c r="E33" s="73" t="str">
        <x:v>qualification, fatigue, injury, reserve, and home-base demand open</x:v>
      </x:c>
    </x:row>
    <x:row r="34">
      <x:c r="A34" s="61" t="str">
        <x:v>S3</x:v>
      </x:c>
      <x:c r="B34" s="61" t="str">
        <x:v>Local route assurance</x:v>
      </x:c>
      <x:c r="C34" s="84" t="n">
        <x:v>604.8</x:v>
      </x:c>
      <x:c r="D34" s="72" t="str">
        <x:v>thirty on-shift operators per detachment × shift/support</x:v>
      </x:c>
      <x:c r="E34" s="72" t="str">
        <x:v>qualification, fatigue, injury, reserve, and home-base demand open</x:v>
      </x:c>
    </x:row>
    <x:row r="35">
      <x:c r="A35" s="53" t="str">
        <x:v>S3</x:v>
      </x:c>
      <x:c r="B35" s="53" t="str">
        <x:v>Civil authority, rights, clinical regulation, data, and communications</x:v>
      </x:c>
      <x:c r="C35" s="85" t="n">
        <x:v>600</x:v>
      </x:c>
      <x:c r="D35" s="73" t="str">
        <x:v>architecture allowance</x:v>
      </x:c>
      <x:c r="E35" s="73" t="str">
        <x:v>qualification, fatigue, injury, reserve, and home-base demand open</x:v>
      </x:c>
    </x:row>
    <x:row r="36">
      <x:c r="A36" s="61" t="str">
        <x:v>S3</x:v>
      </x:c>
      <x:c r="B36" s="61" t="str">
        <x:v>Cell sustainment and regeneration</x:v>
      </x:c>
      <x:c r="C36" s="84" t="n">
        <x:v>917.136</x:v>
      </x:c>
      <x:c r="D36" s="72" t="str">
        <x:v>15% of direct deployed workforce</x:v>
      </x:c>
      <x:c r="E36" s="72" t="str">
        <x:v>qualification, fatigue, injury, reserve, and home-base demand open</x:v>
      </x:c>
    </x:row>
    <x:row r="37">
      <x:c r="A37" s="53" t="str">
        <x:v>S3</x:v>
      </x:c>
      <x:c r="B37" s="53" t="str">
        <x:v>Total deployed cell</x:v>
      </x:c>
      <x:c r="C37" s="85" t="n">
        <x:v>7031.376</x:v>
      </x:c>
      <x:c r="D37" s="73" t="str">
        <x:v>calculated sum</x:v>
      </x:c>
      <x:c r="E37" s="73" t="str">
        <x:v>qualification, fatigue, injury, reserve, and home-base demand open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28.889999389648438" hidden="0" customWidth="1"/>
    <x:col min="3" max="3" width="8.890000343322754" hidden="0" customWidth="1"/>
    <x:col min="4" max="4" width="10.5600004196167" hidden="0" customWidth="1"/>
    <x:col min="5" max="5" width="11.109999656677246" hidden="0" customWidth="1"/>
    <x:col min="6" max="6" width="11.670000076293945" hidden="0" customWidth="1"/>
    <x:col min="7" max="7" width="11.670000076293945" hidden="0" customWidth="1"/>
    <x:col min="8" max="8" width="46.66999816894531" hidden="0" customWidth="1"/>
    <x:col min="9" max="9" width="7.78000020980835" hidden="0" customWidth="1"/>
  </x:cols>
  <x:sheetData>
    <x:row r="1">
      <x:c r="A1" s="74" t="str">
        <x:v>First configuration mass and volume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 s="75" t="str">
        <x:v>All items are functional accounts. No vehicle, structure, or module is a released design. Wet startup inventory is shown because it must physically exist.</x:v>
      </x:c>
      <x:c r="B2" s="53"/>
      <x:c r="C2" s="53"/>
      <x:c r="D2" s="53"/>
      <x:c r="E2" s="53"/>
      <x:c r="F2" s="53"/>
      <x:c r="G2" s="53"/>
      <x:c r="H2" s="53"/>
      <x:c r="I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</x:row>
    <x:row r="5">
      <x:c r="A5" s="15" t="str">
        <x:v>Architecture</x:v>
      </x:c>
      <x:c r="B5" s="16" t="str">
        <x:v>Component</x:v>
      </x:c>
      <x:c r="C5" s="16" t="str">
        <x:v>Quantity</x:v>
      </x:c>
      <x:c r="D5" s="16" t="str">
        <x:v>Unit mass t</x:v>
      </x:c>
      <x:c r="E5" s="16" t="str">
        <x:v>Mass t</x:v>
      </x:c>
      <x:c r="F5" s="16" t="str">
        <x:v>Unit volume m3</x:v>
      </x:c>
      <x:c r="G5" s="16" t="str">
        <x:v>Volume m3</x:v>
      </x:c>
      <x:c r="H5" s="16" t="str">
        <x:v>Description</x:v>
      </x:c>
      <x:c r="I5" s="17" t="str">
        <x:v>Evidence</x:v>
      </x:c>
    </x:row>
    <x:row r="6">
      <x:c r="A6" s="61" t="str">
        <x:v>T0</x:v>
      </x:c>
      <x:c r="B6" s="61" t="str">
        <x:v>Protected district imports</x:v>
      </x:c>
      <x:c r="C6" s="84" t="n">
        <x:v>20</x:v>
      </x:c>
      <x:c r="D6" s="84" t="n">
        <x:v>15.742</x:v>
      </x:c>
      <x:c r="E6" s="84" t="n">
        <x:v>314.84000000000003</x:v>
      </x:c>
      <x:c r="F6" s="84" t="n">
        <x:v>89.32000000000002</x:v>
      </x:c>
      <x:c r="G6" s="84" t="n">
        <x:v>1786.4000000000005</x:v>
      </x:c>
      <x:c r="H6" s="72" t="str">
        <x:v>prepared-receiver share of complete PCC-D1 occupied system</x:v>
      </x:c>
      <x:c r="I6" s="72" t="str">
        <x:v>OPEN</x:v>
      </x:c>
    </x:row>
    <x:row r="7">
      <x:c r="A7" s="53" t="str">
        <x:v>T0</x:v>
      </x:c>
      <x:c r="B7" s="53" t="str">
        <x:v>Household access team sets</x:v>
      </x:c>
      <x:c r="C7" s="85" t="n">
        <x:v>120</x:v>
      </x:c>
      <x:c r="D7" s="85" t="n">
        <x:v>0.25</x:v>
      </x:c>
      <x:c r="E7" s="85" t="n">
        <x:v>30</x:v>
      </x:c>
      <x:c r="F7" s="85" t="n">
        <x:v>1.2</x:v>
      </x:c>
      <x:c r="G7" s="85" t="n">
        <x:v>144</x:v>
      </x:c>
      <x:c r="H7" s="73" t="str">
        <x:v>mobility, inspection, welfare, recording, lighting, and local communications</x:v>
      </x:c>
      <x:c r="I7" s="73" t="str">
        <x:v>OPEN</x:v>
      </x:c>
    </x:row>
    <x:row r="8">
      <x:c r="A8" s="61" t="str">
        <x:v>T0</x:v>
      </x:c>
      <x:c r="B8" s="61" t="str">
        <x:v>Vertical access team sets</x:v>
      </x:c>
      <x:c r="C8" s="84" t="n">
        <x:v>40</x:v>
      </x:c>
      <x:c r="D8" s="84" t="n">
        <x:v>0.8</x:v>
      </x:c>
      <x:c r="E8" s="84" t="n">
        <x:v>32</x:v>
      </x:c>
      <x:c r="F8" s="84" t="n">
        <x:v>3</x:v>
      </x:c>
      <x:c r="G8" s="84" t="n">
        <x:v>120</x:v>
      </x:c>
      <x:c r="H8" s="72" t="str">
        <x:v>powered stairs, hoists, device movement, medical power, fall protection, and rescue interface</x:v>
      </x:c>
      <x:c r="I8" s="72" t="str">
        <x:v>OPEN</x:v>
      </x:c>
    </x:row>
    <x:row r="9">
      <x:c r="A9" s="53" t="str">
        <x:v>T0</x:v>
      </x:c>
      <x:c r="B9" s="53" t="str">
        <x:v>Collection squadrons</x:v>
      </x:c>
      <x:c r="C9" s="85" t="n">
        <x:v>3</x:v>
      </x:c>
      <x:c r="D9" s="85" t="n">
        <x:v>110</x:v>
      </x:c>
      <x:c r="E9" s="85" t="n">
        <x:v>330</x:v>
      </x:c>
      <x:c r="F9" s="85" t="n">
        <x:v>720</x:v>
      </x:c>
      <x:c r="G9" s="85" t="n">
        <x:v>2160</x:v>
      </x:c>
      <x:c r="H9" s="73" t="str">
        <x:v>twelve mixed accessible road/high-water/clinical vehicles plus field support</x:v>
      </x:c>
      <x:c r="I9" s="73" t="str">
        <x:v>OPEN</x:v>
      </x:c>
    </x:row>
    <x:row r="10">
      <x:c r="A10" s="61" t="str">
        <x:v>T0</x:v>
      </x:c>
      <x:c r="B10" s="61" t="str">
        <x:v>Route-assurance detachments</x:v>
      </x:c>
      <x:c r="C10" s="84" t="n">
        <x:v>4</x:v>
      </x:c>
      <x:c r="D10" s="84" t="n">
        <x:v>220</x:v>
      </x:c>
      <x:c r="E10" s="84" t="n">
        <x:v>880</x:v>
      </x:c>
      <x:c r="F10" s="84" t="n">
        <x:v>360</x:v>
      </x:c>
      <x:c r="G10" s="84" t="n">
        <x:v>1440</x:v>
      </x:c>
      <x:c r="H10" s="72" t="str">
        <x:v>reconnaissance, pumps, debris, surface repair, temporary crossing, traffic control, and release evidence</x:v>
      </x:c>
      <x:c r="I10" s="72" t="str">
        <x:v>OPEN</x:v>
      </x:c>
    </x:row>
    <x:row r="11">
      <x:c r="A11" s="53" t="str">
        <x:v>T0</x:v>
      </x:c>
      <x:c r="B11" s="53" t="str">
        <x:v>Power blocks</x:v>
      </x:c>
      <x:c r="C11" s="85" t="n">
        <x:v>6</x:v>
      </x:c>
      <x:c r="D11" s="85" t="n">
        <x:v>25</x:v>
      </x:c>
      <x:c r="E11" s="85" t="n">
        <x:v>150</x:v>
      </x:c>
      <x:c r="F11" s="85" t="n">
        <x:v>45</x:v>
      </x:c>
      <x:c r="G11" s="85" t="n">
        <x:v>270</x:v>
      </x:c>
      <x:c r="H11" s="73" t="str">
        <x:v>1 MW class grid-forming source/switchgear block before fuel and local distribution</x:v>
      </x:c>
      <x:c r="I11" s="73" t="str">
        <x:v>OPEN</x:v>
      </x:c>
    </x:row>
    <x:row r="12">
      <x:c r="A12" s="61" t="str">
        <x:v>T0</x:v>
      </x:c>
      <x:c r="B12" s="61" t="str">
        <x:v>Water islands</x:v>
      </x:c>
      <x:c r="C12" s="84" t="n">
        <x:v>6</x:v>
      </x:c>
      <x:c r="D12" s="84" t="n">
        <x:v>25</x:v>
      </x:c>
      <x:c r="E12" s="84" t="n">
        <x:v>150</x:v>
      </x:c>
      <x:c r="F12" s="84" t="n">
        <x:v>55</x:v>
      </x:c>
      <x:c r="G12" s="84" t="n">
        <x:v>330</x:v>
      </x:c>
      <x:c r="H12" s="72" t="str">
        <x:v>100 m3/day class source/treatment/storage interface before wet inventory</x:v>
      </x:c>
      <x:c r="I12" s="72" t="str">
        <x:v>OPEN</x:v>
      </x:c>
    </x:row>
    <x:row r="13">
      <x:c r="A13" s="53" t="str">
        <x:v>T0</x:v>
      </x:c>
      <x:c r="B13" s="53" t="str">
        <x:v>Communications nodes</x:v>
      </x:c>
      <x:c r="C13" s="85" t="n">
        <x:v>4</x:v>
      </x:c>
      <x:c r="D13" s="85" t="n">
        <x:v>5</x:v>
      </x:c>
      <x:c r="E13" s="85" t="n">
        <x:v>20</x:v>
      </x:c>
      <x:c r="F13" s="85" t="n">
        <x:v>18</x:v>
      </x:c>
      <x:c r="G13" s="85" t="n">
        <x:v>72</x:v>
      </x:c>
      <x:c r="H13" s="73" t="str">
        <x:v>macro, vehicle, man-pack, mesh, backhaul, edge compute, and power mix</x:v>
      </x:c>
      <x:c r="I13" s="73" t="str">
        <x:v>OPEN</x:v>
      </x:c>
    </x:row>
    <x:row r="14">
      <x:c r="A14" s="61" t="str">
        <x:v>T0</x:v>
      </x:c>
      <x:c r="B14" s="61" t="str">
        <x:v>Command, data, and clinical modules</x:v>
      </x:c>
      <x:c r="C14" s="84" t="n">
        <x:v>1</x:v>
      </x:c>
      <x:c r="D14" s="84" t="n">
        <x:v>120</x:v>
      </x:c>
      <x:c r="E14" s="84" t="n">
        <x:v>120</x:v>
      </x:c>
      <x:c r="F14" s="84" t="n">
        <x:v>500</x:v>
      </x:c>
      <x:c r="G14" s="84" t="n">
        <x:v>500</x:v>
      </x:c>
      <x:c r="H14" s="72" t="str">
        <x:v>configuration-level support allowance; independent evidence open</x:v>
      </x:c>
      <x:c r="I14" s="72" t="str">
        <x:v>OPEN</x:v>
      </x:c>
    </x:row>
    <x:row r="15">
      <x:c r="A15" s="53" t="str">
        <x:v>T0</x:v>
      </x:c>
      <x:c r="B15" s="53" t="str">
        <x:v>Field base and staff sustainment equipment</x:v>
      </x:c>
      <x:c r="C15" s="85" t="n">
        <x:v>1</x:v>
      </x:c>
      <x:c r="D15" s="85" t="n">
        <x:v>297.64943999999997</x:v>
      </x:c>
      <x:c r="E15" s="85" t="n">
        <x:v>297.64943999999997</x:v>
      </x:c>
      <x:c r="F15" s="85" t="n">
        <x:v>1302.2162999999998</x:v>
      </x:c>
      <x:c r="G15" s="85" t="n">
        <x:v>1302.2162999999998</x:v>
      </x:c>
      <x:c r="H15" s="73" t="str">
        <x:v>configuration-level support allowance; independent evidence open</x:v>
      </x:c>
      <x:c r="I15" s="73" t="str">
        <x:v>OPEN</x:v>
      </x:c>
    </x:row>
    <x:row r="16">
      <x:c r="A16" s="61" t="str">
        <x:v>T0</x:v>
      </x:c>
      <x:c r="B16" s="61" t="str">
        <x:v>Seven-day local and staff food</x:v>
      </x:c>
      <x:c r="C16" s="84" t="n">
        <x:v>1</x:v>
      </x:c>
      <x:c r="D16" s="84" t="n">
        <x:v>95.23165840152413</x:v>
      </x:c>
      <x:c r="E16" s="84" t="n">
        <x:v>95.23165840152413</x:v>
      </x:c>
      <x:c r="F16" s="84" t="n">
        <x:v>249.41624819446795</x:v>
      </x:c>
      <x:c r="G16" s="84" t="n">
        <x:v>249.41624819446795</x:v>
      </x:c>
      <x:c r="H16" s="72" t="str">
        <x:v>configuration-level support allowance; independent evidence open</x:v>
      </x:c>
      <x:c r="I16" s="72" t="str">
        <x:v>OPEN</x:v>
      </x:c>
    </x:row>
    <x:row r="17">
      <x:c r="A17" s="53" t="str">
        <x:v>T0</x:v>
      </x:c>
      <x:c r="B17" s="53" t="str">
        <x:v>Prime-power fuel equivalent</x:v>
      </x:c>
      <x:c r="C17" s="85" t="n">
        <x:v>1</x:v>
      </x:c>
      <x:c r="D17" s="85" t="n">
        <x:v>300</x:v>
      </x:c>
      <x:c r="E17" s="85" t="n">
        <x:v>300</x:v>
      </x:c>
      <x:c r="F17" s="85" t="n">
        <x:v>420</x:v>
      </x:c>
      <x:c r="G17" s="85" t="n">
        <x:v>420</x:v>
      </x:c>
      <x:c r="H17" s="73" t="str">
        <x:v>configuration-level support allowance; independent evidence open</x:v>
      </x:c>
      <x:c r="I17" s="73" t="str">
        <x:v>OPEN</x:v>
      </x:c>
    </x:row>
    <x:row r="18">
      <x:c r="A18" s="61" t="str">
        <x:v>T0</x:v>
      </x:c>
      <x:c r="B18" s="61" t="str">
        <x:v>One-day startup water inventory</x:v>
      </x:c>
      <x:c r="C18" s="84" t="n">
        <x:v>1</x:v>
      </x:c>
      <x:c r="D18" s="84" t="n">
        <x:v>650</x:v>
      </x:c>
      <x:c r="E18" s="84" t="n">
        <x:v>650</x:v>
      </x:c>
      <x:c r="F18" s="84" t="n">
        <x:v>650</x:v>
      </x:c>
      <x:c r="G18" s="84" t="n">
        <x:v>650</x:v>
      </x:c>
      <x:c r="H18" s="72" t="str">
        <x:v>configuration-level support allowance; independent evidence open</x:v>
      </x:c>
      <x:c r="I18" s="72" t="str">
        <x:v>OPEN</x:v>
      </x:c>
    </x:row>
    <x:row r="19">
      <x:c r="A19" s="53" t="str">
        <x:v>T0</x:v>
      </x:c>
      <x:c r="B19" s="53" t="str">
        <x:v>Wastewater, solid-waste, and decontamination plant</x:v>
      </x:c>
      <x:c r="C19" s="85" t="n">
        <x:v>1</x:v>
      </x:c>
      <x:c r="D19" s="85" t="n">
        <x:v>250</x:v>
      </x:c>
      <x:c r="E19" s="85" t="n">
        <x:v>250</x:v>
      </x:c>
      <x:c r="F19" s="85" t="n">
        <x:v>600</x:v>
      </x:c>
      <x:c r="G19" s="85" t="n">
        <x:v>600</x:v>
      </x:c>
      <x:c r="H19" s="73" t="str">
        <x:v>configuration-level support allowance; independent evidence open</x:v>
      </x:c>
      <x:c r="I19" s="73" t="str">
        <x:v>OPEN</x:v>
      </x:c>
    </x:row>
    <x:row r="20">
      <x:c r="A20" s="61" t="str">
        <x:v>I1</x:v>
      </x:c>
      <x:c r="B20" s="61" t="str">
        <x:v>Protected district imports</x:v>
      </x:c>
      <x:c r="C20" s="84" t="n">
        <x:v>29</x:v>
      </x:c>
      <x:c r="D20" s="84" t="n">
        <x:v>15.742</x:v>
      </x:c>
      <x:c r="E20" s="84" t="n">
        <x:v>456.51800000000003</x:v>
      </x:c>
      <x:c r="F20" s="84" t="n">
        <x:v>89.32000000000002</x:v>
      </x:c>
      <x:c r="G20" s="84" t="n">
        <x:v>2590.2800000000007</x:v>
      </x:c>
      <x:c r="H20" s="72" t="str">
        <x:v>prepared-receiver share of complete PCC-D1 occupied system</x:v>
      </x:c>
      <x:c r="I20" s="72" t="str">
        <x:v>OPEN</x:v>
      </x:c>
    </x:row>
    <x:row r="21">
      <x:c r="A21" s="53" t="str">
        <x:v>I1</x:v>
      </x:c>
      <x:c r="B21" s="53" t="str">
        <x:v>Household access team sets</x:v>
      </x:c>
      <x:c r="C21" s="85" t="n">
        <x:v>240</x:v>
      </x:c>
      <x:c r="D21" s="85" t="n">
        <x:v>0.25</x:v>
      </x:c>
      <x:c r="E21" s="85" t="n">
        <x:v>60</x:v>
      </x:c>
      <x:c r="F21" s="85" t="n">
        <x:v>1.2</x:v>
      </x:c>
      <x:c r="G21" s="85" t="n">
        <x:v>288</x:v>
      </x:c>
      <x:c r="H21" s="73" t="str">
        <x:v>mobility, inspection, welfare, recording, lighting, and local communications</x:v>
      </x:c>
      <x:c r="I21" s="73" t="str">
        <x:v>OPEN</x:v>
      </x:c>
    </x:row>
    <x:row r="22">
      <x:c r="A22" s="61" t="str">
        <x:v>I1</x:v>
      </x:c>
      <x:c r="B22" s="61" t="str">
        <x:v>Vertical access team sets</x:v>
      </x:c>
      <x:c r="C22" s="84" t="n">
        <x:v>80</x:v>
      </x:c>
      <x:c r="D22" s="84" t="n">
        <x:v>0.8</x:v>
      </x:c>
      <x:c r="E22" s="84" t="n">
        <x:v>64</x:v>
      </x:c>
      <x:c r="F22" s="84" t="n">
        <x:v>3</x:v>
      </x:c>
      <x:c r="G22" s="84" t="n">
        <x:v>240</x:v>
      </x:c>
      <x:c r="H22" s="72" t="str">
        <x:v>powered stairs, hoists, device movement, medical power, fall protection, and rescue interface</x:v>
      </x:c>
      <x:c r="I22" s="72" t="str">
        <x:v>OPEN</x:v>
      </x:c>
    </x:row>
    <x:row r="23">
      <x:c r="A23" s="53" t="str">
        <x:v>I1</x:v>
      </x:c>
      <x:c r="B23" s="53" t="str">
        <x:v>Collection squadrons</x:v>
      </x:c>
      <x:c r="C23" s="85" t="n">
        <x:v>4</x:v>
      </x:c>
      <x:c r="D23" s="85" t="n">
        <x:v>110</x:v>
      </x:c>
      <x:c r="E23" s="85" t="n">
        <x:v>440</x:v>
      </x:c>
      <x:c r="F23" s="85" t="n">
        <x:v>720</x:v>
      </x:c>
      <x:c r="G23" s="85" t="n">
        <x:v>2880</x:v>
      </x:c>
      <x:c r="H23" s="73" t="str">
        <x:v>twelve mixed accessible road/high-water/clinical vehicles plus field support</x:v>
      </x:c>
      <x:c r="I23" s="73" t="str">
        <x:v>OPEN</x:v>
      </x:c>
    </x:row>
    <x:row r="24">
      <x:c r="A24" s="61" t="str">
        <x:v>I1</x:v>
      </x:c>
      <x:c r="B24" s="61" t="str">
        <x:v>Route-assurance detachments</x:v>
      </x:c>
      <x:c r="C24" s="84" t="n">
        <x:v>6</x:v>
      </x:c>
      <x:c r="D24" s="84" t="n">
        <x:v>220</x:v>
      </x:c>
      <x:c r="E24" s="84" t="n">
        <x:v>1320</x:v>
      </x:c>
      <x:c r="F24" s="84" t="n">
        <x:v>360</x:v>
      </x:c>
      <x:c r="G24" s="84" t="n">
        <x:v>2160</x:v>
      </x:c>
      <x:c r="H24" s="72" t="str">
        <x:v>reconnaissance, pumps, debris, surface repair, temporary crossing, traffic control, and release evidence</x:v>
      </x:c>
      <x:c r="I24" s="72" t="str">
        <x:v>OPEN</x:v>
      </x:c>
    </x:row>
    <x:row r="25">
      <x:c r="A25" s="53" t="str">
        <x:v>I1</x:v>
      </x:c>
      <x:c r="B25" s="53" t="str">
        <x:v>Power blocks</x:v>
      </x:c>
      <x:c r="C25" s="85" t="n">
        <x:v>9</x:v>
      </x:c>
      <x:c r="D25" s="85" t="n">
        <x:v>25</x:v>
      </x:c>
      <x:c r="E25" s="85" t="n">
        <x:v>225</x:v>
      </x:c>
      <x:c r="F25" s="85" t="n">
        <x:v>45</x:v>
      </x:c>
      <x:c r="G25" s="85" t="n">
        <x:v>405</x:v>
      </x:c>
      <x:c r="H25" s="73" t="str">
        <x:v>1 MW class grid-forming source/switchgear block before fuel and local distribution</x:v>
      </x:c>
      <x:c r="I25" s="73" t="str">
        <x:v>OPEN</x:v>
      </x:c>
    </x:row>
    <x:row r="26">
      <x:c r="A26" s="61" t="str">
        <x:v>I1</x:v>
      </x:c>
      <x:c r="B26" s="61" t="str">
        <x:v>Water islands</x:v>
      </x:c>
      <x:c r="C26" s="84" t="n">
        <x:v>8</x:v>
      </x:c>
      <x:c r="D26" s="84" t="n">
        <x:v>25</x:v>
      </x:c>
      <x:c r="E26" s="84" t="n">
        <x:v>200</x:v>
      </x:c>
      <x:c r="F26" s="84" t="n">
        <x:v>55</x:v>
      </x:c>
      <x:c r="G26" s="84" t="n">
        <x:v>440</x:v>
      </x:c>
      <x:c r="H26" s="72" t="str">
        <x:v>100 m3/day class source/treatment/storage interface before wet inventory</x:v>
      </x:c>
      <x:c r="I26" s="72" t="str">
        <x:v>OPEN</x:v>
      </x:c>
    </x:row>
    <x:row r="27">
      <x:c r="A27" s="53" t="str">
        <x:v>I1</x:v>
      </x:c>
      <x:c r="B27" s="53" t="str">
        <x:v>Communications nodes</x:v>
      </x:c>
      <x:c r="C27" s="85" t="n">
        <x:v>6</x:v>
      </x:c>
      <x:c r="D27" s="85" t="n">
        <x:v>5</x:v>
      </x:c>
      <x:c r="E27" s="85" t="n">
        <x:v>30</x:v>
      </x:c>
      <x:c r="F27" s="85" t="n">
        <x:v>18</x:v>
      </x:c>
      <x:c r="G27" s="85" t="n">
        <x:v>108</x:v>
      </x:c>
      <x:c r="H27" s="73" t="str">
        <x:v>macro, vehicle, man-pack, mesh, backhaul, edge compute, and power mix</x:v>
      </x:c>
      <x:c r="I27" s="73" t="str">
        <x:v>OPEN</x:v>
      </x:c>
    </x:row>
    <x:row r="28">
      <x:c r="A28" s="61" t="str">
        <x:v>I1</x:v>
      </x:c>
      <x:c r="B28" s="61" t="str">
        <x:v>Command, data, and clinical modules</x:v>
      </x:c>
      <x:c r="C28" s="84" t="n">
        <x:v>1</x:v>
      </x:c>
      <x:c r="D28" s="84" t="n">
        <x:v>120</x:v>
      </x:c>
      <x:c r="E28" s="84" t="n">
        <x:v>120</x:v>
      </x:c>
      <x:c r="F28" s="84" t="n">
        <x:v>500</x:v>
      </x:c>
      <x:c r="G28" s="84" t="n">
        <x:v>500</x:v>
      </x:c>
      <x:c r="H28" s="72" t="str">
        <x:v>configuration-level support allowance; independent evidence open</x:v>
      </x:c>
      <x:c r="I28" s="72" t="str">
        <x:v>OPEN</x:v>
      </x:c>
    </x:row>
    <x:row r="29">
      <x:c r="A29" s="53" t="str">
        <x:v>I1</x:v>
      </x:c>
      <x:c r="B29" s="53" t="str">
        <x:v>Field base and staff sustainment equipment</x:v>
      </x:c>
      <x:c r="C29" s="85" t="n">
        <x:v>1</x:v>
      </x:c>
      <x:c r="D29" s="85" t="n">
        <x:v>490.66911999999996</x:v>
      </x:c>
      <x:c r="E29" s="85" t="n">
        <x:v>490.66911999999996</x:v>
      </x:c>
      <x:c r="F29" s="85" t="n">
        <x:v>2146.6773999999996</x:v>
      </x:c>
      <x:c r="G29" s="85" t="n">
        <x:v>2146.6773999999996</x:v>
      </x:c>
      <x:c r="H29" s="73" t="str">
        <x:v>configuration-level support allowance; independent evidence open</x:v>
      </x:c>
      <x:c r="I29" s="73" t="str">
        <x:v>OPEN</x:v>
      </x:c>
    </x:row>
    <x:row r="30">
      <x:c r="A30" s="61" t="str">
        <x:v>I1</x:v>
      </x:c>
      <x:c r="B30" s="61" t="str">
        <x:v>Seven-day local and staff food</x:v>
      </x:c>
      <x:c r="C30" s="84" t="n">
        <x:v>1</x:v>
      </x:c>
      <x:c r="D30" s="84" t="n">
        <x:v>102.32513164152412</x:v>
      </x:c>
      <x:c r="E30" s="84" t="n">
        <x:v>102.32513164152412</x:v>
      </x:c>
      <x:c r="F30" s="84" t="n">
        <x:v>267.994392394468</x:v>
      </x:c>
      <x:c r="G30" s="84" t="n">
        <x:v>267.994392394468</x:v>
      </x:c>
      <x:c r="H30" s="72" t="str">
        <x:v>configuration-level support allowance; independent evidence open</x:v>
      </x:c>
      <x:c r="I30" s="72" t="str">
        <x:v>OPEN</x:v>
      </x:c>
    </x:row>
    <x:row r="31">
      <x:c r="A31" s="53" t="str">
        <x:v>I1</x:v>
      </x:c>
      <x:c r="B31" s="53" t="str">
        <x:v>Prime-power fuel equivalent</x:v>
      </x:c>
      <x:c r="C31" s="85" t="n">
        <x:v>1</x:v>
      </x:c>
      <x:c r="D31" s="85" t="n">
        <x:v>300</x:v>
      </x:c>
      <x:c r="E31" s="85" t="n">
        <x:v>300</x:v>
      </x:c>
      <x:c r="F31" s="85" t="n">
        <x:v>420</x:v>
      </x:c>
      <x:c r="G31" s="85" t="n">
        <x:v>420</x:v>
      </x:c>
      <x:c r="H31" s="73" t="str">
        <x:v>configuration-level support allowance; independent evidence open</x:v>
      </x:c>
      <x:c r="I31" s="73" t="str">
        <x:v>OPEN</x:v>
      </x:c>
    </x:row>
    <x:row r="32">
      <x:c r="A32" s="61" t="str">
        <x:v>I1</x:v>
      </x:c>
      <x:c r="B32" s="61" t="str">
        <x:v>One-day startup water inventory</x:v>
      </x:c>
      <x:c r="C32" s="84" t="n">
        <x:v>1</x:v>
      </x:c>
      <x:c r="D32" s="84" t="n">
        <x:v>650</x:v>
      </x:c>
      <x:c r="E32" s="84" t="n">
        <x:v>650</x:v>
      </x:c>
      <x:c r="F32" s="84" t="n">
        <x:v>650</x:v>
      </x:c>
      <x:c r="G32" s="84" t="n">
        <x:v>650</x:v>
      </x:c>
      <x:c r="H32" s="72" t="str">
        <x:v>configuration-level support allowance; independent evidence open</x:v>
      </x:c>
      <x:c r="I32" s="72" t="str">
        <x:v>OPEN</x:v>
      </x:c>
    </x:row>
    <x:row r="33">
      <x:c r="A33" s="53" t="str">
        <x:v>I1</x:v>
      </x:c>
      <x:c r="B33" s="53" t="str">
        <x:v>Wastewater, solid-waste, and decontamination plant</x:v>
      </x:c>
      <x:c r="C33" s="85" t="n">
        <x:v>1</x:v>
      </x:c>
      <x:c r="D33" s="85" t="n">
        <x:v>250</x:v>
      </x:c>
      <x:c r="E33" s="85" t="n">
        <x:v>250</x:v>
      </x:c>
      <x:c r="F33" s="85" t="n">
        <x:v>600</x:v>
      </x:c>
      <x:c r="G33" s="85" t="n">
        <x:v>600</x:v>
      </x:c>
      <x:c r="H33" s="73" t="str">
        <x:v>configuration-level support allowance; independent evidence open</x:v>
      </x:c>
      <x:c r="I33" s="73" t="str">
        <x:v>OPEN</x:v>
      </x:c>
    </x:row>
    <x:row r="34">
      <x:c r="A34" s="61" t="str">
        <x:v>A2</x:v>
      </x:c>
      <x:c r="B34" s="61" t="str">
        <x:v>Protected district imports</x:v>
      </x:c>
      <x:c r="C34" s="84" t="n">
        <x:v>34</x:v>
      </x:c>
      <x:c r="D34" s="84" t="n">
        <x:v>15.742</x:v>
      </x:c>
      <x:c r="E34" s="84" t="n">
        <x:v>535.2280000000001</x:v>
      </x:c>
      <x:c r="F34" s="84" t="n">
        <x:v>89.32000000000002</x:v>
      </x:c>
      <x:c r="G34" s="84" t="n">
        <x:v>3036.8800000000006</x:v>
      </x:c>
      <x:c r="H34" s="72" t="str">
        <x:v>prepared-receiver share of complete PCC-D1 occupied system</x:v>
      </x:c>
      <x:c r="I34" s="72" t="str">
        <x:v>OPEN</x:v>
      </x:c>
    </x:row>
    <x:row r="35">
      <x:c r="A35" s="53" t="str">
        <x:v>A2</x:v>
      </x:c>
      <x:c r="B35" s="53" t="str">
        <x:v>Household access team sets</x:v>
      </x:c>
      <x:c r="C35" s="85" t="n">
        <x:v>300</x:v>
      </x:c>
      <x:c r="D35" s="85" t="n">
        <x:v>0.25</x:v>
      </x:c>
      <x:c r="E35" s="85" t="n">
        <x:v>75</x:v>
      </x:c>
      <x:c r="F35" s="85" t="n">
        <x:v>1.2</x:v>
      </x:c>
      <x:c r="G35" s="85" t="n">
        <x:v>360</x:v>
      </x:c>
      <x:c r="H35" s="73" t="str">
        <x:v>mobility, inspection, welfare, recording, lighting, and local communications</x:v>
      </x:c>
      <x:c r="I35" s="73" t="str">
        <x:v>OPEN</x:v>
      </x:c>
    </x:row>
    <x:row r="36">
      <x:c r="A36" s="61" t="str">
        <x:v>A2</x:v>
      </x:c>
      <x:c r="B36" s="61" t="str">
        <x:v>Vertical access team sets</x:v>
      </x:c>
      <x:c r="C36" s="84" t="n">
        <x:v>100</x:v>
      </x:c>
      <x:c r="D36" s="84" t="n">
        <x:v>0.8</x:v>
      </x:c>
      <x:c r="E36" s="84" t="n">
        <x:v>80</x:v>
      </x:c>
      <x:c r="F36" s="84" t="n">
        <x:v>3</x:v>
      </x:c>
      <x:c r="G36" s="84" t="n">
        <x:v>300</x:v>
      </x:c>
      <x:c r="H36" s="72" t="str">
        <x:v>powered stairs, hoists, device movement, medical power, fall protection, and rescue interface</x:v>
      </x:c>
      <x:c r="I36" s="72" t="str">
        <x:v>OPEN</x:v>
      </x:c>
    </x:row>
    <x:row r="37">
      <x:c r="A37" s="53" t="str">
        <x:v>A2</x:v>
      </x:c>
      <x:c r="B37" s="53" t="str">
        <x:v>Collection squadrons</x:v>
      </x:c>
      <x:c r="C37" s="85" t="n">
        <x:v>5</x:v>
      </x:c>
      <x:c r="D37" s="85" t="n">
        <x:v>110</x:v>
      </x:c>
      <x:c r="E37" s="85" t="n">
        <x:v>550</x:v>
      </x:c>
      <x:c r="F37" s="85" t="n">
        <x:v>720</x:v>
      </x:c>
      <x:c r="G37" s="85" t="n">
        <x:v>3600</x:v>
      </x:c>
      <x:c r="H37" s="73" t="str">
        <x:v>twelve mixed accessible road/high-water/clinical vehicles plus field support</x:v>
      </x:c>
      <x:c r="I37" s="73" t="str">
        <x:v>OPEN</x:v>
      </x:c>
    </x:row>
    <x:row r="38">
      <x:c r="A38" s="61" t="str">
        <x:v>A2</x:v>
      </x:c>
      <x:c r="B38" s="61" t="str">
        <x:v>Route-assurance detachments</x:v>
      </x:c>
      <x:c r="C38" s="84" t="n">
        <x:v>7</x:v>
      </x:c>
      <x:c r="D38" s="84" t="n">
        <x:v>220</x:v>
      </x:c>
      <x:c r="E38" s="84" t="n">
        <x:v>1540</x:v>
      </x:c>
      <x:c r="F38" s="84" t="n">
        <x:v>360</x:v>
      </x:c>
      <x:c r="G38" s="84" t="n">
        <x:v>2520</x:v>
      </x:c>
      <x:c r="H38" s="72" t="str">
        <x:v>reconnaissance, pumps, debris, surface repair, temporary crossing, traffic control, and release evidence</x:v>
      </x:c>
      <x:c r="I38" s="72" t="str">
        <x:v>OPEN</x:v>
      </x:c>
    </x:row>
    <x:row r="39">
      <x:c r="A39" s="53" t="str">
        <x:v>A2</x:v>
      </x:c>
      <x:c r="B39" s="53" t="str">
        <x:v>Power blocks</x:v>
      </x:c>
      <x:c r="C39" s="85" t="n">
        <x:v>10</x:v>
      </x:c>
      <x:c r="D39" s="85" t="n">
        <x:v>25</x:v>
      </x:c>
      <x:c r="E39" s="85" t="n">
        <x:v>250</x:v>
      </x:c>
      <x:c r="F39" s="85" t="n">
        <x:v>45</x:v>
      </x:c>
      <x:c r="G39" s="85" t="n">
        <x:v>450</x:v>
      </x:c>
      <x:c r="H39" s="73" t="str">
        <x:v>1 MW class grid-forming source/switchgear block before fuel and local distribution</x:v>
      </x:c>
      <x:c r="I39" s="73" t="str">
        <x:v>OPEN</x:v>
      </x:c>
    </x:row>
    <x:row r="40">
      <x:c r="A40" s="61" t="str">
        <x:v>A2</x:v>
      </x:c>
      <x:c r="B40" s="61" t="str">
        <x:v>Water islands</x:v>
      </x:c>
      <x:c r="C40" s="84" t="n">
        <x:v>9</x:v>
      </x:c>
      <x:c r="D40" s="84" t="n">
        <x:v>25</x:v>
      </x:c>
      <x:c r="E40" s="84" t="n">
        <x:v>225</x:v>
      </x:c>
      <x:c r="F40" s="84" t="n">
        <x:v>55</x:v>
      </x:c>
      <x:c r="G40" s="84" t="n">
        <x:v>495</x:v>
      </x:c>
      <x:c r="H40" s="72" t="str">
        <x:v>100 m3/day class source/treatment/storage interface before wet inventory</x:v>
      </x:c>
      <x:c r="I40" s="72" t="str">
        <x:v>OPEN</x:v>
      </x:c>
    </x:row>
    <x:row r="41">
      <x:c r="A41" s="53" t="str">
        <x:v>A2</x:v>
      </x:c>
      <x:c r="B41" s="53" t="str">
        <x:v>Communications nodes</x:v>
      </x:c>
      <x:c r="C41" s="85" t="n">
        <x:v>7</x:v>
      </x:c>
      <x:c r="D41" s="85" t="n">
        <x:v>5</x:v>
      </x:c>
      <x:c r="E41" s="85" t="n">
        <x:v>35</x:v>
      </x:c>
      <x:c r="F41" s="85" t="n">
        <x:v>18</x:v>
      </x:c>
      <x:c r="G41" s="85" t="n">
        <x:v>126</x:v>
      </x:c>
      <x:c r="H41" s="73" t="str">
        <x:v>macro, vehicle, man-pack, mesh, backhaul, edge compute, and power mix</x:v>
      </x:c>
      <x:c r="I41" s="73" t="str">
        <x:v>OPEN</x:v>
      </x:c>
    </x:row>
    <x:row r="42">
      <x:c r="A42" s="61" t="str">
        <x:v>A2</x:v>
      </x:c>
      <x:c r="B42" s="61" t="str">
        <x:v>Command, data, and clinical modules</x:v>
      </x:c>
      <x:c r="C42" s="84" t="n">
        <x:v>1</x:v>
      </x:c>
      <x:c r="D42" s="84" t="n">
        <x:v>120</x:v>
      </x:c>
      <x:c r="E42" s="84" t="n">
        <x:v>120</x:v>
      </x:c>
      <x:c r="F42" s="84" t="n">
        <x:v>500</x:v>
      </x:c>
      <x:c r="G42" s="84" t="n">
        <x:v>500</x:v>
      </x:c>
      <x:c r="H42" s="72" t="str">
        <x:v>configuration-level support allowance; independent evidence open</x:v>
      </x:c>
      <x:c r="I42" s="72" t="str">
        <x:v>OPEN</x:v>
      </x:c>
    </x:row>
    <x:row r="43">
      <x:c r="A43" s="53" t="str">
        <x:v>A2</x:v>
      </x:c>
      <x:c r="B43" s="53" t="str">
        <x:v>Field base and staff sustainment equipment</x:v>
      </x:c>
      <x:c r="C43" s="85" t="n">
        <x:v>1</x:v>
      </x:c>
      <x:c r="D43" s="85" t="n">
        <x:v>606.924</x:v>
      </x:c>
      <x:c r="E43" s="85" t="n">
        <x:v>606.924</x:v>
      </x:c>
      <x:c r="F43" s="85" t="n">
        <x:v>2655.2925</x:v>
      </x:c>
      <x:c r="G43" s="85" t="n">
        <x:v>2655.2925</x:v>
      </x:c>
      <x:c r="H43" s="73" t="str">
        <x:v>configuration-level support allowance; independent evidence open</x:v>
      </x:c>
      <x:c r="I43" s="73" t="str">
        <x:v>OPEN</x:v>
      </x:c>
    </x:row>
    <x:row r="44">
      <x:c r="A44" s="61" t="str">
        <x:v>A2</x:v>
      </x:c>
      <x:c r="B44" s="61" t="str">
        <x:v>Seven-day local and staff food</x:v>
      </x:c>
      <x:c r="C44" s="84" t="n">
        <x:v>1</x:v>
      </x:c>
      <x:c r="D44" s="84" t="n">
        <x:v>106.59749848152414</x:v>
      </x:c>
      <x:c r="E44" s="84" t="n">
        <x:v>106.59749848152414</x:v>
      </x:c>
      <x:c r="F44" s="84" t="n">
        <x:v>279.18392459446795</x:v>
      </x:c>
      <x:c r="G44" s="84" t="n">
        <x:v>279.18392459446795</x:v>
      </x:c>
      <x:c r="H44" s="72" t="str">
        <x:v>configuration-level support allowance; independent evidence open</x:v>
      </x:c>
      <x:c r="I44" s="72" t="str">
        <x:v>OPEN</x:v>
      </x:c>
    </x:row>
    <x:row r="45">
      <x:c r="A45" s="53" t="str">
        <x:v>A2</x:v>
      </x:c>
      <x:c r="B45" s="53" t="str">
        <x:v>Prime-power fuel equivalent</x:v>
      </x:c>
      <x:c r="C45" s="85" t="n">
        <x:v>1</x:v>
      </x:c>
      <x:c r="D45" s="85" t="n">
        <x:v>300</x:v>
      </x:c>
      <x:c r="E45" s="85" t="n">
        <x:v>300</x:v>
      </x:c>
      <x:c r="F45" s="85" t="n">
        <x:v>420</x:v>
      </x:c>
      <x:c r="G45" s="85" t="n">
        <x:v>420</x:v>
      </x:c>
      <x:c r="H45" s="73" t="str">
        <x:v>configuration-level support allowance; independent evidence open</x:v>
      </x:c>
      <x:c r="I45" s="73" t="str">
        <x:v>OPEN</x:v>
      </x:c>
    </x:row>
    <x:row r="46">
      <x:c r="A46" s="61" t="str">
        <x:v>A2</x:v>
      </x:c>
      <x:c r="B46" s="61" t="str">
        <x:v>One-day startup water inventory</x:v>
      </x:c>
      <x:c r="C46" s="84" t="n">
        <x:v>1</x:v>
      </x:c>
      <x:c r="D46" s="84" t="n">
        <x:v>650</x:v>
      </x:c>
      <x:c r="E46" s="84" t="n">
        <x:v>650</x:v>
      </x:c>
      <x:c r="F46" s="84" t="n">
        <x:v>650</x:v>
      </x:c>
      <x:c r="G46" s="84" t="n">
        <x:v>650</x:v>
      </x:c>
      <x:c r="H46" s="72" t="str">
        <x:v>configuration-level support allowance; independent evidence open</x:v>
      </x:c>
      <x:c r="I46" s="72" t="str">
        <x:v>OPEN</x:v>
      </x:c>
    </x:row>
    <x:row r="47">
      <x:c r="A47" s="53" t="str">
        <x:v>A2</x:v>
      </x:c>
      <x:c r="B47" s="53" t="str">
        <x:v>Wastewater, solid-waste, and decontamination plant</x:v>
      </x:c>
      <x:c r="C47" s="85" t="n">
        <x:v>1</x:v>
      </x:c>
      <x:c r="D47" s="85" t="n">
        <x:v>250</x:v>
      </x:c>
      <x:c r="E47" s="85" t="n">
        <x:v>250</x:v>
      </x:c>
      <x:c r="F47" s="85" t="n">
        <x:v>600</x:v>
      </x:c>
      <x:c r="G47" s="85" t="n">
        <x:v>600</x:v>
      </x:c>
      <x:c r="H47" s="73" t="str">
        <x:v>configuration-level support allowance; independent evidence open</x:v>
      </x:c>
      <x:c r="I47" s="73" t="str">
        <x:v>OPEN</x:v>
      </x:c>
    </x:row>
    <x:row r="48">
      <x:c r="A48" s="61" t="str">
        <x:v>S3</x:v>
      </x:c>
      <x:c r="B48" s="61" t="str">
        <x:v>Protected district imports</x:v>
      </x:c>
      <x:c r="C48" s="84" t="n">
        <x:v>35</x:v>
      </x:c>
      <x:c r="D48" s="84" t="n">
        <x:v>12</x:v>
      </x:c>
      <x:c r="E48" s="84" t="n">
        <x:v>420</x:v>
      </x:c>
      <x:c r="F48" s="84" t="n">
        <x:v>68.08791767246856</x:v>
      </x:c>
      <x:c r="G48" s="84" t="n">
        <x:v>2383.0771185363997</x:v>
      </x:c>
      <x:c r="H48" s="72" t="str">
        <x:v>prepared-receiver share of complete PCC-D1 occupied system</x:v>
      </x:c>
      <x:c r="I48" s="72" t="str">
        <x:v>OPEN</x:v>
      </x:c>
    </x:row>
    <x:row r="49">
      <x:c r="A49" s="53" t="str">
        <x:v>S3</x:v>
      </x:c>
      <x:c r="B49" s="53" t="str">
        <x:v>Household access team sets</x:v>
      </x:c>
      <x:c r="C49" s="85" t="n">
        <x:v>270</x:v>
      </x:c>
      <x:c r="D49" s="85" t="n">
        <x:v>0.25</x:v>
      </x:c>
      <x:c r="E49" s="85" t="n">
        <x:v>67.5</x:v>
      </x:c>
      <x:c r="F49" s="85" t="n">
        <x:v>1.2</x:v>
      </x:c>
      <x:c r="G49" s="85" t="n">
        <x:v>324</x:v>
      </x:c>
      <x:c r="H49" s="73" t="str">
        <x:v>mobility, inspection, welfare, recording, lighting, and local communications</x:v>
      </x:c>
      <x:c r="I49" s="73" t="str">
        <x:v>OPEN</x:v>
      </x:c>
    </x:row>
    <x:row r="50">
      <x:c r="A50" s="61" t="str">
        <x:v>S3</x:v>
      </x:c>
      <x:c r="B50" s="61" t="str">
        <x:v>Vertical access team sets</x:v>
      </x:c>
      <x:c r="C50" s="84" t="n">
        <x:v>65</x:v>
      </x:c>
      <x:c r="D50" s="84" t="n">
        <x:v>0.8</x:v>
      </x:c>
      <x:c r="E50" s="84" t="n">
        <x:v>52</x:v>
      </x:c>
      <x:c r="F50" s="84" t="n">
        <x:v>3</x:v>
      </x:c>
      <x:c r="G50" s="84" t="n">
        <x:v>195</x:v>
      </x:c>
      <x:c r="H50" s="72" t="str">
        <x:v>powered stairs, hoists, device movement, medical power, fall protection, and rescue interface</x:v>
      </x:c>
      <x:c r="I50" s="72" t="str">
        <x:v>OPEN</x:v>
      </x:c>
    </x:row>
    <x:row r="51">
      <x:c r="A51" s="53" t="str">
        <x:v>S3</x:v>
      </x:c>
      <x:c r="B51" s="53" t="str">
        <x:v>Collection squadrons</x:v>
      </x:c>
      <x:c r="C51" s="85" t="n">
        <x:v>6</x:v>
      </x:c>
      <x:c r="D51" s="85" t="n">
        <x:v>110</x:v>
      </x:c>
      <x:c r="E51" s="85" t="n">
        <x:v>660</x:v>
      </x:c>
      <x:c r="F51" s="85" t="n">
        <x:v>720</x:v>
      </x:c>
      <x:c r="G51" s="85" t="n">
        <x:v>4320</x:v>
      </x:c>
      <x:c r="H51" s="73" t="str">
        <x:v>twelve mixed accessible road/high-water/clinical vehicles plus field support</x:v>
      </x:c>
      <x:c r="I51" s="73" t="str">
        <x:v>OPEN</x:v>
      </x:c>
    </x:row>
    <x:row r="52">
      <x:c r="A52" s="61" t="str">
        <x:v>S3</x:v>
      </x:c>
      <x:c r="B52" s="61" t="str">
        <x:v>Route-assurance detachments</x:v>
      </x:c>
      <x:c r="C52" s="84" t="n">
        <x:v>7</x:v>
      </x:c>
      <x:c r="D52" s="84" t="n">
        <x:v>220</x:v>
      </x:c>
      <x:c r="E52" s="84" t="n">
        <x:v>1540</x:v>
      </x:c>
      <x:c r="F52" s="84" t="n">
        <x:v>360</x:v>
      </x:c>
      <x:c r="G52" s="84" t="n">
        <x:v>2520</x:v>
      </x:c>
      <x:c r="H52" s="72" t="str">
        <x:v>reconnaissance, pumps, debris, surface repair, temporary crossing, traffic control, and release evidence</x:v>
      </x:c>
      <x:c r="I52" s="72" t="str">
        <x:v>OPEN</x:v>
      </x:c>
    </x:row>
    <x:row r="53">
      <x:c r="A53" s="53" t="str">
        <x:v>S3</x:v>
      </x:c>
      <x:c r="B53" s="53" t="str">
        <x:v>Power blocks</x:v>
      </x:c>
      <x:c r="C53" s="85" t="n">
        <x:v>10</x:v>
      </x:c>
      <x:c r="D53" s="85" t="n">
        <x:v>25</x:v>
      </x:c>
      <x:c r="E53" s="85" t="n">
        <x:v>250</x:v>
      </x:c>
      <x:c r="F53" s="85" t="n">
        <x:v>45</x:v>
      </x:c>
      <x:c r="G53" s="85" t="n">
        <x:v>450</x:v>
      </x:c>
      <x:c r="H53" s="73" t="str">
        <x:v>1 MW class grid-forming source/switchgear block before fuel and local distribution</x:v>
      </x:c>
      <x:c r="I53" s="73" t="str">
        <x:v>OPEN</x:v>
      </x:c>
    </x:row>
    <x:row r="54">
      <x:c r="A54" s="61" t="str">
        <x:v>S3</x:v>
      </x:c>
      <x:c r="B54" s="61" t="str">
        <x:v>Water islands</x:v>
      </x:c>
      <x:c r="C54" s="84" t="n">
        <x:v>9</x:v>
      </x:c>
      <x:c r="D54" s="84" t="n">
        <x:v>25</x:v>
      </x:c>
      <x:c r="E54" s="84" t="n">
        <x:v>225</x:v>
      </x:c>
      <x:c r="F54" s="84" t="n">
        <x:v>55</x:v>
      </x:c>
      <x:c r="G54" s="84" t="n">
        <x:v>495</x:v>
      </x:c>
      <x:c r="H54" s="72" t="str">
        <x:v>100 m3/day class source/treatment/storage interface before wet inventory</x:v>
      </x:c>
      <x:c r="I54" s="72" t="str">
        <x:v>OPEN</x:v>
      </x:c>
    </x:row>
    <x:row r="55">
      <x:c r="A55" s="53" t="str">
        <x:v>S3</x:v>
      </x:c>
      <x:c r="B55" s="53" t="str">
        <x:v>Communications nodes</x:v>
      </x:c>
      <x:c r="C55" s="85" t="n">
        <x:v>8</x:v>
      </x:c>
      <x:c r="D55" s="85" t="n">
        <x:v>5</x:v>
      </x:c>
      <x:c r="E55" s="85" t="n">
        <x:v>40</x:v>
      </x:c>
      <x:c r="F55" s="85" t="n">
        <x:v>18</x:v>
      </x:c>
      <x:c r="G55" s="85" t="n">
        <x:v>144</x:v>
      </x:c>
      <x:c r="H55" s="73" t="str">
        <x:v>macro, vehicle, man-pack, mesh, backhaul, edge compute, and power mix</x:v>
      </x:c>
      <x:c r="I55" s="73" t="str">
        <x:v>OPEN</x:v>
      </x:c>
    </x:row>
    <x:row r="56">
      <x:c r="A56" s="61" t="str">
        <x:v>S3</x:v>
      </x:c>
      <x:c r="B56" s="61" t="str">
        <x:v>Command, data, and clinical modules</x:v>
      </x:c>
      <x:c r="C56" s="84" t="n">
        <x:v>1</x:v>
      </x:c>
      <x:c r="D56" s="84" t="n">
        <x:v>120</x:v>
      </x:c>
      <x:c r="E56" s="84" t="n">
        <x:v>120</x:v>
      </x:c>
      <x:c r="F56" s="84" t="n">
        <x:v>500</x:v>
      </x:c>
      <x:c r="G56" s="84" t="n">
        <x:v>500</x:v>
      </x:c>
      <x:c r="H56" s="72" t="str">
        <x:v>configuration-level support allowance; independent evidence open</x:v>
      </x:c>
      <x:c r="I56" s="72" t="str">
        <x:v>OPEN</x:v>
      </x:c>
    </x:row>
    <x:row r="57">
      <x:c r="A57" s="53" t="str">
        <x:v>S3</x:v>
      </x:c>
      <x:c r="B57" s="53" t="str">
        <x:v>Field base and staff sustainment equipment</x:v>
      </x:c>
      <x:c r="C57" s="85" t="n">
        <x:v>1</x:v>
      </x:c>
      <x:c r="D57" s="85" t="n">
        <x:v>562.51008</x:v>
      </x:c>
      <x:c r="E57" s="85" t="n">
        <x:v>562.51008</x:v>
      </x:c>
      <x:c r="F57" s="85" t="n">
        <x:v>2460.9816</x:v>
      </x:c>
      <x:c r="G57" s="85" t="n">
        <x:v>2460.9816</x:v>
      </x:c>
      <x:c r="H57" s="73" t="str">
        <x:v>configuration-level support allowance; independent evidence open</x:v>
      </x:c>
      <x:c r="I57" s="73" t="str">
        <x:v>OPEN</x:v>
      </x:c>
    </x:row>
    <x:row r="58">
      <x:c r="A58" s="61" t="str">
        <x:v>S3</x:v>
      </x:c>
      <x:c r="B58" s="61" t="str">
        <x:v>Seven-day local and staff food</x:v>
      </x:c>
      <x:c r="C58" s="84" t="n">
        <x:v>1</x:v>
      </x:c>
      <x:c r="D58" s="84" t="n">
        <x:v>104.96528692152414</x:v>
      </x:c>
      <x:c r="E58" s="84" t="n">
        <x:v>104.96528692152414</x:v>
      </x:c>
      <x:c r="F58" s="84" t="n">
        <x:v>274.90908479446796</x:v>
      </x:c>
      <x:c r="G58" s="84" t="n">
        <x:v>274.90908479446796</x:v>
      </x:c>
      <x:c r="H58" s="72" t="str">
        <x:v>configuration-level support allowance; independent evidence open</x:v>
      </x:c>
      <x:c r="I58" s="72" t="str">
        <x:v>OPEN</x:v>
      </x:c>
    </x:row>
    <x:row r="59">
      <x:c r="A59" s="53" t="str">
        <x:v>S3</x:v>
      </x:c>
      <x:c r="B59" s="53" t="str">
        <x:v>Prime-power fuel equivalent</x:v>
      </x:c>
      <x:c r="C59" s="85" t="n">
        <x:v>1</x:v>
      </x:c>
      <x:c r="D59" s="85" t="n">
        <x:v>300</x:v>
      </x:c>
      <x:c r="E59" s="85" t="n">
        <x:v>300</x:v>
      </x:c>
      <x:c r="F59" s="85" t="n">
        <x:v>420</x:v>
      </x:c>
      <x:c r="G59" s="85" t="n">
        <x:v>420</x:v>
      </x:c>
      <x:c r="H59" s="73" t="str">
        <x:v>configuration-level support allowance; independent evidence open</x:v>
      </x:c>
      <x:c r="I59" s="73" t="str">
        <x:v>OPEN</x:v>
      </x:c>
    </x:row>
    <x:row r="60">
      <x:c r="A60" s="61" t="str">
        <x:v>S3</x:v>
      </x:c>
      <x:c r="B60" s="61" t="str">
        <x:v>One-day startup water inventory</x:v>
      </x:c>
      <x:c r="C60" s="84" t="n">
        <x:v>1</x:v>
      </x:c>
      <x:c r="D60" s="84" t="n">
        <x:v>650</x:v>
      </x:c>
      <x:c r="E60" s="84" t="n">
        <x:v>650</x:v>
      </x:c>
      <x:c r="F60" s="84" t="n">
        <x:v>650</x:v>
      </x:c>
      <x:c r="G60" s="84" t="n">
        <x:v>650</x:v>
      </x:c>
      <x:c r="H60" s="72" t="str">
        <x:v>configuration-level support allowance; independent evidence open</x:v>
      </x:c>
      <x:c r="I60" s="72" t="str">
        <x:v>OPEN</x:v>
      </x:c>
    </x:row>
    <x:row r="61">
      <x:c r="A61" s="53" t="str">
        <x:v>S3</x:v>
      </x:c>
      <x:c r="B61" s="53" t="str">
        <x:v>Wastewater, solid-waste, and decontamination plant</x:v>
      </x:c>
      <x:c r="C61" s="85" t="n">
        <x:v>1</x:v>
      </x:c>
      <x:c r="D61" s="85" t="n">
        <x:v>250</x:v>
      </x:c>
      <x:c r="E61" s="85" t="n">
        <x:v>250</x:v>
      </x:c>
      <x:c r="F61" s="85" t="n">
        <x:v>600</x:v>
      </x:c>
      <x:c r="G61" s="85" t="n">
        <x:v>600</x:v>
      </x:c>
      <x:c r="H61" s="73" t="str">
        <x:v>configuration-level support allowance; independent evidence open</x:v>
      </x:c>
      <x:c r="I61" s="73" t="str">
        <x:v>OPEN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779999732971191" hidden="0" customWidth="1"/>
    <x:col min="3" max="3" width="12.220000267028809" hidden="0" customWidth="1"/>
    <x:col min="4" max="4" width="13.890000343322754" hidden="0" customWidth="1"/>
    <x:col min="5" max="5" width="10" hidden="0" customWidth="1"/>
    <x:col min="6" max="6" width="10.5600004196167" hidden="0" customWidth="1"/>
    <x:col min="7" max="7" width="11.109999656677246" hidden="0" customWidth="1"/>
    <x:col min="8" max="8" width="10.5600004196167" hidden="0" customWidth="1"/>
    <x:col min="9" max="9" width="12.220000267028809" hidden="0" customWidth="1"/>
  </x:cols>
  <x:sheetData>
    <x:row r="1">
      <x:c r="A1" s="74" t="str">
        <x:v>Packed deployment screen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 s="75" t="str">
        <x:v>Position counts use mass-or-volume ceilings. Timings are coarse throughput screens after a 24-hour decision and marshal allowance.</x:v>
      </x:c>
      <x:c r="B2" s="53"/>
      <x:c r="C2" s="53"/>
      <x:c r="D2" s="53"/>
      <x:c r="E2" s="53"/>
      <x:c r="F2" s="53"/>
      <x:c r="G2" s="53"/>
      <x:c r="H2" s="53"/>
      <x:c r="I2" s="53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</x:row>
    <x:row r="5">
      <x:c r="A5" s="15" t="str">
        <x:v>Architecture</x:v>
      </x:c>
      <x:c r="B5" s="16" t="str">
        <x:v>Functional mass t</x:v>
      </x:c>
      <x:c r="C5" s="16" t="str">
        <x:v>Packed mass t</x:v>
      </x:c>
      <x:c r="D5" s="16" t="str">
        <x:v>Packed volume m3</x:v>
      </x:c>
      <x:c r="E5" s="16" t="str">
        <x:v>Air positions</x:v>
      </x:c>
      <x:c r="F5" s="16" t="str">
        <x:v>40-ft positions</x:v>
      </x:c>
      <x:c r="G5" s="16" t="str">
        <x:v>25-t road moves</x:v>
      </x:c>
      <x:c r="H5" s="16" t="str">
        <x:v>Air screen h</x:v>
      </x:c>
      <x:c r="I5" s="17" t="str">
        <x:v>Offshore screen h</x:v>
      </x:c>
    </x:row>
    <x:row r="6">
      <x:c r="A6" s="61" t="str">
        <x:v>T0</x:v>
      </x:c>
      <x:c r="B6" s="84" t="n">
        <x:v>3619.7210984015246</x:v>
      </x:c>
      <x:c r="C6" s="84" t="n">
        <x:v>4343.665318081829</x:v>
      </x:c>
      <x:c r="D6" s="84" t="n">
        <x:v>11550.637430423638</x:v>
      </x:c>
      <x:c r="E6" s="65" t="n">
        <x:v>958</x:v>
      </x:c>
      <x:c r="F6" s="65" t="n">
        <x:v>173</x:v>
      </x:c>
      <x:c r="G6" s="65" t="n">
        <x:v>174</x:v>
      </x:c>
      <x:c r="H6" s="133" t="n">
        <x:v>41.374661272327316</x:v>
      </x:c>
      <x:c r="I6" s="133" t="n">
        <x:v>48.1314739893435</x:v>
      </x:c>
    </x:row>
    <x:row r="7">
      <x:c r="A7" s="53" t="str">
        <x:v>I1</x:v>
      </x:c>
      <x:c r="B7" s="85" t="n">
        <x:v>4708.512251641524</x:v>
      </x:c>
      <x:c r="C7" s="85" t="n">
        <x:v>5650.214701969829</x:v>
      </x:c>
      <x:c r="D7" s="85" t="n">
        <x:v>15750.344561253636</x:v>
      </x:c>
      <x:c r="E7" s="70" t="n">
        <x:v>1246</x:v>
      </x:c>
      <x:c r="F7" s="70" t="n">
        <x:v>236</x:v>
      </x:c>
      <x:c r="G7" s="70" t="n">
        <x:v>227</x:v>
      </x:c>
      <x:c r="H7" s="134" t="n">
        <x:v>46.60085880787932</x:v>
      </x:c>
      <x:c r="I7" s="134" t="n">
        <x:v>55.390081677610155</x:v>
      </x:c>
    </x:row>
    <x:row r="8">
      <x:c r="A8" s="61" t="str">
        <x:v>A2</x:v>
      </x:c>
      <x:c r="B8" s="84" t="n">
        <x:v>5323.749498481524</x:v>
      </x:c>
      <x:c r="C8" s="84" t="n">
        <x:v>6388.499398177829</x:v>
      </x:c>
      <x:c r="D8" s="84" t="n">
        <x:v>18391.209888283636</x:v>
      </x:c>
      <x:c r="E8" s="65" t="n">
        <x:v>1409</x:v>
      </x:c>
      <x:c r="F8" s="65" t="n">
        <x:v>275</x:v>
      </x:c>
      <x:c r="G8" s="65" t="n">
        <x:v>256</x:v>
      </x:c>
      <x:c r="H8" s="133" t="n">
        <x:v>49.55399759271131</x:v>
      </x:c>
      <x:c r="I8" s="133" t="n">
        <x:v>59.49166332321016</x:v>
      </x:c>
    </x:row>
    <x:row r="9">
      <x:c r="A9" s="53" t="str">
        <x:v>S3</x:v>
      </x:c>
      <x:c r="B9" s="85" t="n">
        <x:v>5241.975366921524</x:v>
      </x:c>
      <x:c r="C9" s="85" t="n">
        <x:v>6290.370440305829</x:v>
      </x:c>
      <x:c r="D9" s="85" t="n">
        <x:v>18097.512973830497</x:v>
      </x:c>
      <x:c r="E9" s="70" t="n">
        <x:v>1387</x:v>
      </x:c>
      <x:c r="F9" s="70" t="n">
        <x:v>271</x:v>
      </x:c>
      <x:c r="G9" s="70" t="n">
        <x:v>252</x:v>
      </x:c>
      <x:c r="H9" s="134" t="n">
        <x:v>49.161481761223314</x:v>
      </x:c>
      <x:c r="I9" s="134" t="n">
        <x:v>58.9465024461435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1.109999656677246" hidden="0" customWidth="1"/>
    <x:col min="3" max="3" width="13.890000343322754" hidden="0" customWidth="1"/>
    <x:col min="4" max="4" width="37.779998779296875" hidden="0" customWidth="1"/>
    <x:col min="5" max="5" width="37.779998779296875" hidden="0" customWidth="1"/>
    <x:col min="6" max="6" width="8.890000343322754" hidden="0" customWidth="1"/>
  </x:cols>
  <x:sheetData>
    <x:row r="1">
      <x:c r="A1" s="74" t="str">
        <x:v>Cell utility boundary</x:v>
      </x:c>
      <x:c r="B1" s="53"/>
      <x:c r="C1" s="53"/>
      <x:c r="D1" s="53"/>
      <x:c r="E1" s="53"/>
      <x:c r="F1" s="53"/>
    </x:row>
    <x:row r="2">
      <x:c r="A2" s="75" t="str">
        <x:v>Power and water remain source-neutral. Blocks and islands are availability units, not selected machines.</x:v>
      </x:c>
      <x:c r="B2" s="53"/>
      <x:c r="C2" s="53"/>
      <x:c r="D2" s="53"/>
      <x:c r="E2" s="53"/>
      <x:c r="F2" s="53"/>
    </x:row>
    <x:row r="3">
      <x:c r="A3" s="55"/>
      <x:c r="B3" s="55"/>
      <x:c r="C3" s="55"/>
      <x:c r="D3" s="55"/>
      <x:c r="E3" s="55"/>
      <x:c r="F3" s="55"/>
    </x:row>
    <x:row r="4">
      <x:c r="A4" s="53"/>
      <x:c r="B4" s="53"/>
      <x:c r="C4" s="53"/>
      <x:c r="D4" s="53"/>
      <x:c r="E4" s="53"/>
      <x:c r="F4" s="53"/>
    </x:row>
    <x:row r="5">
      <x:c r="A5" s="15" t="str">
        <x:v>System</x:v>
      </x:c>
      <x:c r="B5" s="16" t="str">
        <x:v>Value</x:v>
      </x:c>
      <x:c r="C5" s="16" t="str">
        <x:v>Unit</x:v>
      </x:c>
      <x:c r="D5" s="16" t="str">
        <x:v>Basis</x:v>
      </x:c>
      <x:c r="E5" s="16" t="str">
        <x:v>Boundary</x:v>
      </x:c>
      <x:c r="F5" s="17" t="str">
        <x:v>State</x:v>
      </x:c>
    </x:row>
    <x:row r="6" ht="33.75" customHeight="1">
      <x:c r="A6" s="72" t="str">
        <x:v>Protected-local thermal and service load</x:v>
      </x:c>
      <x:c r="B6" s="121" t="n">
        <x:v>7.2</x:v>
      </x:c>
      <x:c r="C6" s="72" t="str">
        <x:v>MW average</x:v>
      </x:c>
      <x:c r="D6" s="72" t="str">
        <x:v>roughly 0.25 kW per design-local person including cell functions</x:v>
      </x:c>
      <x:c r="E6" s="72" t="str">
        <x:v>load archetype and diversity unverified</x:v>
      </x:c>
      <x:c r="F6" s="72" t="str">
        <x:v>OPEN</x:v>
      </x:c>
    </x:row>
    <x:row r="7" ht="33.75" customHeight="1">
      <x:c r="A7" s="73" t="str">
        <x:v>Peak electrical load</x:v>
      </x:c>
      <x:c r="B7" s="125" t="n">
        <x:v>11</x:v>
      </x:c>
      <x:c r="C7" s="73" t="str">
        <x:v>MW peak</x:v>
      </x:c>
      <x:c r="D7" s="73" t="str">
        <x:v>thermal, access, charging, medical, communications, and process peak</x:v>
      </x:c>
      <x:c r="E7" s="73" t="str">
        <x:v>one-line, transients, grounding, and fault studies open</x:v>
      </x:c>
      <x:c r="F7" s="73" t="str">
        <x:v>OPEN</x:v>
      </x:c>
    </x:row>
    <x:row r="8" ht="33.75" customHeight="1">
      <x:c r="A8" s="72" t="str">
        <x:v>Power blocks in A2</x:v>
      </x:c>
      <x:c r="B8" s="121" t="n">
        <x:v>10</x:v>
      </x:c>
      <x:c r="C8" s="72" t="str">
        <x:v>1 MW class blocks</x:v>
      </x:c>
      <x:c r="D8" s="72" t="str">
        <x:v>8 surviving blocks × 0.90 MW = 7.2 MW after two lost</x:v>
      </x:c>
      <x:c r="E8" s="72" t="str">
        <x:v>source, fuel, emissions, black start, and distribution unproved</x:v>
      </x:c>
      <x:c r="F8" s="72" t="str">
        <x:v>OPEN</x:v>
      </x:c>
    </x:row>
    <x:row r="9" ht="33.75" customHeight="1">
      <x:c r="A9" s="73" t="str">
        <x:v>Usable battery</x:v>
      </x:c>
      <x:c r="B9" s="125" t="n">
        <x:v>28.8</x:v>
      </x:c>
      <x:c r="C9" s="73" t="str">
        <x:v>MWh</x:v>
      </x:c>
      <x:c r="D9" s="73" t="str">
        <x:v>four hours at average load</x:v>
      </x:c>
      <x:c r="E9" s="73" t="str">
        <x:v>chemistry, thermal safety, degradation, and recharge unproved</x:v>
      </x:c>
      <x:c r="F9" s="73" t="str">
        <x:v>OPEN</x:v>
      </x:c>
    </x:row>
    <x:row r="10" ht="33.75" customHeight="1">
      <x:c r="A10" s="72" t="str">
        <x:v>Daily potable/process water</x:v>
      </x:c>
      <x:c r="B10" s="121" t="n">
        <x:v>650</x:v>
      </x:c>
      <x:c r="C10" s="72" t="str">
        <x:v>m3/day</x:v>
      </x:c>
      <x:c r="D10" s="72" t="str">
        <x:v>protected population, deployed staff, clinical, food, and process allowance</x:v>
      </x:c>
      <x:c r="E10" s="72" t="str">
        <x:v>source and use-class balance requires site case</x:v>
      </x:c>
      <x:c r="F10" s="72" t="str">
        <x:v>OPEN</x:v>
      </x:c>
    </x:row>
    <x:row r="11" ht="33.75" customHeight="1">
      <x:c r="A11" s="73" t="str">
        <x:v>Water islands in A2</x:v>
      </x:c>
      <x:c r="B11" s="125" t="n">
        <x:v>9</x:v>
      </x:c>
      <x:c r="C11" s="73" t="str">
        <x:v>100 m3/day class</x:v>
      </x:c>
      <x:c r="D11" s="73" t="str">
        <x:v>8 surviving islands × 90 m3/day = 720 after one lost</x:v>
      </x:c>
      <x:c r="E11" s="73" t="str">
        <x:v>source quality, pressure, residuals, and distribution unproved</x:v>
      </x:c>
      <x:c r="F11" s="73" t="str">
        <x:v>OPEN</x:v>
      </x:c>
    </x:row>
    <x:row r="12" ht="33.75" customHeight="1">
      <x:c r="A12" s="72" t="str">
        <x:v>Wastewater and liquid residuals</x:v>
      </x:c>
      <x:c r="B12" s="121" t="n">
        <x:v>520</x:v>
      </x:c>
      <x:c r="C12" s="72" t="str">
        <x:v>m3/day</x:v>
      </x:c>
      <x:c r="D12" s="72" t="str">
        <x:v>80% of water design flow</x:v>
      </x:c>
      <x:c r="E12" s="72" t="str">
        <x:v>stormwater, decontamination, and local discharge excluded</x:v>
      </x:c>
      <x:c r="F12" s="72" t="str">
        <x:v>OPEN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5" hidden="0" customWidth="1"/>
    <x:col min="3" max="3" width="9.4399995803833" hidden="0" customWidth="1"/>
    <x:col min="4" max="4" width="11.670000076293945" hidden="0" customWidth="1"/>
    <x:col min="5" max="5" width="11.109999656677246" hidden="0" customWidth="1"/>
    <x:col min="6" max="6" width="11.670000076293945" hidden="0" customWidth="1"/>
    <x:col min="7" max="7" width="21.110000610351562" hidden="0" customWidth="1"/>
    <x:col min="8" max="8" width="28.889999389648438" hidden="0" customWidth="1"/>
  </x:cols>
  <x:sheetData>
    <x:row r="1">
      <x:c r="A1" s="74" t="str">
        <x:v>Cell capital and operations</x:v>
      </x:c>
      <x:c r="B1" s="53"/>
      <x:c r="C1" s="53"/>
      <x:c r="D1" s="53"/>
      <x:c r="E1" s="53"/>
      <x:c r="F1" s="53"/>
      <x:c r="G1" s="53"/>
      <x:c r="H1" s="53"/>
    </x:row>
    <x:row r="2">
      <x:c r="A2" s="75" t="str">
        <x:v>Real 2026 dollars. Unit factors are comparative design assumptions, not acquisition or lifecycle estimates.</x:v>
      </x:c>
      <x:c r="B2" s="53"/>
      <x:c r="C2" s="53"/>
      <x:c r="D2" s="53"/>
      <x:c r="E2" s="53"/>
      <x:c r="F2" s="53"/>
      <x:c r="G2" s="53"/>
      <x:c r="H2" s="53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3"/>
      <x:c r="B4" s="53"/>
      <x:c r="C4" s="53"/>
      <x:c r="D4" s="53"/>
      <x:c r="E4" s="53"/>
      <x:c r="F4" s="53"/>
      <x:c r="G4" s="53"/>
      <x:c r="H4" s="53"/>
    </x:row>
    <x:row r="5">
      <x:c r="A5" s="15" t="str">
        <x:v>Architecture</x:v>
      </x:c>
      <x:c r="B5" s="16" t="str">
        <x:v>Component</x:v>
      </x:c>
      <x:c r="C5" s="16" t="str">
        <x:v>Quantity</x:v>
      </x:c>
      <x:c r="D5" s="16" t="str">
        <x:v>Unit cost $M</x:v>
      </x:c>
      <x:c r="E5" s="16" t="str">
        <x:v>Technology factor</x:v>
      </x:c>
      <x:c r="F5" s="16" t="str">
        <x:v>Capital $M</x:v>
      </x:c>
      <x:c r="G5" s="16" t="str">
        <x:v>Calculation class</x:v>
      </x:c>
      <x:c r="H5" s="17" t="str">
        <x:v>Evidence</x:v>
      </x:c>
    </x:row>
    <x:row r="6">
      <x:c r="A6" s="61" t="str">
        <x:v>T0</x:v>
      </x:c>
      <x:c r="B6" s="61" t="str">
        <x:v>districts</x:v>
      </x:c>
      <x:c r="C6" s="84" t="n">
        <x:v>20</x:v>
      </x:c>
      <x:c r="D6" s="143" t="n">
        <x:v>40</x:v>
      </x:c>
      <x:c r="E6" s="143" t="n">
        <x:v>1</x:v>
      </x:c>
      <x:c r="F6" s="143" t="n">
        <x:v>800</x:v>
      </x:c>
      <x:c r="G6" s="61" t="str">
        <x:v>design cost assumption</x:v>
      </x:c>
      <x:c r="H6" s="61" t="str">
        <x:v>independent cost evidence open</x:v>
      </x:c>
    </x:row>
    <x:row r="7">
      <x:c r="A7" s="53" t="str">
        <x:v>T0</x:v>
      </x:c>
      <x:c r="B7" s="53" t="str">
        <x:v>contact_teams</x:v>
      </x:c>
      <x:c r="C7" s="85" t="n">
        <x:v>120</x:v>
      </x:c>
      <x:c r="D7" s="144" t="n">
        <x:v>0.5</x:v>
      </x:c>
      <x:c r="E7" s="144" t="n">
        <x:v>1</x:v>
      </x:c>
      <x:c r="F7" s="144" t="n">
        <x:v>60</x:v>
      </x:c>
      <x:c r="G7" s="53" t="str">
        <x:v>design cost assumption</x:v>
      </x:c>
      <x:c r="H7" s="53" t="str">
        <x:v>independent cost evidence open</x:v>
      </x:c>
    </x:row>
    <x:row r="8">
      <x:c r="A8" s="61" t="str">
        <x:v>T0</x:v>
      </x:c>
      <x:c r="B8" s="61" t="str">
        <x:v>vertical_teams</x:v>
      </x:c>
      <x:c r="C8" s="84" t="n">
        <x:v>40</x:v>
      </x:c>
      <x:c r="D8" s="143" t="n">
        <x:v>1.2</x:v>
      </x:c>
      <x:c r="E8" s="143" t="n">
        <x:v>1</x:v>
      </x:c>
      <x:c r="F8" s="143" t="n">
        <x:v>48</x:v>
      </x:c>
      <x:c r="G8" s="61" t="str">
        <x:v>design cost assumption</x:v>
      </x:c>
      <x:c r="H8" s="61" t="str">
        <x:v>independent cost evidence open</x:v>
      </x:c>
    </x:row>
    <x:row r="9">
      <x:c r="A9" s="53" t="str">
        <x:v>T0</x:v>
      </x:c>
      <x:c r="B9" s="53" t="str">
        <x:v>collection_squadrons</x:v>
      </x:c>
      <x:c r="C9" s="85" t="n">
        <x:v>3</x:v>
      </x:c>
      <x:c r="D9" s="144" t="n">
        <x:v>120</x:v>
      </x:c>
      <x:c r="E9" s="144" t="n">
        <x:v>1</x:v>
      </x:c>
      <x:c r="F9" s="144" t="n">
        <x:v>360</x:v>
      </x:c>
      <x:c r="G9" s="53" t="str">
        <x:v>design cost assumption</x:v>
      </x:c>
      <x:c r="H9" s="53" t="str">
        <x:v>independent cost evidence open</x:v>
      </x:c>
    </x:row>
    <x:row r="10">
      <x:c r="A10" s="61" t="str">
        <x:v>T0</x:v>
      </x:c>
      <x:c r="B10" s="61" t="str">
        <x:v>route_detachments</x:v>
      </x:c>
      <x:c r="C10" s="84" t="n">
        <x:v>4</x:v>
      </x:c>
      <x:c r="D10" s="143" t="n">
        <x:v>140</x:v>
      </x:c>
      <x:c r="E10" s="143" t="n">
        <x:v>1</x:v>
      </x:c>
      <x:c r="F10" s="143" t="n">
        <x:v>560</x:v>
      </x:c>
      <x:c r="G10" s="61" t="str">
        <x:v>design cost assumption</x:v>
      </x:c>
      <x:c r="H10" s="61" t="str">
        <x:v>independent cost evidence open</x:v>
      </x:c>
    </x:row>
    <x:row r="11">
      <x:c r="A11" s="53" t="str">
        <x:v>T0</x:v>
      </x:c>
      <x:c r="B11" s="53" t="str">
        <x:v>power_blocks</x:v>
      </x:c>
      <x:c r="C11" s="85" t="n">
        <x:v>6</x:v>
      </x:c>
      <x:c r="D11" s="144" t="n">
        <x:v>35</x:v>
      </x:c>
      <x:c r="E11" s="144" t="n">
        <x:v>1</x:v>
      </x:c>
      <x:c r="F11" s="144" t="n">
        <x:v>210</x:v>
      </x:c>
      <x:c r="G11" s="53" t="str">
        <x:v>design cost assumption</x:v>
      </x:c>
      <x:c r="H11" s="53" t="str">
        <x:v>independent cost evidence open</x:v>
      </x:c>
    </x:row>
    <x:row r="12">
      <x:c r="A12" s="61" t="str">
        <x:v>T0</x:v>
      </x:c>
      <x:c r="B12" s="61" t="str">
        <x:v>water_islands</x:v>
      </x:c>
      <x:c r="C12" s="84" t="n">
        <x:v>6</x:v>
      </x:c>
      <x:c r="D12" s="143" t="n">
        <x:v>25</x:v>
      </x:c>
      <x:c r="E12" s="143" t="n">
        <x:v>1</x:v>
      </x:c>
      <x:c r="F12" s="143" t="n">
        <x:v>150</x:v>
      </x:c>
      <x:c r="G12" s="61" t="str">
        <x:v>design cost assumption</x:v>
      </x:c>
      <x:c r="H12" s="61" t="str">
        <x:v>independent cost evidence open</x:v>
      </x:c>
    </x:row>
    <x:row r="13">
      <x:c r="A13" s="53" t="str">
        <x:v>T0</x:v>
      </x:c>
      <x:c r="B13" s="53" t="str">
        <x:v>comms_nodes</x:v>
      </x:c>
      <x:c r="C13" s="85" t="n">
        <x:v>4</x:v>
      </x:c>
      <x:c r="D13" s="144" t="n">
        <x:v>20</x:v>
      </x:c>
      <x:c r="E13" s="144" t="n">
        <x:v>1</x:v>
      </x:c>
      <x:c r="F13" s="144" t="n">
        <x:v>80</x:v>
      </x:c>
      <x:c r="G13" s="53" t="str">
        <x:v>design cost assumption</x:v>
      </x:c>
      <x:c r="H13" s="53" t="str">
        <x:v>independent cost evidence open</x:v>
      </x:c>
    </x:row>
    <x:row r="14">
      <x:c r="A14" s="61" t="str">
        <x:v>T0</x:v>
      </x:c>
      <x:c r="B14" s="61" t="str">
        <x:v>command_rights_data_clinical</x:v>
      </x:c>
      <x:c r="C14" s="84" t="n">
        <x:v>1</x:v>
      </x:c>
      <x:c r="D14" s="143" t="n">
        <x:v>300</x:v>
      </x:c>
      <x:c r="E14" s="143" t="n">
        <x:v>1</x:v>
      </x:c>
      <x:c r="F14" s="143" t="n">
        <x:v>300</x:v>
      </x:c>
      <x:c r="G14" s="61" t="str">
        <x:v>design cost assumption</x:v>
      </x:c>
      <x:c r="H14" s="61" t="str">
        <x:v>independent cost evidence open</x:v>
      </x:c>
    </x:row>
    <x:row r="15">
      <x:c r="A15" s="53" t="str">
        <x:v>T0</x:v>
      </x:c>
      <x:c r="B15" s="53" t="str">
        <x:v>base_depot_training_capital</x:v>
      </x:c>
      <x:c r="C15" s="85" t="n">
        <x:v>1</x:v>
      </x:c>
      <x:c r="D15" s="144" t="n">
        <x:v>770.4</x:v>
      </x:c>
      <x:c r="E15" s="144" t="n">
        <x:v>1</x:v>
      </x:c>
      <x:c r="F15" s="144" t="n">
        <x:v>770.4</x:v>
      </x:c>
      <x:c r="G15" s="53" t="str">
        <x:v>30% of direct capital</x:v>
      </x:c>
      <x:c r="H15" s="53" t="str">
        <x:v>independent cost evidence open</x:v>
      </x:c>
    </x:row>
    <x:row r="16">
      <x:c r="A16" s="61" t="str">
        <x:v>T0</x:v>
      </x:c>
      <x:c r="B16" s="61" t="str">
        <x:v>program_reserve</x:v>
      </x:c>
      <x:c r="C16" s="84" t="n">
        <x:v>1</x:v>
      </x:c>
      <x:c r="D16" s="143" t="n">
        <x:v>834.6</x:v>
      </x:c>
      <x:c r="E16" s="143" t="n">
        <x:v>1</x:v>
      </x:c>
      <x:c r="F16" s="143" t="n">
        <x:v>834.6</x:v>
      </x:c>
      <x:c r="G16" s="61" t="str">
        <x:v>25% of direct plus base capital</x:v>
      </x:c>
      <x:c r="H16" s="61" t="str">
        <x:v>independent cost evidence open</x:v>
      </x:c>
    </x:row>
    <x:row r="17">
      <x:c r="A17" s="53" t="str">
        <x:v>I1</x:v>
      </x:c>
      <x:c r="B17" s="53" t="str">
        <x:v>districts</x:v>
      </x:c>
      <x:c r="C17" s="85" t="n">
        <x:v>29</x:v>
      </x:c>
      <x:c r="D17" s="144" t="n">
        <x:v>40</x:v>
      </x:c>
      <x:c r="E17" s="144" t="n">
        <x:v>1</x:v>
      </x:c>
      <x:c r="F17" s="144" t="n">
        <x:v>1160</x:v>
      </x:c>
      <x:c r="G17" s="53" t="str">
        <x:v>design cost assumption</x:v>
      </x:c>
      <x:c r="H17" s="53" t="str">
        <x:v>independent cost evidence open</x:v>
      </x:c>
    </x:row>
    <x:row r="18">
      <x:c r="A18" s="61" t="str">
        <x:v>I1</x:v>
      </x:c>
      <x:c r="B18" s="61" t="str">
        <x:v>contact_teams</x:v>
      </x:c>
      <x:c r="C18" s="84" t="n">
        <x:v>240</x:v>
      </x:c>
      <x:c r="D18" s="143" t="n">
        <x:v>0.5</x:v>
      </x:c>
      <x:c r="E18" s="143" t="n">
        <x:v>1</x:v>
      </x:c>
      <x:c r="F18" s="143" t="n">
        <x:v>120</x:v>
      </x:c>
      <x:c r="G18" s="61" t="str">
        <x:v>design cost assumption</x:v>
      </x:c>
      <x:c r="H18" s="61" t="str">
        <x:v>independent cost evidence open</x:v>
      </x:c>
    </x:row>
    <x:row r="19">
      <x:c r="A19" s="53" t="str">
        <x:v>I1</x:v>
      </x:c>
      <x:c r="B19" s="53" t="str">
        <x:v>vertical_teams</x:v>
      </x:c>
      <x:c r="C19" s="85" t="n">
        <x:v>80</x:v>
      </x:c>
      <x:c r="D19" s="144" t="n">
        <x:v>1.2</x:v>
      </x:c>
      <x:c r="E19" s="144" t="n">
        <x:v>1</x:v>
      </x:c>
      <x:c r="F19" s="144" t="n">
        <x:v>96</x:v>
      </x:c>
      <x:c r="G19" s="53" t="str">
        <x:v>design cost assumption</x:v>
      </x:c>
      <x:c r="H19" s="53" t="str">
        <x:v>independent cost evidence open</x:v>
      </x:c>
    </x:row>
    <x:row r="20">
      <x:c r="A20" s="61" t="str">
        <x:v>I1</x:v>
      </x:c>
      <x:c r="B20" s="61" t="str">
        <x:v>collection_squadrons</x:v>
      </x:c>
      <x:c r="C20" s="84" t="n">
        <x:v>4</x:v>
      </x:c>
      <x:c r="D20" s="143" t="n">
        <x:v>120</x:v>
      </x:c>
      <x:c r="E20" s="143" t="n">
        <x:v>1</x:v>
      </x:c>
      <x:c r="F20" s="143" t="n">
        <x:v>480</x:v>
      </x:c>
      <x:c r="G20" s="61" t="str">
        <x:v>design cost assumption</x:v>
      </x:c>
      <x:c r="H20" s="61" t="str">
        <x:v>independent cost evidence open</x:v>
      </x:c>
    </x:row>
    <x:row r="21">
      <x:c r="A21" s="53" t="str">
        <x:v>I1</x:v>
      </x:c>
      <x:c r="B21" s="53" t="str">
        <x:v>route_detachments</x:v>
      </x:c>
      <x:c r="C21" s="85" t="n">
        <x:v>6</x:v>
      </x:c>
      <x:c r="D21" s="144" t="n">
        <x:v>140</x:v>
      </x:c>
      <x:c r="E21" s="144" t="n">
        <x:v>1</x:v>
      </x:c>
      <x:c r="F21" s="144" t="n">
        <x:v>840</x:v>
      </x:c>
      <x:c r="G21" s="53" t="str">
        <x:v>design cost assumption</x:v>
      </x:c>
      <x:c r="H21" s="53" t="str">
        <x:v>independent cost evidence open</x:v>
      </x:c>
    </x:row>
    <x:row r="22">
      <x:c r="A22" s="61" t="str">
        <x:v>I1</x:v>
      </x:c>
      <x:c r="B22" s="61" t="str">
        <x:v>power_blocks</x:v>
      </x:c>
      <x:c r="C22" s="84" t="n">
        <x:v>9</x:v>
      </x:c>
      <x:c r="D22" s="143" t="n">
        <x:v>35</x:v>
      </x:c>
      <x:c r="E22" s="143" t="n">
        <x:v>1</x:v>
      </x:c>
      <x:c r="F22" s="143" t="n">
        <x:v>315</x:v>
      </x:c>
      <x:c r="G22" s="61" t="str">
        <x:v>design cost assumption</x:v>
      </x:c>
      <x:c r="H22" s="61" t="str">
        <x:v>independent cost evidence open</x:v>
      </x:c>
    </x:row>
    <x:row r="23">
      <x:c r="A23" s="53" t="str">
        <x:v>I1</x:v>
      </x:c>
      <x:c r="B23" s="53" t="str">
        <x:v>water_islands</x:v>
      </x:c>
      <x:c r="C23" s="85" t="n">
        <x:v>8</x:v>
      </x:c>
      <x:c r="D23" s="144" t="n">
        <x:v>25</x:v>
      </x:c>
      <x:c r="E23" s="144" t="n">
        <x:v>1</x:v>
      </x:c>
      <x:c r="F23" s="144" t="n">
        <x:v>200</x:v>
      </x:c>
      <x:c r="G23" s="53" t="str">
        <x:v>design cost assumption</x:v>
      </x:c>
      <x:c r="H23" s="53" t="str">
        <x:v>independent cost evidence open</x:v>
      </x:c>
    </x:row>
    <x:row r="24">
      <x:c r="A24" s="61" t="str">
        <x:v>I1</x:v>
      </x:c>
      <x:c r="B24" s="61" t="str">
        <x:v>comms_nodes</x:v>
      </x:c>
      <x:c r="C24" s="84" t="n">
        <x:v>6</x:v>
      </x:c>
      <x:c r="D24" s="143" t="n">
        <x:v>20</x:v>
      </x:c>
      <x:c r="E24" s="143" t="n">
        <x:v>1</x:v>
      </x:c>
      <x:c r="F24" s="143" t="n">
        <x:v>120</x:v>
      </x:c>
      <x:c r="G24" s="61" t="str">
        <x:v>design cost assumption</x:v>
      </x:c>
      <x:c r="H24" s="61" t="str">
        <x:v>independent cost evidence open</x:v>
      </x:c>
    </x:row>
    <x:row r="25">
      <x:c r="A25" s="53" t="str">
        <x:v>I1</x:v>
      </x:c>
      <x:c r="B25" s="53" t="str">
        <x:v>command_rights_data_clinical</x:v>
      </x:c>
      <x:c r="C25" s="85" t="n">
        <x:v>1</x:v>
      </x:c>
      <x:c r="D25" s="144" t="n">
        <x:v>300</x:v>
      </x:c>
      <x:c r="E25" s="144" t="n">
        <x:v>1</x:v>
      </x:c>
      <x:c r="F25" s="144" t="n">
        <x:v>300</x:v>
      </x:c>
      <x:c r="G25" s="53" t="str">
        <x:v>design cost assumption</x:v>
      </x:c>
      <x:c r="H25" s="53" t="str">
        <x:v>independent cost evidence open</x:v>
      </x:c>
    </x:row>
    <x:row r="26">
      <x:c r="A26" s="61" t="str">
        <x:v>I1</x:v>
      </x:c>
      <x:c r="B26" s="61" t="str">
        <x:v>base_depot_training_capital</x:v>
      </x:c>
      <x:c r="C26" s="84" t="n">
        <x:v>1</x:v>
      </x:c>
      <x:c r="D26" s="143" t="n">
        <x:v>1089.3</x:v>
      </x:c>
      <x:c r="E26" s="143" t="n">
        <x:v>1</x:v>
      </x:c>
      <x:c r="F26" s="143" t="n">
        <x:v>1089.3</x:v>
      </x:c>
      <x:c r="G26" s="61" t="str">
        <x:v>30% of direct capital</x:v>
      </x:c>
      <x:c r="H26" s="61" t="str">
        <x:v>independent cost evidence open</x:v>
      </x:c>
    </x:row>
    <x:row r="27">
      <x:c r="A27" s="53" t="str">
        <x:v>I1</x:v>
      </x:c>
      <x:c r="B27" s="53" t="str">
        <x:v>program_reserve</x:v>
      </x:c>
      <x:c r="C27" s="85" t="n">
        <x:v>1</x:v>
      </x:c>
      <x:c r="D27" s="144" t="n">
        <x:v>1180.075</x:v>
      </x:c>
      <x:c r="E27" s="144" t="n">
        <x:v>1</x:v>
      </x:c>
      <x:c r="F27" s="144" t="n">
        <x:v>1180.075</x:v>
      </x:c>
      <x:c r="G27" s="53" t="str">
        <x:v>25% of direct plus base capital</x:v>
      </x:c>
      <x:c r="H27" s="53" t="str">
        <x:v>independent cost evidence open</x:v>
      </x:c>
    </x:row>
    <x:row r="28">
      <x:c r="A28" s="61" t="str">
        <x:v>A2</x:v>
      </x:c>
      <x:c r="B28" s="61" t="str">
        <x:v>districts</x:v>
      </x:c>
      <x:c r="C28" s="84" t="n">
        <x:v>34</x:v>
      </x:c>
      <x:c r="D28" s="143" t="n">
        <x:v>40</x:v>
      </x:c>
      <x:c r="E28" s="143" t="n">
        <x:v>1</x:v>
      </x:c>
      <x:c r="F28" s="143" t="n">
        <x:v>1360</x:v>
      </x:c>
      <x:c r="G28" s="61" t="str">
        <x:v>design cost assumption</x:v>
      </x:c>
      <x:c r="H28" s="61" t="str">
        <x:v>independent cost evidence open</x:v>
      </x:c>
    </x:row>
    <x:row r="29">
      <x:c r="A29" s="53" t="str">
        <x:v>A2</x:v>
      </x:c>
      <x:c r="B29" s="53" t="str">
        <x:v>contact_teams</x:v>
      </x:c>
      <x:c r="C29" s="85" t="n">
        <x:v>300</x:v>
      </x:c>
      <x:c r="D29" s="144" t="n">
        <x:v>0.5</x:v>
      </x:c>
      <x:c r="E29" s="144" t="n">
        <x:v>1</x:v>
      </x:c>
      <x:c r="F29" s="144" t="n">
        <x:v>150</x:v>
      </x:c>
      <x:c r="G29" s="53" t="str">
        <x:v>design cost assumption</x:v>
      </x:c>
      <x:c r="H29" s="53" t="str">
        <x:v>independent cost evidence open</x:v>
      </x:c>
    </x:row>
    <x:row r="30">
      <x:c r="A30" s="61" t="str">
        <x:v>A2</x:v>
      </x:c>
      <x:c r="B30" s="61" t="str">
        <x:v>vertical_teams</x:v>
      </x:c>
      <x:c r="C30" s="84" t="n">
        <x:v>100</x:v>
      </x:c>
      <x:c r="D30" s="143" t="n">
        <x:v>1.2</x:v>
      </x:c>
      <x:c r="E30" s="143" t="n">
        <x:v>1</x:v>
      </x:c>
      <x:c r="F30" s="143" t="n">
        <x:v>120</x:v>
      </x:c>
      <x:c r="G30" s="61" t="str">
        <x:v>design cost assumption</x:v>
      </x:c>
      <x:c r="H30" s="61" t="str">
        <x:v>independent cost evidence open</x:v>
      </x:c>
    </x:row>
    <x:row r="31">
      <x:c r="A31" s="53" t="str">
        <x:v>A2</x:v>
      </x:c>
      <x:c r="B31" s="53" t="str">
        <x:v>collection_squadrons</x:v>
      </x:c>
      <x:c r="C31" s="85" t="n">
        <x:v>5</x:v>
      </x:c>
      <x:c r="D31" s="144" t="n">
        <x:v>120</x:v>
      </x:c>
      <x:c r="E31" s="144" t="n">
        <x:v>1</x:v>
      </x:c>
      <x:c r="F31" s="144" t="n">
        <x:v>600</x:v>
      </x:c>
      <x:c r="G31" s="53" t="str">
        <x:v>design cost assumption</x:v>
      </x:c>
      <x:c r="H31" s="53" t="str">
        <x:v>independent cost evidence open</x:v>
      </x:c>
    </x:row>
    <x:row r="32">
      <x:c r="A32" s="61" t="str">
        <x:v>A2</x:v>
      </x:c>
      <x:c r="B32" s="61" t="str">
        <x:v>route_detachments</x:v>
      </x:c>
      <x:c r="C32" s="84" t="n">
        <x:v>7</x:v>
      </x:c>
      <x:c r="D32" s="143" t="n">
        <x:v>140</x:v>
      </x:c>
      <x:c r="E32" s="143" t="n">
        <x:v>1</x:v>
      </x:c>
      <x:c r="F32" s="143" t="n">
        <x:v>980</x:v>
      </x:c>
      <x:c r="G32" s="61" t="str">
        <x:v>design cost assumption</x:v>
      </x:c>
      <x:c r="H32" s="61" t="str">
        <x:v>independent cost evidence open</x:v>
      </x:c>
    </x:row>
    <x:row r="33">
      <x:c r="A33" s="53" t="str">
        <x:v>A2</x:v>
      </x:c>
      <x:c r="B33" s="53" t="str">
        <x:v>power_blocks</x:v>
      </x:c>
      <x:c r="C33" s="85" t="n">
        <x:v>10</x:v>
      </x:c>
      <x:c r="D33" s="144" t="n">
        <x:v>35</x:v>
      </x:c>
      <x:c r="E33" s="144" t="n">
        <x:v>1</x:v>
      </x:c>
      <x:c r="F33" s="144" t="n">
        <x:v>350</x:v>
      </x:c>
      <x:c r="G33" s="53" t="str">
        <x:v>design cost assumption</x:v>
      </x:c>
      <x:c r="H33" s="53" t="str">
        <x:v>independent cost evidence open</x:v>
      </x:c>
    </x:row>
    <x:row r="34">
      <x:c r="A34" s="61" t="str">
        <x:v>A2</x:v>
      </x:c>
      <x:c r="B34" s="61" t="str">
        <x:v>water_islands</x:v>
      </x:c>
      <x:c r="C34" s="84" t="n">
        <x:v>9</x:v>
      </x:c>
      <x:c r="D34" s="143" t="n">
        <x:v>25</x:v>
      </x:c>
      <x:c r="E34" s="143" t="n">
        <x:v>1</x:v>
      </x:c>
      <x:c r="F34" s="143" t="n">
        <x:v>225</x:v>
      </x:c>
      <x:c r="G34" s="61" t="str">
        <x:v>design cost assumption</x:v>
      </x:c>
      <x:c r="H34" s="61" t="str">
        <x:v>independent cost evidence open</x:v>
      </x:c>
    </x:row>
    <x:row r="35">
      <x:c r="A35" s="53" t="str">
        <x:v>A2</x:v>
      </x:c>
      <x:c r="B35" s="53" t="str">
        <x:v>comms_nodes</x:v>
      </x:c>
      <x:c r="C35" s="85" t="n">
        <x:v>7</x:v>
      </x:c>
      <x:c r="D35" s="144" t="n">
        <x:v>20</x:v>
      </x:c>
      <x:c r="E35" s="144" t="n">
        <x:v>1</x:v>
      </x:c>
      <x:c r="F35" s="144" t="n">
        <x:v>140</x:v>
      </x:c>
      <x:c r="G35" s="53" t="str">
        <x:v>design cost assumption</x:v>
      </x:c>
      <x:c r="H35" s="53" t="str">
        <x:v>independent cost evidence open</x:v>
      </x:c>
    </x:row>
    <x:row r="36">
      <x:c r="A36" s="61" t="str">
        <x:v>A2</x:v>
      </x:c>
      <x:c r="B36" s="61" t="str">
        <x:v>command_rights_data_clinical</x:v>
      </x:c>
      <x:c r="C36" s="84" t="n">
        <x:v>1</x:v>
      </x:c>
      <x:c r="D36" s="143" t="n">
        <x:v>300</x:v>
      </x:c>
      <x:c r="E36" s="143" t="n">
        <x:v>1</x:v>
      </x:c>
      <x:c r="F36" s="143" t="n">
        <x:v>300</x:v>
      </x:c>
      <x:c r="G36" s="61" t="str">
        <x:v>design cost assumption</x:v>
      </x:c>
      <x:c r="H36" s="61" t="str">
        <x:v>independent cost evidence open</x:v>
      </x:c>
    </x:row>
    <x:row r="37">
      <x:c r="A37" s="53" t="str">
        <x:v>A2</x:v>
      </x:c>
      <x:c r="B37" s="53" t="str">
        <x:v>base_depot_training_capital</x:v>
      </x:c>
      <x:c r="C37" s="85" t="n">
        <x:v>1</x:v>
      </x:c>
      <x:c r="D37" s="144" t="n">
        <x:v>1267.5</x:v>
      </x:c>
      <x:c r="E37" s="144" t="n">
        <x:v>1</x:v>
      </x:c>
      <x:c r="F37" s="144" t="n">
        <x:v>1267.5</x:v>
      </x:c>
      <x:c r="G37" s="53" t="str">
        <x:v>30% of direct capital</x:v>
      </x:c>
      <x:c r="H37" s="53" t="str">
        <x:v>independent cost evidence open</x:v>
      </x:c>
    </x:row>
    <x:row r="38">
      <x:c r="A38" s="61" t="str">
        <x:v>A2</x:v>
      </x:c>
      <x:c r="B38" s="61" t="str">
        <x:v>program_reserve</x:v>
      </x:c>
      <x:c r="C38" s="84" t="n">
        <x:v>1</x:v>
      </x:c>
      <x:c r="D38" s="143" t="n">
        <x:v>1373.125</x:v>
      </x:c>
      <x:c r="E38" s="143" t="n">
        <x:v>1</x:v>
      </x:c>
      <x:c r="F38" s="143" t="n">
        <x:v>1373.125</x:v>
      </x:c>
      <x:c r="G38" s="61" t="str">
        <x:v>25% of direct plus base capital</x:v>
      </x:c>
      <x:c r="H38" s="61" t="str">
        <x:v>independent cost evidence open</x:v>
      </x:c>
    </x:row>
    <x:row r="39">
      <x:c r="A39" s="53" t="str">
        <x:v>S3</x:v>
      </x:c>
      <x:c r="B39" s="53" t="str">
        <x:v>districts</x:v>
      </x:c>
      <x:c r="C39" s="85" t="n">
        <x:v>35</x:v>
      </x:c>
      <x:c r="D39" s="144" t="n">
        <x:v>40</x:v>
      </x:c>
      <x:c r="E39" s="144" t="n">
        <x:v>1.25</x:v>
      </x:c>
      <x:c r="F39" s="144" t="n">
        <x:v>1750</x:v>
      </x:c>
      <x:c r="G39" s="53" t="str">
        <x:v>design cost assumption</x:v>
      </x:c>
      <x:c r="H39" s="53" t="str">
        <x:v>independent cost evidence open</x:v>
      </x:c>
    </x:row>
    <x:row r="40">
      <x:c r="A40" s="61" t="str">
        <x:v>S3</x:v>
      </x:c>
      <x:c r="B40" s="61" t="str">
        <x:v>contact_teams</x:v>
      </x:c>
      <x:c r="C40" s="84" t="n">
        <x:v>270</x:v>
      </x:c>
      <x:c r="D40" s="143" t="n">
        <x:v>0.5</x:v>
      </x:c>
      <x:c r="E40" s="143" t="n">
        <x:v>1.25</x:v>
      </x:c>
      <x:c r="F40" s="143" t="n">
        <x:v>168.75</x:v>
      </x:c>
      <x:c r="G40" s="61" t="str">
        <x:v>design cost assumption</x:v>
      </x:c>
      <x:c r="H40" s="61" t="str">
        <x:v>independent cost evidence open</x:v>
      </x:c>
    </x:row>
    <x:row r="41">
      <x:c r="A41" s="53" t="str">
        <x:v>S3</x:v>
      </x:c>
      <x:c r="B41" s="53" t="str">
        <x:v>vertical_teams</x:v>
      </x:c>
      <x:c r="C41" s="85" t="n">
        <x:v>65</x:v>
      </x:c>
      <x:c r="D41" s="144" t="n">
        <x:v>1.2</x:v>
      </x:c>
      <x:c r="E41" s="144" t="n">
        <x:v>1.25</x:v>
      </x:c>
      <x:c r="F41" s="144" t="n">
        <x:v>97.5</x:v>
      </x:c>
      <x:c r="G41" s="53" t="str">
        <x:v>design cost assumption</x:v>
      </x:c>
      <x:c r="H41" s="53" t="str">
        <x:v>independent cost evidence open</x:v>
      </x:c>
    </x:row>
    <x:row r="42">
      <x:c r="A42" s="61" t="str">
        <x:v>S3</x:v>
      </x:c>
      <x:c r="B42" s="61" t="str">
        <x:v>collection_squadrons</x:v>
      </x:c>
      <x:c r="C42" s="84" t="n">
        <x:v>6</x:v>
      </x:c>
      <x:c r="D42" s="143" t="n">
        <x:v>120</x:v>
      </x:c>
      <x:c r="E42" s="143" t="n">
        <x:v>1.25</x:v>
      </x:c>
      <x:c r="F42" s="143" t="n">
        <x:v>900</x:v>
      </x:c>
      <x:c r="G42" s="61" t="str">
        <x:v>design cost assumption</x:v>
      </x:c>
      <x:c r="H42" s="61" t="str">
        <x:v>independent cost evidence open</x:v>
      </x:c>
    </x:row>
    <x:row r="43">
      <x:c r="A43" s="53" t="str">
        <x:v>S3</x:v>
      </x:c>
      <x:c r="B43" s="53" t="str">
        <x:v>route_detachments</x:v>
      </x:c>
      <x:c r="C43" s="85" t="n">
        <x:v>7</x:v>
      </x:c>
      <x:c r="D43" s="144" t="n">
        <x:v>140</x:v>
      </x:c>
      <x:c r="E43" s="144" t="n">
        <x:v>1.25</x:v>
      </x:c>
      <x:c r="F43" s="144" t="n">
        <x:v>1225</x:v>
      </x:c>
      <x:c r="G43" s="53" t="str">
        <x:v>design cost assumption</x:v>
      </x:c>
      <x:c r="H43" s="53" t="str">
        <x:v>independent cost evidence open</x:v>
      </x:c>
    </x:row>
    <x:row r="44">
      <x:c r="A44" s="61" t="str">
        <x:v>S3</x:v>
      </x:c>
      <x:c r="B44" s="61" t="str">
        <x:v>power_blocks</x:v>
      </x:c>
      <x:c r="C44" s="84" t="n">
        <x:v>10</x:v>
      </x:c>
      <x:c r="D44" s="143" t="n">
        <x:v>35</x:v>
      </x:c>
      <x:c r="E44" s="143" t="n">
        <x:v>1.25</x:v>
      </x:c>
      <x:c r="F44" s="143" t="n">
        <x:v>437.5</x:v>
      </x:c>
      <x:c r="G44" s="61" t="str">
        <x:v>design cost assumption</x:v>
      </x:c>
      <x:c r="H44" s="61" t="str">
        <x:v>independent cost evidence open</x:v>
      </x:c>
    </x:row>
    <x:row r="45">
      <x:c r="A45" s="53" t="str">
        <x:v>S3</x:v>
      </x:c>
      <x:c r="B45" s="53" t="str">
        <x:v>water_islands</x:v>
      </x:c>
      <x:c r="C45" s="85" t="n">
        <x:v>9</x:v>
      </x:c>
      <x:c r="D45" s="144" t="n">
        <x:v>25</x:v>
      </x:c>
      <x:c r="E45" s="144" t="n">
        <x:v>1.25</x:v>
      </x:c>
      <x:c r="F45" s="144" t="n">
        <x:v>281.25</x:v>
      </x:c>
      <x:c r="G45" s="53" t="str">
        <x:v>design cost assumption</x:v>
      </x:c>
      <x:c r="H45" s="53" t="str">
        <x:v>independent cost evidence open</x:v>
      </x:c>
    </x:row>
    <x:row r="46">
      <x:c r="A46" s="61" t="str">
        <x:v>S3</x:v>
      </x:c>
      <x:c r="B46" s="61" t="str">
        <x:v>comms_nodes</x:v>
      </x:c>
      <x:c r="C46" s="84" t="n">
        <x:v>8</x:v>
      </x:c>
      <x:c r="D46" s="143" t="n">
        <x:v>20</x:v>
      </x:c>
      <x:c r="E46" s="143" t="n">
        <x:v>1.25</x:v>
      </x:c>
      <x:c r="F46" s="143" t="n">
        <x:v>200</x:v>
      </x:c>
      <x:c r="G46" s="61" t="str">
        <x:v>design cost assumption</x:v>
      </x:c>
      <x:c r="H46" s="61" t="str">
        <x:v>independent cost evidence open</x:v>
      </x:c>
    </x:row>
    <x:row r="47">
      <x:c r="A47" s="53" t="str">
        <x:v>S3</x:v>
      </x:c>
      <x:c r="B47" s="53" t="str">
        <x:v>command_rights_data_clinical</x:v>
      </x:c>
      <x:c r="C47" s="85" t="n">
        <x:v>1</x:v>
      </x:c>
      <x:c r="D47" s="144" t="n">
        <x:v>300</x:v>
      </x:c>
      <x:c r="E47" s="144" t="n">
        <x:v>1.25</x:v>
      </x:c>
      <x:c r="F47" s="144" t="n">
        <x:v>375</x:v>
      </x:c>
      <x:c r="G47" s="53" t="str">
        <x:v>design cost assumption</x:v>
      </x:c>
      <x:c r="H47" s="53" t="str">
        <x:v>independent cost evidence open</x:v>
      </x:c>
    </x:row>
    <x:row r="48">
      <x:c r="A48" s="61" t="str">
        <x:v>S3</x:v>
      </x:c>
      <x:c r="B48" s="61" t="str">
        <x:v>base_depot_training_capital</x:v>
      </x:c>
      <x:c r="C48" s="84" t="n">
        <x:v>1</x:v>
      </x:c>
      <x:c r="D48" s="143" t="n">
        <x:v>1630.5</x:v>
      </x:c>
      <x:c r="E48" s="143" t="n">
        <x:v>1</x:v>
      </x:c>
      <x:c r="F48" s="143" t="n">
        <x:v>1630.5</x:v>
      </x:c>
      <x:c r="G48" s="61" t="str">
        <x:v>30% of direct capital</x:v>
      </x:c>
      <x:c r="H48" s="61" t="str">
        <x:v>independent cost evidence open</x:v>
      </x:c>
    </x:row>
    <x:row r="49">
      <x:c r="A49" s="53" t="str">
        <x:v>S3</x:v>
      </x:c>
      <x:c r="B49" s="53" t="str">
        <x:v>program_reserve</x:v>
      </x:c>
      <x:c r="C49" s="85" t="n">
        <x:v>1</x:v>
      </x:c>
      <x:c r="D49" s="144" t="n">
        <x:v>1766.375</x:v>
      </x:c>
      <x:c r="E49" s="144" t="n">
        <x:v>1</x:v>
      </x:c>
      <x:c r="F49" s="144" t="n">
        <x:v>1766.375</x:v>
      </x:c>
      <x:c r="G49" s="53" t="str">
        <x:v>25% of direct plus base capital</x:v>
      </x:c>
      <x:c r="H49" s="53" t="str">
        <x:v>independent cost evidence open</x:v>
      </x:c>
    </x:row>
    <x:row r="50">
      <x:c r="A50" s="53"/>
      <x:c r="B50" s="53"/>
      <x:c r="C50" s="53"/>
      <x:c r="D50" s="53"/>
      <x:c r="E50" s="53"/>
      <x:c r="F50" s="53"/>
      <x:c r="G50" s="53"/>
      <x:c r="H50" s="53"/>
    </x:row>
    <x:row r="51">
      <x:c r="A51" s="53"/>
      <x:c r="B51" s="53"/>
      <x:c r="C51" s="53"/>
      <x:c r="D51" s="53"/>
      <x:c r="E51" s="53"/>
      <x:c r="F51" s="53"/>
      <x:c r="G51" s="53"/>
      <x:c r="H51" s="53"/>
    </x:row>
    <x:row r="52">
      <x:c r="A52" s="79" t="str">
        <x:v>Architecture totals</x:v>
      </x:c>
      <x:c r="B52" s="79"/>
      <x:c r="C52" s="79"/>
      <x:c r="D52" s="79"/>
      <x:c r="E52" s="79"/>
      <x:c r="F52" s="79"/>
      <x:c r="G52" s="79"/>
      <x:c r="H52" s="79"/>
    </x:row>
    <x:row r="53">
      <x:c r="A53" s="15" t="str">
        <x:v>Architecture</x:v>
      </x:c>
      <x:c r="B53" s="16" t="str">
        <x:v>Direct capital $B</x:v>
      </x:c>
      <x:c r="C53" s="16" t="str">
        <x:v>Total capital $B</x:v>
      </x:c>
      <x:c r="D53" s="16" t="str">
        <x:v>Personnel ops $B</x:v>
      </x:c>
      <x:c r="E53" s="16" t="str">
        <x:v>Annual ops $B</x:v>
      </x:c>
      <x:c r="F53" s="16" t="str">
        <x:v>25-year $B</x:v>
      </x:c>
      <x:c r="G53" s="16" t="str">
        <x:v>Workforce</x:v>
      </x:c>
      <x:c r="H53" s="17" t="str">
        <x:v>Boundary</x:v>
      </x:c>
    </x:row>
    <x:row r="54">
      <x:c r="A54" s="61" t="str">
        <x:v>T0</x:v>
      </x:c>
      <x:c r="B54" s="145" t="n">
        <x:v>2.568</x:v>
      </x:c>
      <x:c r="C54" s="145" t="n">
        <x:v>4.173</x:v>
      </x:c>
      <x:c r="D54" s="145" t="n">
        <x:v>0.5766957899999998</x:v>
      </x:c>
      <x:c r="E54" s="145" t="n">
        <x:v>0.90266379</x:v>
      </x:c>
      <x:c r="F54" s="145" t="n">
        <x:v>26.739594750000002</x:v>
      </x:c>
      <x:c r="G54" s="65" t="n">
        <x:v>3720.6179999999995</x:v>
      </x:c>
      <x:c r="H54" s="61" t="str">
        <x:v>capital + 25 years of mature operations</x:v>
      </x:c>
    </x:row>
    <x:row r="55">
      <x:c r="A55" s="53" t="str">
        <x:v>I1</x:v>
      </x:c>
      <x:c r="B55" s="146" t="n">
        <x:v>3.631</x:v>
      </x:c>
      <x:c r="C55" s="146" t="n">
        <x:v>5.900375</x:v>
      </x:c>
      <x:c r="D55" s="146" t="n">
        <x:v>0.9506714199999999</x:v>
      </x:c>
      <x:c r="E55" s="146" t="n">
        <x:v>1.33085242</x:v>
      </x:c>
      <x:c r="F55" s="146" t="n">
        <x:v>39.1716855</x:v>
      </x:c>
      <x:c r="G55" s="70" t="n">
        <x:v>6133.364</x:v>
      </x:c>
      <x:c r="H55" s="53" t="str">
        <x:v>capital + 25 years of mature operations</x:v>
      </x:c>
    </x:row>
    <x:row r="56">
      <x:c r="A56" s="61" t="str">
        <x:v>A2</x:v>
      </x:c>
      <x:c r="B56" s="145" t="n">
        <x:v>4.225</x:v>
      </x:c>
      <x:c r="C56" s="145" t="n">
        <x:v>6.865625</x:v>
      </x:c>
      <x:c r="D56" s="145" t="n">
        <x:v>1.17591525</x:v>
      </x:c>
      <x:c r="E56" s="145" t="n">
        <x:v>1.58639025</x:v>
      </x:c>
      <x:c r="F56" s="145" t="n">
        <x:v>46.525381249999995</x:v>
      </x:c>
      <x:c r="G56" s="65" t="n">
        <x:v>7586.55</x:v>
      </x:c>
      <x:c r="H56" s="61" t="str">
        <x:v>capital + 25 years of mature operations</x:v>
      </x:c>
    </x:row>
    <x:row r="57">
      <x:c r="A57" s="53" t="str">
        <x:v>S3</x:v>
      </x:c>
      <x:c r="B57" s="146" t="n">
        <x:v>5.435</x:v>
      </x:c>
      <x:c r="C57" s="146" t="n">
        <x:v>8.831875</x:v>
      </x:c>
      <x:c r="D57" s="146" t="n">
        <x:v>1.08986328</x:v>
      </x:c>
      <x:c r="E57" s="146" t="n">
        <x:v>1.59204828</x:v>
      </x:c>
      <x:c r="F57" s="146" t="n">
        <x:v>48.633082</x:v>
      </x:c>
      <x:c r="G57" s="70" t="n">
        <x:v>7031.376</x:v>
      </x:c>
      <x:c r="H57" s="53" t="str">
        <x:v>capital + 25 years of mature operations</x:v>
      </x:c>
    </x:row>
  </x:sheetData>
  <x:mergeCells>
    <x:mergeCell ref="A1:H1"/>
    <x:mergeCell ref="A2:H2"/>
    <x:mergeCell ref="A52:H5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3.329999923706055" hidden="0" customWidth="1"/>
    <x:col min="3" max="3" width="14.4399995803833" hidden="0" customWidth="1"/>
    <x:col min="4" max="4" width="13.329999923706055" hidden="0" customWidth="1"/>
    <x:col min="5" max="5" width="13.329999923706055" hidden="0" customWidth="1"/>
    <x:col min="6" max="6" width="11.670000076293945" hidden="0" customWidth="1"/>
    <x:col min="7" max="7" width="42.220001220703125" hidden="0" customWidth="1"/>
  </x:cols>
  <x:sheetData>
    <x:row r="1">
      <x:c r="A1" s="74" t="str">
        <x:v>Harris-equivalent scale contradiction</x:v>
      </x:c>
      <x:c r="B1" s="53"/>
      <x:c r="C1" s="53"/>
      <x:c r="D1" s="53"/>
      <x:c r="E1" s="53"/>
      <x:c r="F1" s="53"/>
      <x:c r="G1" s="53"/>
    </x:row>
    <x:row r="2">
      <x:c r="A2" s="75" t="str">
        <x:v>Multiplying one N01-derived cell fourteen times is a diagnostic screen, not a recommended county force or a national extrapolation.</x:v>
      </x:c>
      <x:c r="B2" s="53"/>
      <x:c r="C2" s="53"/>
      <x:c r="D2" s="53"/>
      <x:c r="E2" s="53"/>
      <x:c r="F2" s="53"/>
      <x:c r="G2" s="53"/>
    </x:row>
    <x:row r="3">
      <x:c r="A3" s="55"/>
      <x:c r="B3" s="55"/>
      <x:c r="C3" s="55"/>
      <x:c r="D3" s="55"/>
      <x:c r="E3" s="55"/>
      <x:c r="F3" s="55"/>
      <x:c r="G3" s="55"/>
    </x:row>
    <x:row r="4">
      <x:c r="A4" s="53"/>
      <x:c r="B4" s="53"/>
      <x:c r="C4" s="53"/>
      <x:c r="D4" s="53"/>
      <x:c r="E4" s="53"/>
      <x:c r="F4" s="53"/>
      <x:c r="G4" s="53"/>
    </x:row>
    <x:row r="5">
      <x:c r="A5" s="15" t="str">
        <x:v>Measure</x:v>
      </x:c>
      <x:c r="B5" s="16" t="str">
        <x:v>One A2 cell</x:v>
      </x:c>
      <x:c r="C5" s="16" t="str">
        <x:v>Fourteen-cell screen</x:v>
      </x:c>
      <x:c r="D5" s="16" t="str">
        <x:v>Pass 36 H3</x:v>
      </x:c>
      <x:c r="E5" s="16" t="str">
        <x:v>Difference</x:v>
      </x:c>
      <x:c r="F5" s="16" t="str">
        <x:v>Result</x:v>
      </x:c>
      <x:c r="G5" s="17" t="str">
        <x:v>Interpretation</x:v>
      </x:c>
    </x:row>
    <x:row r="6" ht="33" customHeight="1">
      <x:c r="A6" s="72" t="str">
        <x:v>Deployed workforce</x:v>
      </x:c>
      <x:c r="B6" s="156" t="n">
        <x:v>7586.55</x:v>
      </x:c>
      <x:c r="C6" s="156" t="n">
        <x:v>106211.7</x:v>
      </x:c>
      <x:c r="D6" s="156" t="n">
        <x:v>56554.235444580874</x:v>
      </x:c>
      <x:c r="E6" s="156" t="n">
        <x:v>49657.46455541912</x:v>
      </x:c>
      <x:c r="F6" s="157" t="str">
        <x:v>SUPERSEDES</x:v>
      </x:c>
      <x:c r="G6" s="72" t="str">
        <x:v>configured cells alone exceed the full prior campaign workforce</x:v>
      </x:c>
    </x:row>
    <x:row r="7" ht="33" customHeight="1">
      <x:c r="A7" s="73" t="str">
        <x:v>Capital $B</x:v>
      </x:c>
      <x:c r="B7" s="158" t="n">
        <x:v>6.865625</x:v>
      </x:c>
      <x:c r="C7" s="158" t="n">
        <x:v>96.11874999999999</x:v>
      </x:c>
      <x:c r="D7" s="158" t="n">
        <x:v>115.31810080251552</x:v>
      </x:c>
      <x:c r="E7" s="158" t="n">
        <x:v>-19.199350802515525</x:v>
      </x:c>
      <x:c r="F7" s="157" t="str">
        <x:v>WITHIN</x:v>
      </x:c>
      <x:c r="G7" s="73" t="str">
        <x:v>leaves limited capital for CTNs, line haul, destinations, and higher command</x:v>
      </x:c>
    </x:row>
    <x:row r="8" ht="33" customHeight="1">
      <x:c r="A8" s="72" t="str">
        <x:v>Annual operations $B</x:v>
      </x:c>
      <x:c r="B8" s="159" t="n">
        <x:v>1.58639025</x:v>
      </x:c>
      <x:c r="C8" s="159" t="n">
        <x:v>22.2094635</x:v>
      </x:c>
      <x:c r="D8" s="159" t="n">
        <x:v>19.4052104442258</x:v>
      </x:c>
      <x:c r="E8" s="159" t="n">
        <x:v>2.804253055774197</x:v>
      </x:c>
      <x:c r="F8" s="157" t="str">
        <x:v>SUPERSEDES</x:v>
      </x:c>
      <x:c r="G8" s="72" t="str">
        <x:v>configured cells alone exceed the full prior operating hypothesis</x:v>
      </x:c>
    </x:row>
    <x:row r="9" ht="33" customHeight="1">
      <x:c r="A9" s="73" t="str">
        <x:v>25-year capital plus operations $B</x:v>
      </x:c>
      <x:c r="B9" s="158" t="n">
        <x:v>46.525381249999995</x:v>
      </x:c>
      <x:c r="C9" s="158" t="n">
        <x:v>651.3553374999999</x:v>
      </x:c>
      <x:c r="D9" s="158" t="n">
        <x:v>600.4483619081606</x:v>
      </x:c>
      <x:c r="E9" s="158" t="n">
        <x:v>50.90697559183934</x:v>
      </x:c>
      <x:c r="F9" s="157" t="str">
        <x:v>SUPERSEDES</x:v>
      </x:c>
      <x:c r="G9" s="73" t="str">
        <x:v>configured cells alone exceed the full prior lifecycle hypothesis</x:v>
      </x:c>
    </x:row>
    <x:row r="10">
      <x:c r="A10" s="53"/>
      <x:c r="B10" s="53"/>
      <x:c r="C10" s="53"/>
      <x:c r="D10" s="53"/>
      <x:c r="E10" s="53"/>
      <x:c r="F10" s="53"/>
      <x:c r="G10" s="53"/>
    </x:row>
    <x:row r="11">
      <x:c r="A11" s="79" t="str">
        <x:v>Decision</x:v>
      </x:c>
      <x:c r="B11" s="79"/>
      <x:c r="C11" s="79"/>
      <x:c r="D11" s="79"/>
      <x:c r="E11" s="79"/>
      <x:c r="F11" s="79"/>
      <x:c r="G11" s="79"/>
    </x:row>
    <x:row r="12" ht="43.5" customHeight="1">
      <x:c r="A12" s="157" t="str">
        <x:v>Pass 36 H3 finance and workforce remain useful lineage but are no longer adequate for the neighborhood-access layer. Reopen campaign cost and force generation after task-level NCAC trials; do not multiply this cell into a national program.</x:v>
      </x:c>
      <x:c r="B12" s="157"/>
      <x:c r="C12" s="157"/>
      <x:c r="D12" s="157"/>
      <x:c r="E12" s="157"/>
      <x:c r="F12" s="157"/>
      <x:c r="G12" s="157"/>
    </x:row>
  </x:sheetData>
  <x:mergeCells>
    <x:mergeCell ref="A1:G1"/>
    <x:mergeCell ref="A2:G2"/>
    <x:mergeCell ref="A11:G11"/>
    <x:mergeCell ref="A12:G1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4.440000534057617" hidden="0" customWidth="1"/>
    <x:col min="3" max="3" width="52.220001220703125" hidden="0" customWidth="1"/>
    <x:col min="4" max="4" width="40" hidden="0" customWidth="1"/>
  </x:cols>
  <x:sheetData>
    <x:row r="1">
      <x:c r="A1" s="74" t="str">
        <x:v>Civil rights and continuity controls</x:v>
      </x:c>
      <x:c r="B1" s="53"/>
      <x:c r="C1" s="53"/>
      <x:c r="D1" s="53"/>
    </x:row>
    <x:row r="2">
      <x:c r="A2" s="75" t="str">
        <x:v>These controls are part of mission closure. They cannot be traded for throughput by an optimizer.</x:v>
      </x:c>
      <x:c r="B2" s="53"/>
      <x:c r="C2" s="53"/>
      <x:c r="D2" s="53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>
      <x:c r="A5" s="15" t="str">
        <x:v>ID</x:v>
      </x:c>
      <x:c r="B5" s="16" t="str">
        <x:v>Control</x:v>
      </x:c>
      <x:c r="C5" s="16" t="str">
        <x:v>Required state</x:v>
      </x:c>
      <x:c r="D5" s="17" t="str">
        <x:v>Failure prevented</x:v>
      </x:c>
    </x:row>
    <x:row r="6" ht="36" customHeight="1">
      <x:c r="A6" s="72" t="str">
        <x:v>R01</x:v>
      </x:c>
      <x:c r="B6" s="72" t="str">
        <x:v>Civil outcome authority</x:v>
      </x:c>
      <x:c r="C6" s="72" t="str">
        <x:v>affected civil authority sets service and movement priorities</x:v>
      </x:c>
      <x:c r="D6" s="72" t="str">
        <x:v>operational speed becoming self-authorization</x:v>
      </x:c>
    </x:row>
    <x:row r="7" ht="36" customHeight="1">
      <x:c r="A7" s="73" t="str">
        <x:v>R02</x:v>
      </x:c>
      <x:c r="B7" s="73" t="str">
        <x:v>Consent and lawful-authority record</x:v>
      </x:c>
      <x:c r="C7" s="73" t="str">
        <x:v>each non-immediate journey records consent or specific authority and review</x:v>
      </x:c>
      <x:c r="D7" s="73" t="str">
        <x:v>coercive or unreviewable movement</x:v>
      </x:c>
    </x:row>
    <x:row r="8" ht="36" customHeight="1">
      <x:c r="A8" s="72" t="str">
        <x:v>R03</x:v>
      </x:c>
      <x:c r="B8" s="72" t="str">
        <x:v>Household binding</x:v>
      </x:c>
      <x:c r="C8" s="72" t="str">
        <x:v>caregivers, dependents, service animals, and essential devices remain linked</x:v>
      </x:c>
      <x:c r="D8" s="72" t="str">
        <x:v>family or care separation</x:v>
      </x:c>
    </x:row>
    <x:row r="9" ht="36" customHeight="1">
      <x:c r="A9" s="73" t="str">
        <x:v>R04</x:v>
      </x:c>
      <x:c r="B9" s="73" t="str">
        <x:v>Accessibility exception queue</x:v>
      </x:c>
      <x:c r="C9" s="73" t="str">
        <x:v>unmet access requests have named owner, age, escalation, and remedy</x:v>
      </x:c>
      <x:c r="D9" s="73" t="str">
        <x:v>average throughput hiding exclusion</x:v>
      </x:c>
    </x:row>
    <x:row r="10" ht="36" customHeight="1">
      <x:c r="A10" s="72" t="str">
        <x:v>R05</x:v>
      </x:c>
      <x:c r="B10" s="72" t="str">
        <x:v>Clinical regulation</x:v>
      </x:c>
      <x:c r="C10" s="72" t="str">
        <x:v>care requirements and destination acceptance travel with the person</x:v>
      </x:c>
      <x:c r="D10" s="72" t="str">
        <x:v>movement into medically incompatible capacity</x:v>
      </x:c>
    </x:row>
    <x:row r="11" ht="36" customHeight="1">
      <x:c r="A11" s="73" t="str">
        <x:v>R06</x:v>
      </x:c>
      <x:c r="B11" s="73" t="str">
        <x:v>Data minimization</x:v>
      </x:c>
      <x:c r="C11" s="73" t="str">
        <x:v>only operationally necessary fields persist with access and expiry logs</x:v>
      </x:c>
      <x:c r="D11" s="73" t="str">
        <x:v>response system becoming durable movement surveillance</x:v>
      </x:c>
    </x:row>
    <x:row r="12" ht="36" customHeight="1">
      <x:c r="A12" s="72" t="str">
        <x:v>R07</x:v>
      </x:c>
      <x:c r="B12" s="72" t="str">
        <x:v>Offline provenance</x:v>
      </x:c>
      <x:c r="C12" s="72" t="str">
        <x:v>conflicting disconnected records reconcile without erasing lawful exceptions</x:v>
      </x:c>
      <x:c r="D12" s="72" t="str">
        <x:v>central sync overwriting local authority or consent</x:v>
      </x:c>
    </x:row>
    <x:row r="13" ht="36" customHeight="1">
      <x:c r="A13" s="73" t="str">
        <x:v>R08</x:v>
      </x:c>
      <x:c r="B13" s="73" t="str">
        <x:v>Destination acceptance</x:v>
      </x:c>
      <x:c r="C13" s="73" t="str">
        <x:v>named receiver confirms accessible service, staff, utilities, and authority</x:v>
      </x:c>
      <x:c r="D13" s="73" t="str">
        <x:v>arrival without admission</x:v>
      </x:c>
    </x:row>
    <x:row r="14" ht="36" customHeight="1">
      <x:c r="A14" s="72" t="str">
        <x:v>R09</x:v>
      </x:c>
      <x:c r="B14" s="72" t="str">
        <x:v>Property and benefit continuity</x:v>
      </x:c>
      <x:c r="C14" s="72" t="str">
        <x:v>custody, benefits, housing, medication, and essential-property obligations persist</x:v>
      </x:c>
      <x:c r="D14" s="72" t="str">
        <x:v>movement converting into dispossession</x:v>
      </x:c>
    </x:row>
    <x:row r="15" ht="36" customHeight="1">
      <x:c r="A15" s="73" t="str">
        <x:v>R10</x:v>
      </x:c>
      <x:c r="B15" s="73" t="str">
        <x:v>Return or durable continuity</x:v>
      </x:c>
      <x:c r="C15" s="73" t="str">
        <x:v>origin release, transport, notice, and alternative settlement are funded and governed</x:v>
      </x:c>
      <x:c r="D15" s="73" t="str">
        <x:v>temporary rescue becoming indefinite displacement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6.670000076293945" hidden="0" customWidth="1"/>
    <x:col min="3" max="3" width="38.88999938964844" hidden="0" customWidth="1"/>
    <x:col min="4" max="4" width="46.66999816894531" hidden="0" customWidth="1"/>
    <x:col min="5" max="5" width="45.560001373291016" hidden="0" customWidth="1"/>
  </x:cols>
  <x:sheetData>
    <x:row r="1">
      <x:c r="A1" s="74" t="str">
        <x:v>Mission-driven technology programs</x:v>
      </x:c>
      <x:c r="B1" s="53"/>
      <x:c r="C1" s="53"/>
      <x:c r="D1" s="53"/>
      <x:c r="E1" s="53"/>
    </x:row>
    <x:row r="2">
      <x:c r="A2" s="75" t="str">
        <x:v>Programs change a measured cell parameter. A prototype earns no force credit until the complete mission thread closes.</x:v>
      </x:c>
      <x:c r="B2" s="53"/>
      <x:c r="C2" s="53"/>
      <x:c r="D2" s="53"/>
      <x:c r="E2" s="53"/>
    </x:row>
    <x:row r="3">
      <x:c r="A3" s="55"/>
      <x:c r="B3" s="55"/>
      <x:c r="C3" s="55"/>
      <x:c r="D3" s="55"/>
      <x:c r="E3" s="55"/>
    </x:row>
    <x:row r="4">
      <x:c r="A4" s="53"/>
      <x:c r="B4" s="53"/>
      <x:c r="C4" s="53"/>
      <x:c r="D4" s="53"/>
      <x:c r="E4" s="53"/>
    </x:row>
    <x:row r="5">
      <x:c r="A5" s="15" t="str">
        <x:v>ID</x:v>
      </x:c>
      <x:c r="B5" s="16" t="str">
        <x:v>Program</x:v>
      </x:c>
      <x:c r="C5" s="16" t="str">
        <x:v>Required parameter change</x:v>
      </x:c>
      <x:c r="D5" s="16" t="str">
        <x:v>Representative test</x:v>
      </x:c>
      <x:c r="E5" s="17" t="str">
        <x:v>Kill condition</x:v>
      </x:c>
    </x:row>
    <x:row r="6" ht="46.5" customHeight="1">
      <x:c r="A6" s="72" t="str">
        <x:v>NC-01</x:v>
      </x:c>
      <x:c r="B6" s="72" t="str">
        <x:v>Disconnected household continuity ledger</x:v>
      </x:c>
      <x:c r="C6" s="72" t="str">
        <x:v>retain at least 50% registry verification without commercial cloud or backhaul</x:v>
      </x:c>
      <x:c r="D6" s="72" t="str">
        <x:v>72-hour disconnected reconciliation across five field companies and one rights authority</x:v>
      </x:c>
      <x:c r="E6" s="72" t="str">
        <x:v>lost consent/household links, unrecoverable conflict, or undeclared surveillance field</x:v>
      </x:c>
    </x:row>
    <x:row r="7" ht="46.5" customHeight="1">
      <x:c r="A7" s="73" t="str">
        <x:v>NC-02</x:v>
      </x:c>
      <x:c r="B7" s="73" t="str">
        <x:v>Building access mission system</x:v>
      </x:c>
      <x:c r="C7" s="73" t="str">
        <x:v>1.6 to 2.4 households/team-hour without weaker survey or contact evidence</x:v>
      </x:c>
      <x:c r="D7" s="73" t="str">
        <x:v>mixed low-, mid-, and high-rise neighborhood with heat, darkness, water, blocked curb, and device loads</x:v>
      </x:c>
      <x:c r="E7" s="73" t="str">
        <x:v>higher missed-person rate, unsafe entry, or injury transfer to resident or worker</x:v>
      </x:c>
    </x:row>
    <x:row r="8" ht="46.5" customHeight="1">
      <x:c r="A8" s="72" t="str">
        <x:v>NC-03</x:v>
      </x:c>
      <x:c r="B8" s="72" t="str">
        <x:v>Powered vertical continuity system</x:v>
      </x:c>
      <x:c r="C8" s="72" t="str">
        <x:v>0.50 to 0.80 completed people/team-hour</x:v>
      </x:c>
      <x:c r="D8" s="72" t="str">
        <x:v>occupied stair, refuge, temporary hoist, device, and medical-power trials across building states</x:v>
      </x:c>
      <x:c r="E8" s="72" t="str">
        <x:v>fall, crush, egress obstruction, caregiver separation, or dependence on one intact building system</x:v>
      </x:c>
    </x:row>
    <x:row r="9" ht="46.5" customHeight="1">
      <x:c r="A9" s="73" t="str">
        <x:v>NC-04</x:v>
      </x:c>
      <x:c r="B9" s="73" t="str">
        <x:v>Common-cabin collection family</x:v>
      </x:c>
      <x:c r="C9" s="73" t="str">
        <x:v>increase mixed-squadron flow while preserving wheelchair, litter, caregiver, animal, and device continuity</x:v>
      </x:c>
      <x:c r="D9" s="73" t="str">
        <x:v>full dispatch-load-travel-unload-clean-energy-maintenance cycle on damaged approaches</x:v>
      </x:c>
      <x:c r="E9" s="73" t="str">
        <x:v>incompatible restraint/egress, excessive dwell, or proprietary cross-fleet interface</x:v>
      </x:c>
    </x:row>
    <x:row r="10" ht="46.5" customHeight="1">
      <x:c r="A10" s="72" t="str">
        <x:v>NC-05</x:v>
      </x:c>
      <x:c r="B10" s="72" t="str">
        <x:v>Dynamic civil route-assurance work cell</x:v>
      </x:c>
      <x:c r="C10" s="72" t="str">
        <x:v>11.52 to at least 15.5 released route-km per detachment through hour 48</x:v>
      </x:c>
      <x:c r="D10" s="72" t="str">
        <x:v>floodwater, debris, culvert, pavement, signal, temporary crossing, traffic-control, and independent release trial</x:v>
      </x:c>
      <x:c r="E10" s="72" t="str">
        <x:v>counts cleared geometry without vehicle-specific lawful operability</x:v>
      </x:c>
    </x:row>
    <x:row r="11" ht="46.5" customHeight="1">
      <x:c r="A11" s="73" t="str">
        <x:v>NC-06</x:v>
      </x:c>
      <x:c r="B11" s="73" t="str">
        <x:v>Neighborhood utility island</x:v>
      </x:c>
      <x:c r="C11" s="73" t="str">
        <x:v>N-2 power and N-1 water service with black start and sectional isolation</x:v>
      </x:c>
      <x:c r="D11" s="73" t="str">
        <x:v>seven-day hot-humid occupied operation with source, feeder, controller, and water-island faults</x:v>
      </x:c>
      <x:c r="E11" s="73" t="str">
        <x:v>single software, fuel, protection, treatment, or operator common mode defeats the cell</x:v>
      </x:c>
    </x:row>
    <x:row r="12" ht="46.5" customHeight="1">
      <x:c r="A12" s="72" t="str">
        <x:v>NC-07</x:v>
      </x:c>
      <x:c r="B12" s="72" t="str">
        <x:v>Prepared district adapter</x:v>
      </x:c>
      <x:c r="C12" s="72" t="str">
        <x:v>reduce imported district equipment from 15.74 to 12 t while releasing service within 24 h</x:v>
      </x:c>
      <x:c r="D12" s="72" t="str">
        <x:v>five building/site archetypes with damaged utilities, accessibility, clean air, sanitation, and civil release</x:v>
      </x:c>
      <x:c r="E12" s="72" t="str">
        <x:v>mass reduction externalizes unsafe structure, labor, waste, or host dependency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3.889999389648438" hidden="0" customWidth="1"/>
    <x:col min="3" max="3" width="63.33000183105469" hidden="0" customWidth="1"/>
    <x:col min="4" max="4" width="8.890000343322754" hidden="0" customWidth="1"/>
    <x:col min="5" max="5" width="28.889999389648438" hidden="0" customWidth="1"/>
  </x:cols>
  <x:sheetData>
    <x:row r="1">
      <x:c r="A1" s="74" t="str">
        <x:v>Evidence required before force admission</x:v>
      </x:c>
      <x:c r="B1" s="53"/>
      <x:c r="C1" s="53"/>
      <x:c r="D1" s="53"/>
      <x:c r="E1" s="53"/>
    </x:row>
    <x:row r="2">
      <x:c r="A2" s="75" t="str">
        <x:v>Arithmetic closure is a research result. Every gate remains open and no vehicle or site rendering is authorized.</x:v>
      </x:c>
      <x:c r="B2" s="53"/>
      <x:c r="C2" s="53"/>
      <x:c r="D2" s="53"/>
      <x:c r="E2" s="53"/>
    </x:row>
    <x:row r="3">
      <x:c r="A3" s="55"/>
      <x:c r="B3" s="55"/>
      <x:c r="C3" s="55"/>
      <x:c r="D3" s="55"/>
      <x:c r="E3" s="55"/>
    </x:row>
    <x:row r="4">
      <x:c r="A4" s="53"/>
      <x:c r="B4" s="53"/>
      <x:c r="C4" s="53"/>
      <x:c r="D4" s="53"/>
      <x:c r="E4" s="53"/>
    </x:row>
    <x:row r="5">
      <x:c r="A5" s="15" t="str">
        <x:v>ID</x:v>
      </x:c>
      <x:c r="B5" s="16" t="str">
        <x:v>Gate</x:v>
      </x:c>
      <x:c r="C5" s="16" t="str">
        <x:v>Closure evidence</x:v>
      </x:c>
      <x:c r="D5" s="16" t="str">
        <x:v>Status</x:v>
      </x:c>
      <x:c r="E5" s="17" t="str">
        <x:v>Decision authority</x:v>
      </x:c>
    </x:row>
    <x:row r="6" ht="31.5" customHeight="1">
      <x:c r="A6" s="72" t="str">
        <x:v>NG-01</x:v>
      </x:c>
      <x:c r="B6" s="72" t="str">
        <x:v>Catchment and site</x:v>
      </x:c>
      <x:c r="C6" s="72" t="str">
        <x:v>named operating area, sites, ownership, host authority, and hazard-independent alternatives</x:v>
      </x:c>
      <x:c r="D6" s="162" t="str">
        <x:v>OPEN</x:v>
      </x:c>
      <x:c r="E6" s="72" t="str">
        <x:v>independent technical, civil, safety, or test authority</x:v>
      </x:c>
    </x:row>
    <x:row r="7" ht="31.5" customHeight="1">
      <x:c r="A7" s="73" t="str">
        <x:v>NG-02</x:v>
      </x:c>
      <x:c r="B7" s="73" t="str">
        <x:v>Building inventory</x:v>
      </x:c>
      <x:c r="C7" s="73" t="str">
        <x:v>parcel, occupancy, story, elevator, refuge, backup power, access, and resident records</x:v>
      </x:c>
      <x:c r="D7" s="162" t="str">
        <x:v>OPEN</x:v>
      </x:c>
      <x:c r="E7" s="73" t="str">
        <x:v>independent technical, civil, safety, or test authority</x:v>
      </x:c>
    </x:row>
    <x:row r="8" ht="31.5" customHeight="1">
      <x:c r="A8" s="72" t="str">
        <x:v>NG-03</x:v>
      </x:c>
      <x:c r="B8" s="72" t="str">
        <x:v>Demand and contact</x:v>
      </x:c>
      <x:c r="C8" s="72" t="str">
        <x:v>observed requests, refusals, welfare-check burden, languages, digital reach, and shadow movement</x:v>
      </x:c>
      <x:c r="D8" s="162" t="str">
        <x:v>OPEN</x:v>
      </x:c>
      <x:c r="E8" s="72" t="str">
        <x:v>independent technical, civil, safety, or test authority</x:v>
      </x:c>
    </x:row>
    <x:row r="9" ht="31.5" customHeight="1">
      <x:c r="A9" s="73" t="str">
        <x:v>NG-04</x:v>
      </x:c>
      <x:c r="B9" s="73" t="str">
        <x:v>Building safety release</x:v>
      </x:c>
      <x:c r="C9" s="73" t="str">
        <x:v>hazard-specific rapid assessment linked to professional escalation and reinspection</x:v>
      </x:c>
      <x:c r="D9" s="162" t="str">
        <x:v>OPEN</x:v>
      </x:c>
      <x:c r="E9" s="73" t="str">
        <x:v>independent technical, civil, safety, or test authority</x:v>
      </x:c>
    </x:row>
    <x:row r="10" ht="31.5" customHeight="1">
      <x:c r="A10" s="72" t="str">
        <x:v>NG-05</x:v>
      </x:c>
      <x:c r="B10" s="72" t="str">
        <x:v>Vertical access productivity</x:v>
      </x:c>
      <x:c r="C10" s="72" t="str">
        <x:v>representative occupied trials by building and mobility-device state with injury and fatigue measurement</x:v>
      </x:c>
      <x:c r="D10" s="162" t="str">
        <x:v>OPEN</x:v>
      </x:c>
      <x:c r="E10" s="72" t="str">
        <x:v>independent technical, civil, safety, or test authority</x:v>
      </x:c>
    </x:row>
    <x:row r="11" ht="31.5" customHeight="1">
      <x:c r="A11" s="73" t="str">
        <x:v>NG-06</x:v>
      </x:c>
      <x:c r="B11" s="73" t="str">
        <x:v>Collection duty cycle</x:v>
      </x:c>
      <x:c r="C11" s="73" t="str">
        <x:v>vehicle-level dispatch, load, route, unload, clean, refuel/recharge, maintenance, and relief evidence</x:v>
      </x:c>
      <x:c r="D11" s="162" t="str">
        <x:v>OPEN</x:v>
      </x:c>
      <x:c r="E11" s="73" t="str">
        <x:v>independent technical, civil, safety, or test authority</x:v>
      </x:c>
    </x:row>
    <x:row r="12" ht="31.5" customHeight="1">
      <x:c r="A12" s="72" t="str">
        <x:v>NG-07</x:v>
      </x:c>
      <x:c r="B12" s="72" t="str">
        <x:v>Route operability</x:v>
      </x:c>
      <x:c r="C12" s="72" t="str">
        <x:v>depth, debris, pavement, bridge, culvert, traffic, control, vehicle, and lawful-release evidence</x:v>
      </x:c>
      <x:c r="D12" s="162" t="str">
        <x:v>OPEN</x:v>
      </x:c>
      <x:c r="E12" s="72" t="str">
        <x:v>independent technical, civil, safety, or test authority</x:v>
      </x:c>
    </x:row>
    <x:row r="13" ht="31.5" customHeight="1">
      <x:c r="A13" s="73" t="str">
        <x:v>NG-08</x:v>
      </x:c>
      <x:c r="B13" s="73" t="str">
        <x:v>Protected district service</x:v>
      </x:c>
      <x:c r="C13" s="73" t="str">
        <x:v>complete PCC-D1 and adapter trials across thermal, smoke, flood, utility, sanitation, and staffing loss</x:v>
      </x:c>
      <x:c r="D13" s="162" t="str">
        <x:v>OPEN</x:v>
      </x:c>
      <x:c r="E13" s="73" t="str">
        <x:v>independent technical, civil, safety, or test authority</x:v>
      </x:c>
    </x:row>
    <x:row r="14" ht="31.5" customHeight="1">
      <x:c r="A14" s="72" t="str">
        <x:v>NG-09</x:v>
      </x:c>
      <x:c r="B14" s="72" t="str">
        <x:v>Power system</x:v>
      </x:c>
      <x:c r="C14" s="72" t="str">
        <x:v>load registry, one-line, source/fuel, black start, protection, grounding, transient, emissions, and N-2 trial</x:v>
      </x:c>
      <x:c r="D14" s="162" t="str">
        <x:v>OPEN</x:v>
      </x:c>
      <x:c r="E14" s="72" t="str">
        <x:v>independent technical, civil, safety, or test authority</x:v>
      </x:c>
    </x:row>
    <x:row r="15" ht="31.5" customHeight="1">
      <x:c r="A15" s="73" t="str">
        <x:v>NG-10</x:v>
      </x:c>
      <x:c r="B15" s="73" t="str">
        <x:v>Water and residuals</x:v>
      </x:c>
      <x:c r="C15" s="73" t="str">
        <x:v>source, treatment, pressure, quality, storage, wastewater, stormwater, and N-1 trial</x:v>
      </x:c>
      <x:c r="D15" s="162" t="str">
        <x:v>OPEN</x:v>
      </x:c>
      <x:c r="E15" s="73" t="str">
        <x:v>independent technical, civil, safety, or test authority</x:v>
      </x:c>
    </x:row>
    <x:row r="16" ht="31.5" customHeight="1">
      <x:c r="A16" s="72" t="str">
        <x:v>NG-11</x:v>
      </x:c>
      <x:c r="B16" s="72" t="str">
        <x:v>Disconnected communications</x:v>
      </x:c>
      <x:c r="C16" s="72" t="str">
        <x:v>coverage, user capacity, direct mode, edge operation, identity reconciliation, cyber, power, and spectrum trial</x:v>
      </x:c>
      <x:c r="D16" s="162" t="str">
        <x:v>OPEN</x:v>
      </x:c>
      <x:c r="E16" s="72" t="str">
        <x:v>independent technical, civil, safety, or test authority</x:v>
      </x:c>
    </x:row>
    <x:row r="17" ht="31.5" customHeight="1">
      <x:c r="A17" s="73" t="str">
        <x:v>NG-12</x:v>
      </x:c>
      <x:c r="B17" s="73" t="str">
        <x:v>Rights and civil authority</x:v>
      </x:c>
      <x:c r="C17" s="73" t="str">
        <x:v>consent, review, disability access, family integrity, custody, privacy, remedy, destination, and return exercise</x:v>
      </x:c>
      <x:c r="D17" s="162" t="str">
        <x:v>OPEN</x:v>
      </x:c>
      <x:c r="E17" s="73" t="str">
        <x:v>independent technical, civil, safety, or test authority</x:v>
      </x:c>
    </x:row>
    <x:row r="18" ht="31.5" customHeight="1">
      <x:c r="A18" s="72" t="str">
        <x:v>NG-13</x:v>
      </x:c>
      <x:c r="B18" s="72" t="str">
        <x:v>Clinical and social continuity</x:v>
      </x:c>
      <x:c r="C18" s="72" t="str">
        <x:v>triage, medical power, medication, mental health, safeguarding, referral, and destination acceptance</x:v>
      </x:c>
      <x:c r="D18" s="162" t="str">
        <x:v>OPEN</x:v>
      </x:c>
      <x:c r="E18" s="72" t="str">
        <x:v>independent technical, civil, safety, or test authority</x:v>
      </x:c>
    </x:row>
    <x:row r="19" ht="31.5" customHeight="1">
      <x:c r="A19" s="73" t="str">
        <x:v>NG-14</x:v>
      </x:c>
      <x:c r="B19" s="73" t="str">
        <x:v>Workforce</x:v>
      </x:c>
      <x:c r="C19" s="73" t="str">
        <x:v>occupation and qualification roster, relief, fatigue, injury, reserve response, training, and home-base minimums</x:v>
      </x:c>
      <x:c r="D19" s="162" t="str">
        <x:v>OPEN</x:v>
      </x:c>
      <x:c r="E19" s="73" t="str">
        <x:v>independent technical, civil, safety, or test authority</x:v>
      </x:c>
    </x:row>
    <x:row r="20" ht="31.5" customHeight="1">
      <x:c r="A20" s="72" t="str">
        <x:v>NG-15</x:v>
      </x:c>
      <x:c r="B20" s="72" t="str">
        <x:v>Configuration mass and volume</x:v>
      </x:c>
      <x:c r="C20" s="72" t="str">
        <x:v>weighed packed bill of material, dimensions, restraint, handling, hazardous/cold separation, and sequence</x:v>
      </x:c>
      <x:c r="D20" s="162" t="str">
        <x:v>OPEN</x:v>
      </x:c>
      <x:c r="E20" s="72" t="str">
        <x:v>independent technical, civil, safety, or test authority</x:v>
      </x:c>
    </x:row>
    <x:row r="21" ht="31.5" customHeight="1">
      <x:c r="A21" s="73" t="str">
        <x:v>NG-16</x:v>
      </x:c>
      <x:c r="B21" s="73" t="str">
        <x:v>Maintenance and sustainment</x:v>
      </x:c>
      <x:c r="C21" s="73" t="str">
        <x:v>seven-day faults, spares, repair time, fuel/energy, consumables, cleaning, waste, and regeneration</x:v>
      </x:c>
      <x:c r="D21" s="162" t="str">
        <x:v>OPEN</x:v>
      </x:c>
      <x:c r="E21" s="73" t="str">
        <x:v>independent technical, civil, safety, or test authority</x:v>
      </x:c>
    </x:row>
    <x:row r="22" ht="31.5" customHeight="1">
      <x:c r="A22" s="72" t="str">
        <x:v>NG-17</x:v>
      </x:c>
      <x:c r="B22" s="72" t="str">
        <x:v>Common-mode loss</x:v>
      </x:c>
      <x:c r="C22" s="72" t="str">
        <x:v>joint fuel, data, vendor, software, authority, inspection, workforce, and repair failure distribution</x:v>
      </x:c>
      <x:c r="D22" s="162" t="str">
        <x:v>OPEN</x:v>
      </x:c>
      <x:c r="E22" s="72" t="str">
        <x:v>independent technical, civil, safety, or test authority</x:v>
      </x:c>
    </x:row>
    <x:row r="23" ht="31.5" customHeight="1">
      <x:c r="A23" s="73" t="str">
        <x:v>NG-18</x:v>
      </x:c>
      <x:c r="B23" s="73" t="str">
        <x:v>Cost and industry</x:v>
      </x:c>
      <x:c r="C23" s="73" t="str">
        <x:v>independent acquisition/lifecycle estimates, reference designs, suppliers, second sources, learning, and depot demand</x:v>
      </x:c>
      <x:c r="D23" s="162" t="str">
        <x:v>OPEN</x:v>
      </x:c>
      <x:c r="E23" s="73" t="str">
        <x:v>independent technical, civil, safety, or test authority</x:v>
      </x:c>
    </x:row>
    <x:row r="24" ht="31.5" customHeight="1">
      <x:c r="A24" s="72" t="str">
        <x:v>NG-19</x:v>
      </x:c>
      <x:c r="B24" s="72" t="str">
        <x:v>Full mission demonstration</x:v>
      </x:c>
      <x:c r="C24" s="72" t="str">
        <x:v>representative 168-hour occupied campaign with one service cluster, route group, and commercial communications lost</x:v>
      </x:c>
      <x:c r="D24" s="162" t="str">
        <x:v>OPEN</x:v>
      </x:c>
      <x:c r="E24" s="72" t="str">
        <x:v>independent technical, civil, safety, or test authority</x:v>
      </x:c>
    </x:row>
    <x:row r="25" ht="31.5" customHeight="1">
      <x:c r="A25" s="73" t="str">
        <x:v>NG-20</x:v>
      </x:c>
      <x:c r="B25" s="73" t="str">
        <x:v>Independent replication</x:v>
      </x:c>
      <x:c r="C25" s="73" t="str">
        <x:v>preregistered different metropolitan hazard and built-form campaign before force admission</x:v>
      </x:c>
      <x:c r="D25" s="162" t="str">
        <x:v>OPEN</x:v>
      </x:c>
      <x:c r="E25" s="73" t="str">
        <x:v>independent technical, civil, safety, or test authority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23.329999923706055" hidden="0" customWidth="1"/>
    <x:col min="3" max="3" width="32.220001220703125" hidden="0" customWidth="1"/>
    <x:col min="4" max="4" width="36.66999816894531" hidden="0" customWidth="1"/>
    <x:col min="5" max="5" width="42.220001220703125" hidden="0" customWidth="1"/>
    <x:col min="6" max="6" width="55.560001373291016" hidden="0" customWidth="1"/>
  </x:cols>
  <x:sheetData>
    <x:row r="1">
      <x:c r="A1" s="74" t="str">
        <x:v>Sources and interpretation boundaries</x:v>
      </x:c>
      <x:c r="B1" s="53"/>
      <x:c r="C1" s="53"/>
      <x:c r="D1" s="53"/>
      <x:c r="E1" s="53"/>
      <x:c r="F1" s="53"/>
    </x:row>
    <x:row r="2">
      <x:c r="A2" s="75" t="str">
        <x:v>Official sources define functions and constraints. None supplies the cell task rates, quantities, cost, or predicted performance.</x:v>
      </x:c>
      <x:c r="B2" s="53"/>
      <x:c r="C2" s="53"/>
      <x:c r="D2" s="53"/>
      <x:c r="E2" s="53"/>
      <x:c r="F2" s="53"/>
    </x:row>
    <x:row r="3">
      <x:c r="A3" s="55"/>
      <x:c r="B3" s="55"/>
      <x:c r="C3" s="55"/>
      <x:c r="D3" s="55"/>
      <x:c r="E3" s="55"/>
      <x:c r="F3" s="55"/>
    </x:row>
    <x:row r="4">
      <x:c r="A4" s="53"/>
      <x:c r="B4" s="53"/>
      <x:c r="C4" s="53"/>
      <x:c r="D4" s="53"/>
      <x:c r="E4" s="53"/>
      <x:c r="F4" s="53"/>
    </x:row>
    <x:row r="5">
      <x:c r="A5" s="15" t="str">
        <x:v>ID</x:v>
      </x:c>
      <x:c r="B5" s="16" t="str">
        <x:v>Owner</x:v>
      </x:c>
      <x:c r="C5" s="16" t="str">
        <x:v>Asset</x:v>
      </x:c>
      <x:c r="D5" s="16" t="str">
        <x:v>Use</x:v>
      </x:c>
      <x:c r="E5" s="16" t="str">
        <x:v>Boundary</x:v>
      </x:c>
      <x:c r="F5" s="17" t="str">
        <x:v>URL</x:v>
      </x:c>
    </x:row>
    <x:row r="6" ht="41.25" customHeight="1">
      <x:c r="A6" s="72" t="str">
        <x:v>PASS36-HARRIS</x:v>
      </x:c>
      <x:c r="B6" s="72" t="str">
        <x:v>Disaster Force research program</x:v>
      </x:c>
      <x:c r="C6" s="72" t="str">
        <x:v>Harris County continuity and selective-mobility campaign</x:v>
      </x:c>
      <x:c r="D6" s="72" t="str">
        <x:v>N01 catchment, H3 local and movement demand, road and exposure boundaries</x:v>
      </x:c>
      <x:c r="E6" s="72" t="str">
        <x:v>R1/R2 campaign screen; candidate node is not a site</x:v>
      </x:c>
      <x:c r="F6" s="72" t="str">
        <x:v>../campaigns/harris-county-continuity-and-selective-mobility-campaign.md</x:v>
      </x:c>
    </x:row>
    <x:row r="7" ht="41.25" customHeight="1">
      <x:c r="A7" s="73" t="str">
        <x:v>PASS30-PCCD1</x:v>
      </x:c>
      <x:c r="B7" s="73" t="str">
        <x:v>Disaster Force research program</x:v>
      </x:c>
      <x:c r="C7" s="73" t="str">
        <x:v>PCC-D1 population-continuity district</x:v>
      </x:c>
      <x:c r="D7" s="73" t="str">
        <x:v>1,000-person district and prepared-import mass basis</x:v>
      </x:c>
      <x:c r="E7" s="73" t="str">
        <x:v>R2+ configuration; fifteen evidence gates open</x:v>
      </x:c>
      <x:c r="F7" s="73" t="str">
        <x:v>../capabilities/population-continuity/district-configuration.md</x:v>
      </x:c>
    </x:row>
    <x:row r="8" ht="41.25" customHeight="1">
      <x:c r="A8" s="72" t="str">
        <x:v>FEMA-USR</x:v>
      </x:c>
      <x:c r="B8" s="72" t="str">
        <x:v>Federal Emergency Management Agency</x:v>
      </x:c>
      <x:c r="C8" s="72" t="str">
        <x:v>Urban Search and Rescue Task Force resource typing</x:v>
      </x:c>
      <x:c r="D8" s="72" t="str">
        <x:v>multidisciplinary, 24-hour, 72-hour-self-sufficient formation analogue</x:v>
      </x:c>
      <x:c r="E8" s="72" t="str">
        <x:v>70-person collapse-rescue team is not an NCAC workload or staffing rate</x:v>
      </x:c>
      <x:c r="F8" s="72" t="str">
        <x:v>https://rtlt.preptoolkit.fema.gov/Public/Resource/View/8-508-1262?p=19</x:v>
      </x:c>
    </x:row>
    <x:row r="9" ht="41.25" customHeight="1">
      <x:c r="A9" s="73" t="str">
        <x:v>NIST-CRPG</x:v>
      </x:c>
      <x:c r="B9" s="73" t="str">
        <x:v>National Institute of Standards and Technology</x:v>
      </x:c>
      <x:c r="C9" s="73" t="str">
        <x:v>Community Resilience Planning Guide, Volume II</x:v>
      </x:c>
      <x:c r="D9" s="73" t="str">
        <x:v>social functions, buildings, infrastructure dependencies, and recovery-time framing</x:v>
      </x:c>
      <x:c r="E9" s="73" t="str">
        <x:v>planning method does not size an operational force</x:v>
      </x:c>
      <x:c r="F9" s="73" t="str">
        <x:v>https://nvlpubs.nist.gov/nistpubs/SpecialPublications/NIST.SP.1190v2.pdf</x:v>
      </x:c>
    </x:row>
    <x:row r="10" ht="41.25" customHeight="1">
      <x:c r="A10" s="72" t="str">
        <x:v>ACCESS-EGRESS</x:v>
      </x:c>
      <x:c r="B10" s="72" t="str">
        <x:v>U.S. Access Board</x:v>
      </x:c>
      <x:c r="C10" s="72" t="str">
        <x:v>Accessible Means of Egress guide</x:v>
      </x:c>
      <x:c r="D10" s="72" t="str">
        <x:v>continuous accessible path, refuge, standby-power elevator, and public-way boundary</x:v>
      </x:c>
      <x:c r="E10" s="72" t="str">
        <x:v>code guidance does not prove post-disaster building operability</x:v>
      </x:c>
      <x:c r="F10" s="72" t="str">
        <x:v>https://www.access-board.gov/ada/guides/chapter-4-accessible-means-of-egress/</x:v>
      </x:c>
    </x:row>
    <x:row r="11" ht="41.25" customHeight="1">
      <x:c r="A11" s="73" t="str">
        <x:v>NIST-TN1923</x:v>
      </x:c>
      <x:c r="B11" s="73" t="str">
        <x:v>National Institute of Standards and Technology</x:v>
      </x:c>
      <x:c r="C11" s="73" t="str">
        <x:v>Mobility impairments, fire evacuation, and elevators</x:v>
      </x:c>
      <x:c r="D11" s="73" t="str">
        <x:v>occupant communication, procedures, and elevator-use research boundary</x:v>
      </x:c>
      <x:c r="E11" s="73" t="str">
        <x:v>office-fire evidence does not establish flood or lifeline-loss productivity</x:v>
      </x:c>
      <x:c r="F11" s="73" t="str">
        <x:v>https://doi.org/10.6028/NIST.TN.1923</x:v>
      </x:c>
    </x:row>
    <x:row r="12" ht="41.25" customHeight="1">
      <x:c r="A12" s="72" t="str">
        <x:v>FEMA-P154</x:v>
      </x:c>
      <x:c r="B12" s="72" t="str">
        <x:v>Federal Emergency Management Agency</x:v>
      </x:c>
      <x:c r="C12" s="72" t="str">
        <x:v>Rapid Visual Screening of Buildings, Third Edition</x:v>
      </x:c>
      <x:c r="D12" s="72" t="str">
        <x:v>screening-program and escalation analogue</x:v>
      </x:c>
      <x:c r="E12" s="72" t="str">
        <x:v>pre-event seismic ranking is not post-event flood/building release</x:v>
      </x:c>
      <x:c r="F12" s="72" t="str">
        <x:v>https://www.fema.gov/sites/default/files/2020-07/fema_earthquakes_rapid-visual-screening-of-buildings-for-potential-seismic-hazards-a-handbook-third-edition-fema-p-154.pdf</x:v>
      </x:c>
    </x:row>
    <x:row r="13" ht="41.25" customHeight="1">
      <x:c r="A13" s="73" t="str">
        <x:v>NIST-DEPLOY</x:v>
      </x:c>
      <x:c r="B13" s="73" t="str">
        <x:v>National Institute of Standards and Technology</x:v>
      </x:c>
      <x:c r="C13" s="73" t="str">
        <x:v>Public Safety 700-MHz Broadband Deployable Systems</x:v>
      </x:c>
      <x:c r="D13" s="73" t="str">
        <x:v>standalone, interoperable deployable-network and power/backhaul test requirements</x:v>
      </x:c>
      <x:c r="E13" s="73" t="str">
        <x:v>research program does not validate NCAC coverage or identity handling</x:v>
      </x:c>
      <x:c r="F13" s="73" t="str">
        <x:v>https://www.nist.gov/programs-projects/public-safety-700-mhz-broadband-deployable-systems</x:v>
      </x:c>
    </x:row>
    <x:row r="14" ht="41.25" customHeight="1">
      <x:c r="A14" s="72" t="str">
        <x:v>NIST-DISTRESS</x:v>
      </x:c>
      <x:c r="B14" s="72" t="str">
        <x:v>National Institute of Standards and Technology</x:v>
      </x:c>
      <x:c r="C14" s="72" t="str">
        <x:v>DistressNet-NG resilient mobile broadband and edge computing</x:v>
      </x:c>
      <x:c r="D14" s="72" t="str">
        <x:v>edge-compute and intermittent-connectivity technology precedent</x:v>
      </x:c>
      <x:c r="E14" s="72" t="str">
        <x:v>prototype concept does not validate civil-record governance</x:v>
      </x:c>
      <x:c r="F14" s="72" t="str">
        <x:v>https://www.nist.gov/ctl/pscr/distressnet-ng-resilient-mobile-broadband-communication-and-edge-computing</x:v>
      </x:c>
    </x:row>
    <x:row r="15" ht="41.25" customHeight="1">
      <x:c r="A15" s="73" t="str">
        <x:v>FHWA-SP</x:v>
      </x:c>
      <x:c r="B15" s="73" t="str">
        <x:v>Federal Highway Administration</x:v>
      </x:c>
      <x:c r="C15" s="73" t="str">
        <x:v>Field Operations Guide for Safety/Service Patrols</x:v>
      </x:c>
      <x:c r="D15" s="73" t="str">
        <x:v>detection, traffic control, incident clearance, debris, communications, and responder coordination functions</x:v>
      </x:c>
      <x:c r="E15" s="73" t="str">
        <x:v>ordinary traffic-incident guidance does not establish disaster route productivity</x:v>
      </x:c>
      <x:c r="F15" s="73" t="str">
        <x:v>https://ops.fhwa.dot.gov/publications/fhwahop10014/s1.htm</x:v>
      </x:c>
    </x:row>
    <x:row r="16" ht="41.25" customHeight="1">
      <x:c r="A16" s="72" t="str">
        <x:v>CDC-EHE</x:v>
      </x:c>
      <x:c r="B16" s="72" t="str">
        <x:v>Centers for Disease Control and Prevention</x:v>
      </x:c>
      <x:c r="C16" s="72" t="str">
        <x:v>Environmental Health Emergency Response Guide</x:v>
      </x:c>
      <x:c r="D16" s="72" t="str">
        <x:v>shelter sanitation, water, ventilation, space, and waste lower-bound checks</x:v>
      </x:c>
      <x:c r="E16" s="72" t="str">
        <x:v>mass-shelter guidance is not a complete protected-district standard</x:v>
      </x:c>
      <x:c r="F16" s="72" t="str">
        <x:v>https://stacks.cdc.gov/view/cdc/39018/cdc_39018_DS1.pdf</x:v>
      </x:c>
    </x:row>
    <x:row r="17" ht="41.25" customHeight="1">
      <x:c r="A17" s="73" t="str">
        <x:v>NIOSH-LIFT</x:v>
      </x:c>
      <x:c r="B17" s="73" t="str">
        <x:v>National Institute for Occupational Safety and Health</x:v>
      </x:c>
      <x:c r="C17" s="73" t="str">
        <x:v>Biomechanical evaluation of EMS patient-lifting solutions</x:v>
      </x:c>
      <x:c r="D17" s="73" t="str">
        <x:v>mechanical handling and worker-injury research boundary</x:v>
      </x:c>
      <x:c r="E17" s="73" t="str">
        <x:v>laboratory lifting tasks do not establish field vertical-extraction rates</x:v>
      </x:c>
      <x:c r="F17" s="73" t="str">
        <x:v>https://stacks.cdc.gov/view/cdc/223718</x:v>
      </x:c>
    </x:row>
    <x:row r="18" ht="41.25" customHeight="1">
      <x:c r="A18" s="72" t="str">
        <x:v>DOE-MICROGRID</x:v>
      </x:c>
      <x:c r="B18" s="72" t="str">
        <x:v>U.S. Department of Energy</x:v>
      </x:c>
      <x:c r="C18" s="72" t="str">
        <x:v>Microgrid Systems</x:v>
      </x:c>
      <x:c r="D18" s="72" t="str">
        <x:v>controllable boundary and islanded-operation architecture</x:v>
      </x:c>
      <x:c r="E18" s="72" t="str">
        <x:v>does not validate a mobile 7.2 MW NCAC power system</x:v>
      </x:c>
      <x:c r="F18" s="72" t="str">
        <x:v>https://www.energy.gov/oe/microgrid-systems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7.219999313354492" hidden="0" customWidth="1"/>
    <x:col min="3" max="3" width="12.779999732971191" hidden="0" customWidth="1"/>
    <x:col min="4" max="4" width="12.779999732971191" hidden="0" customWidth="1"/>
    <x:col min="5" max="5" width="8.329999923706055" hidden="0" customWidth="1"/>
    <x:col min="6" max="6" width="37.779998779296875" hidden="0" customWidth="1"/>
  </x:cols>
  <x:sheetData>
    <x:row r="1">
      <x:c r="A1" s="74" t="str">
        <x:v>Model integrity and governance checks</x:v>
      </x:c>
      <x:c r="B1" s="53"/>
      <x:c r="C1" s="53"/>
      <x:c r="D1" s="53"/>
      <x:c r="E1" s="53"/>
      <x:c r="F1" s="53"/>
    </x:row>
    <x:row r="2">
      <x:c r="A2" s="75" t="str">
        <x:v>PASS means the exported workbook agrees with the generated configuration and declared rules. It does not close any external evidence gate.</x:v>
      </x:c>
      <x:c r="B2" s="53"/>
      <x:c r="C2" s="53"/>
      <x:c r="D2" s="53"/>
      <x:c r="E2" s="53"/>
      <x:c r="F2" s="53"/>
    </x:row>
    <x:row r="3">
      <x:c r="A3" s="55"/>
      <x:c r="B3" s="55"/>
      <x:c r="C3" s="55"/>
      <x:c r="D3" s="55"/>
      <x:c r="E3" s="55"/>
      <x:c r="F3" s="55"/>
    </x:row>
    <x:row r="4">
      <x:c r="A4" s="53"/>
      <x:c r="B4" s="53"/>
      <x:c r="C4" s="53"/>
      <x:c r="D4" s="53"/>
      <x:c r="E4" s="53"/>
      <x:c r="F4" s="53"/>
    </x:row>
    <x:row r="5">
      <x:c r="A5" s="15" t="str">
        <x:v>ID</x:v>
      </x:c>
      <x:c r="B5" s="16" t="str">
        <x:v>Check</x:v>
      </x:c>
      <x:c r="C5" s="16" t="str">
        <x:v>Observed</x:v>
      </x:c>
      <x:c r="D5" s="16" t="str">
        <x:v>Expected</x:v>
      </x:c>
      <x:c r="E5" s="16" t="str">
        <x:v>Result</x:v>
      </x:c>
      <x:c r="F5" s="17" t="str">
        <x:v>Meaning</x:v>
      </x:c>
    </x:row>
    <x:row r="6">
      <x:c r="A6" s="61" t="str">
        <x:v>K01</x:v>
      </x:c>
      <x:c r="B6" s="61" t="str">
        <x:v>Source tract rows</x:v>
      </x:c>
      <x:c r="C6" s="167" t="n">
        <x:f>COUNTA('Source Area'!A6:A66)</x:f>
        <x:v>61</x:v>
      </x:c>
      <x:c r="D6" s="167" t="n">
        <x:v>61</x:v>
      </x:c>
      <x:c r="E6" s="61" t="str">
        <x:f>IF(ABS(C6-D6)&lt;=MAX(0.000001,ABS(D6)*0.000001),"PASS","FAIL")</x:f>
        <x:v>PASS</x:v>
      </x:c>
      <x:c r="F6" s="61" t="str">
        <x:v>complete N01 tract screen</x:v>
      </x:c>
    </x:row>
    <x:row r="7">
      <x:c r="A7" s="53" t="str">
        <x:v>K02</x:v>
      </x:c>
      <x:c r="B7" s="53" t="str">
        <x:v>Architecture rows</x:v>
      </x:c>
      <x:c r="C7" s="168" t="n">
        <x:f>COUNTA('Architectures'!A6:A9)</x:f>
        <x:v>4</x:v>
      </x:c>
      <x:c r="D7" s="168" t="n">
        <x:v>4</x:v>
      </x:c>
      <x:c r="E7" s="53" t="str">
        <x:f>IF(ABS(C7-D7)&lt;=MAX(0.000001,ABS(D7)*0.000001),"PASS","FAIL")</x:f>
        <x:v>PASS</x:v>
      </x:c>
      <x:c r="F7" s="53" t="str">
        <x:v>four rival configurations</x:v>
      </x:c>
    </x:row>
    <x:row r="8">
      <x:c r="A8" s="61" t="str">
        <x:v>K03</x:v>
      </x:c>
      <x:c r="B8" s="61" t="str">
        <x:v>Design demand reconciliation</x:v>
      </x:c>
      <x:c r="C8" s="167" t="n">
        <x:f>'Mission'!C12+'Mission'!C13</x:f>
        <x:v>34956.76767748189</x:v>
      </x:c>
      <x:c r="D8" s="167" t="n">
        <x:f>Mission!C11</x:f>
        <x:v>34956.76767748189</x:v>
      </x:c>
      <x:c r="E8" s="61" t="str">
        <x:f>IF(ABS(C8-D8)&lt;=MAX(0.000001,ABS(D8)*0.000001),"PASS","FAIL")</x:f>
        <x:v>PASS</x:v>
      </x:c>
      <x:c r="F8" s="61" t="str">
        <x:v>local plus movement equals demand</x:v>
      </x:c>
    </x:row>
    <x:row r="9">
      <x:c r="A9" s="53" t="str">
        <x:v>K04</x:v>
      </x:c>
      <x:c r="B9" s="53" t="str">
        <x:v>Base closure rows</x:v>
      </x:c>
      <x:c r="C9" s="168" t="n">
        <x:f>COUNTA('Base Closure'!A6:A37)</x:f>
        <x:v>32</x:v>
      </x:c>
      <x:c r="D9" s="168" t="n">
        <x:v>32</x:v>
      </x:c>
      <x:c r="E9" s="53" t="str">
        <x:f>IF(ABS(C9-D9)&lt;=MAX(0.000001,ABS(D9)*0.000001),"PASS","FAIL")</x:f>
        <x:v>PASS</x:v>
      </x:c>
      <x:c r="F9" s="53" t="str">
        <x:v>eight capabilities × four architectures</x:v>
      </x:c>
    </x:row>
    <x:row r="10">
      <x:c r="A10" s="61" t="str">
        <x:v>K05</x:v>
      </x:c>
      <x:c r="B10" s="61" t="str">
        <x:v>Failure-case rows</x:v>
      </x:c>
      <x:c r="C10" s="167" t="n">
        <x:f>COUNTA('Failure Cases'!A6:A49)</x:f>
        <x:v>44</x:v>
      </x:c>
      <x:c r="D10" s="167" t="n">
        <x:v>44</x:v>
      </x:c>
      <x:c r="E10" s="61" t="str">
        <x:f>IF(ABS(C10-D10)&lt;=MAX(0.000001,ABS(D10)*0.000001),"PASS","FAIL")</x:f>
        <x:v>PASS</x:v>
      </x:c>
      <x:c r="F10" s="61" t="str">
        <x:v>eleven cases × four architectures</x:v>
      </x:c>
    </x:row>
    <x:row r="11">
      <x:c r="A11" s="53" t="str">
        <x:v>K06</x:v>
      </x:c>
      <x:c r="B11" s="53" t="str">
        <x:v>I1 base pass</x:v>
      </x:c>
      <x:c r="C11" s="168" t="n">
        <x:f>COUNTIFS('Failure Cases'!A6:A49,"I1",'Failure Cases'!B6:B49,"F0",'Failure Cases'!T6:T49,"PASS")</x:f>
        <x:v>1</x:v>
      </x:c>
      <x:c r="D11" s="168" t="n">
        <x:v>1</x:v>
      </x:c>
      <x:c r="E11" s="53" t="str">
        <x:f>IF(ABS(C11-D11)&lt;=MAX(0.000001,ABS(D11)*0.000001),"PASS","FAIL")</x:f>
        <x:v>PASS</x:v>
      </x:c>
      <x:c r="F11" s="53" t="str">
        <x:v>base closure alone is insufficient</x:v>
      </x:c>
    </x:row>
    <x:row r="12">
      <x:c r="A12" s="61" t="str">
        <x:v>K07</x:v>
      </x:c>
      <x:c r="B12" s="61" t="str">
        <x:v>A2 required cases passed</x:v>
      </x:c>
      <x:c r="C12" s="167" t="n">
        <x:f>COUNTIFS('Failure Cases'!A6:A49,"A2",'Failure Cases'!U6:U49,1,'Failure Cases'!T6:T49,"PASS")</x:f>
        <x:v>9</x:v>
      </x:c>
      <x:c r="D12" s="167" t="n">
        <x:v>9</x:v>
      </x:c>
      <x:c r="E12" s="61" t="str">
        <x:f>IF(ABS(C12-D12)&lt;=MAX(0.000001,ABS(D12)*0.000001),"PASS","FAIL")</x:f>
        <x:v>PASS</x:v>
      </x:c>
      <x:c r="F12" s="61" t="str">
        <x:v>isolated household verification fails</x:v>
      </x:c>
    </x:row>
    <x:row r="13">
      <x:c r="A13" s="53" t="str">
        <x:v>K08</x:v>
      </x:c>
      <x:c r="B13" s="53" t="str">
        <x:v>S3 required cases passed</x:v>
      </x:c>
      <x:c r="C13" s="168" t="n">
        <x:f>COUNTIFS('Failure Cases'!A6:A49,"S3",'Failure Cases'!U6:U49,1,'Failure Cases'!T6:T49,"PASS")</x:f>
        <x:v>10</x:v>
      </x:c>
      <x:c r="D13" s="168" t="n">
        <x:v>10</x:v>
      </x:c>
      <x:c r="E13" s="53" t="str">
        <x:f>IF(ABS(C13-D13)&lt;=MAX(0.000001,ABS(D13)*0.000001),"PASS","FAIL")</x:f>
        <x:v>PASS</x:v>
      </x:c>
      <x:c r="F13" s="53" t="str">
        <x:v>arithmetic technology target only</x:v>
      </x:c>
    </x:row>
    <x:row r="14">
      <x:c r="A14" s="61" t="str">
        <x:v>K09</x:v>
      </x:c>
      <x:c r="B14" s="61" t="str">
        <x:v>A2 isolated contact ratio</x:v>
      </x:c>
      <x:c r="C14" s="167" t="n">
        <x:f>SUMIFS('Failure Cases'!M6:M49,'Failure Cases'!A6:A49,"A2",'Failure Cases'!B6:B49,"F9")</x:f>
        <x:v>0.7959178436725101</x:v>
      </x:c>
      <x:c r="D14" s="167" t="n">
        <x:v>0.7959178436725101</x:v>
      </x:c>
      <x:c r="E14" s="61" t="str">
        <x:f>IF(ABS(C14-D14)&lt;=MAX(0.000001,ABS(D14)*0.000001),"PASS","FAIL")</x:f>
        <x:v>PASS</x:v>
      </x:c>
      <x:c r="F14" s="61" t="str">
        <x:v>commercial-network loss</x:v>
      </x:c>
    </x:row>
    <x:row r="15">
      <x:c r="A15" s="53" t="str">
        <x:v>K10</x:v>
      </x:c>
      <x:c r="B15" s="53" t="str">
        <x:v>S3 isolated contact ratio</x:v>
      </x:c>
      <x:c r="C15" s="168" t="n">
        <x:f>SUMIFS('Failure Cases'!M6:M49,'Failure Cases'!A6:A49,"S3",'Failure Cases'!B6:B49,"F9")</x:f>
        <x:v>1.0219890889578886</x:v>
      </x:c>
      <x:c r="D15" s="168" t="n">
        <x:v>1.0219890889578886</x:v>
      </x:c>
      <x:c r="E15" s="53" t="str">
        <x:f>IF(ABS(C15-D15)&lt;=MAX(0.000001,ABS(D15)*0.000001),"PASS","FAIL")</x:f>
        <x:v>PASS</x:v>
      </x:c>
      <x:c r="F15" s="53" t="str">
        <x:v>technology target closes arithmetic</x:v>
      </x:c>
    </x:row>
    <x:row r="16">
      <x:c r="A16" s="61" t="str">
        <x:v>K11</x:v>
      </x:c>
      <x:c r="B16" s="61" t="str">
        <x:v>A2 workforce</x:v>
      </x:c>
      <x:c r="C16" s="167" t="n">
        <x:f>'Workforce'!C29</x:f>
        <x:v>7586.55</x:v>
      </x:c>
      <x:c r="D16" s="167" t="n">
        <x:v>7586.55</x:v>
      </x:c>
      <x:c r="E16" s="61" t="str">
        <x:f>IF(ABS(C16-D16)&lt;=MAX(0.000001,ABS(D16)*0.000001),"PASS","FAIL")</x:f>
        <x:v>PASS</x:v>
      </x:c>
      <x:c r="F16" s="61" t="str">
        <x:v>component workforce sum</x:v>
      </x:c>
    </x:row>
    <x:row r="17">
      <x:c r="A17" s="53" t="str">
        <x:v>K12</x:v>
      </x:c>
      <x:c r="B17" s="53" t="str">
        <x:v>A2 packed mass</x:v>
      </x:c>
      <x:c r="C17" s="168" t="n">
        <x:f>'Logistics'!C8</x:f>
        <x:v>6388.499398177829</x:v>
      </x:c>
      <x:c r="D17" s="168" t="n">
        <x:v>6388.499398177829</x:v>
      </x:c>
      <x:c r="E17" s="53" t="str">
        <x:f>IF(ABS(C17-D17)&lt;=MAX(0.000001,ABS(D17)*0.000001),"PASS","FAIL")</x:f>
        <x:v>PASS</x:v>
      </x:c>
      <x:c r="F17" s="53" t="str">
        <x:v>configuration mass plus packing</x:v>
      </x:c>
    </x:row>
    <x:row r="18">
      <x:c r="A18" s="61" t="str">
        <x:v>K13</x:v>
      </x:c>
      <x:c r="B18" s="61" t="str">
        <x:v>A2 total capital</x:v>
      </x:c>
      <x:c r="C18" s="167" t="n">
        <x:f>'Finance'!C56</x:f>
        <x:v>6.865625</x:v>
      </x:c>
      <x:c r="D18" s="167" t="n">
        <x:v>6.865625</x:v>
      </x:c>
      <x:c r="E18" s="61" t="str">
        <x:f>IF(ABS(C18-D18)&lt;=MAX(0.000001,ABS(D18)*0.000001),"PASS","FAIL")</x:f>
        <x:v>PASS</x:v>
      </x:c>
      <x:c r="F18" s="61" t="str">
        <x:v>direct plus base plus reserve</x:v>
      </x:c>
    </x:row>
    <x:row r="19">
      <x:c r="A19" s="53" t="str">
        <x:v>K14</x:v>
      </x:c>
      <x:c r="B19" s="53" t="str">
        <x:v>A2 annual operations</x:v>
      </x:c>
      <x:c r="C19" s="168" t="n">
        <x:f>'Finance'!E56</x:f>
        <x:v>1.58639025</x:v>
      </x:c>
      <x:c r="D19" s="168" t="n">
        <x:v>1.58639025</x:v>
      </x:c>
      <x:c r="E19" s="53" t="str">
        <x:f>IF(ABS(C19-D19)&lt;=MAX(0.000001,ABS(D19)*0.000001),"PASS","FAIL")</x:f>
        <x:v>PASS</x:v>
      </x:c>
      <x:c r="F19" s="53" t="str">
        <x:v>personnel, O&amp;M, base, exercise, stocks</x:v>
      </x:c>
    </x:row>
    <x:row r="20">
      <x:c r="A20" s="61" t="str">
        <x:v>K15</x:v>
      </x:c>
      <x:c r="B20" s="61" t="str">
        <x:v>A2 lifecycle</x:v>
      </x:c>
      <x:c r="C20" s="167" t="n">
        <x:f>'Finance'!F56</x:f>
        <x:v>46.525381249999995</x:v>
      </x:c>
      <x:c r="D20" s="167" t="n">
        <x:v>46.525381249999995</x:v>
      </x:c>
      <x:c r="E20" s="61" t="str">
        <x:f>IF(ABS(C20-D20)&lt;=MAX(0.000001,ABS(D20)*0.000001),"PASS","FAIL")</x:f>
        <x:v>PASS</x:v>
      </x:c>
      <x:c r="F20" s="61" t="str">
        <x:v>capital plus 25 years operations</x:v>
      </x:c>
    </x:row>
    <x:row r="21">
      <x:c r="A21" s="53" t="str">
        <x:v>K16</x:v>
      </x:c>
      <x:c r="B21" s="53" t="str">
        <x:v>Evidence gates open</x:v>
      </x:c>
      <x:c r="C21" s="168" t="n">
        <x:f>COUNTIF('Evidence Gates'!D6:D25,"OPEN")</x:f>
        <x:v>20</x:v>
      </x:c>
      <x:c r="D21" s="168" t="n">
        <x:v>20</x:v>
      </x:c>
      <x:c r="E21" s="53" t="str">
        <x:f>IF(ABS(C21-D21)&lt;=MAX(0.000001,ABS(D21)*0.000001),"PASS","FAIL")</x:f>
        <x:v>PASS</x:v>
      </x:c>
      <x:c r="F21" s="53" t="str">
        <x:v>all external gates remain open</x:v>
      </x:c>
    </x:row>
    <x:row r="22">
      <x:c r="A22" s="61" t="str">
        <x:v>K17</x:v>
      </x:c>
      <x:c r="B22" s="61" t="str">
        <x:v>Rights controls present</x:v>
      </x:c>
      <x:c r="C22" s="167" t="n">
        <x:f>COUNTA('Rights Data'!A6:A15)</x:f>
        <x:v>10</x:v>
      </x:c>
      <x:c r="D22" s="167" t="n">
        <x:v>10</x:v>
      </x:c>
      <x:c r="E22" s="61" t="str">
        <x:f>IF(ABS(C22-D22)&lt;=MAX(0.000001,ABS(D22)*0.000001),"PASS","FAIL")</x:f>
        <x:v>PASS</x:v>
      </x:c>
      <x:c r="F22" s="61" t="str">
        <x:v>rights are mission functions</x:v>
      </x:c>
    </x:row>
    <x:row r="23">
      <x:c r="A23" s="53" t="str">
        <x:v>K18</x:v>
      </x:c>
      <x:c r="B23" s="53" t="str">
        <x:v>Technology programs present</x:v>
      </x:c>
      <x:c r="C23" s="168" t="n">
        <x:f>COUNTA('Technology'!A6:A12)</x:f>
        <x:v>7</x:v>
      </x:c>
      <x:c r="D23" s="168" t="n">
        <x:v>7</x:v>
      </x:c>
      <x:c r="E23" s="53" t="str">
        <x:f>IF(ABS(C23-D23)&lt;=MAX(0.000001,ABS(D23)*0.000001),"PASS","FAIL")</x:f>
        <x:v>PASS</x:v>
      </x:c>
      <x:c r="F23" s="53" t="str">
        <x:v>mission-driven parameter programs</x:v>
      </x:c>
    </x:row>
    <x:row r="24">
      <x:c r="A24" s="61" t="str">
        <x:v>K19</x:v>
      </x:c>
      <x:c r="B24" s="61" t="str">
        <x:v>Harris annual operations contradiction</x:v>
      </x:c>
      <x:c r="C24" s="167" t="n">
        <x:f>'Harris Scale'!E8</x:f>
        <x:v>2.804253055774197</x:v>
      </x:c>
      <x:c r="D24" s="167" t="n">
        <x:v>2.804253055774197</x:v>
      </x:c>
      <x:c r="E24" s="61" t="str">
        <x:f>IF(ABS(C24-D24)&lt;=MAX(0.000001,ABS(D24)*0.000001),"PASS","FAIL")</x:f>
        <x:v>PASS</x:v>
      </x:c>
      <x:c r="F24" s="61" t="str">
        <x:v>positive means prior campaign ops are inadequate</x:v>
      </x:c>
    </x:row>
    <x:row r="25">
      <x:c r="A25" s="53" t="str">
        <x:v>K20</x:v>
      </x:c>
      <x:c r="B25" s="53" t="str">
        <x:v>Rendering authorization</x:v>
      </x:c>
      <x:c r="C25" s="168" t="n">
        <x:f>0</x:f>
        <x:v>0</x:v>
      </x:c>
      <x:c r="D25" s="168" t="n">
        <x:v>0</x:v>
      </x:c>
      <x:c r="E25" s="53" t="str">
        <x:f>IF(ABS(C25-D25)&lt;=MAX(0.000001,ABS(D25)*0.000001),"PASS","FAIL")</x:f>
        <x:v>PASS</x:v>
      </x:c>
      <x:c r="F25" s="53" t="str">
        <x:v>no imagery before R3</x:v>
      </x:c>
    </x:row>
  </x:sheetData>
  <x:mergeCells>
    <x:mergeCell ref="A1:F1"/>
    <x:mergeCell ref="A2:F2"/>
  </x:mergeCells>
  <x:conditionalFormatting sqref="E6:E25">
    <x:cfRule type="containsText" dxfId="6" priority="1" operator="containsText" text="FAIL"/>
    <x:cfRule type="containsText" dxfId="7" priority="2" operator="containsText" text="PASS"/>
  </x:conditionalFormatting>
  <x:pageMargins left="0.7" right="0.7" top="0.75" bottom="0.75" header="0.3" footer="0.3"/>
</x:worksheet>
</file>